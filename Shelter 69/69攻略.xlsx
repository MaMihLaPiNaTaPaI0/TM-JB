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11055"/>
  </bookViews>
  <sheets>
    <sheet name="有" sheetId="23" r:id="rId1"/>
    <sheet name="全人物技能说明" sheetId="18" r:id="rId2"/>
    <sheet name="全装" sheetId="34" r:id="rId3"/>
    <sheet name="Weapons" sheetId="57" r:id="rId4"/>
    <sheet name="同样效果" sheetId="64" r:id="rId5"/>
    <sheet name="Combos" sheetId="56" r:id="rId6"/>
    <sheet name="Cloths Dresses" sheetId="55" r:id="rId7"/>
    <sheet name="Campaign Missions" sheetId="58" r:id="rId8"/>
    <sheet name="Resource Missions" sheetId="59" r:id="rId9"/>
    <sheet name="庇" sheetId="6" r:id="rId10"/>
    <sheet name="秘基" sheetId="42" r:id="rId11"/>
    <sheet name="其" sheetId="4" r:id="rId12"/>
    <sheet name="DC话" sheetId="43" r:id="rId13"/>
    <sheet name="装" sheetId="28" r:id="rId14"/>
    <sheet name="调" sheetId="53" r:id="rId15"/>
    <sheet name="Sheet1" sheetId="54" r:id="rId16"/>
    <sheet name="FRS" sheetId="60" r:id="rId17"/>
    <sheet name="攻击统计" sheetId="62" r:id="rId18"/>
    <sheet name="物品满" sheetId="63" r:id="rId19"/>
    <sheet name="翻译项目" sheetId="65" r:id="rId20"/>
    <sheet name="Sheet2" sheetId="66" r:id="rId21"/>
  </sheets>
  <externalReferences>
    <externalReference r:id="rId23"/>
    <externalReference r:id="rId24"/>
  </externalReferences>
  <definedNames>
    <definedName name="_xlnm._FilterDatabase" localSheetId="1" hidden="1">全人物技能说明!$A$1:$P$73</definedName>
    <definedName name="_xlnm._FilterDatabase" localSheetId="2" hidden="1">全装!$A$1:$AB$246</definedName>
    <definedName name="_xlnm._FilterDatabase" localSheetId="4" hidden="1">同样效果!$A$1:$D$83</definedName>
    <definedName name="_xlnm._FilterDatabase" localSheetId="9" hidden="1">庇!$A$1:$E$118</definedName>
    <definedName name="_xlnm._FilterDatabase" localSheetId="14" hidden="1">调!$A$1:$D$54</definedName>
    <definedName name="_xlnm._FilterDatabase" localSheetId="15" hidden="1">Sheet1!$A$5:$F$44</definedName>
    <definedName name="_xlnm._FilterDatabase" localSheetId="18" hidden="1">物品满!$A$1:$F$8</definedName>
    <definedName name="_xlnm._FilterDatabase" localSheetId="19" hidden="1">翻译项目!$A$1:$K$231</definedName>
    <definedName name="_xlnm._FilterDatabase" localSheetId="20" hidden="1">Sheet2!$A$1:$G$63</definedName>
    <definedName name="Cloth_B_Calc_Base_Stat_List">FRS!$AH$31:$AM$82</definedName>
    <definedName name="Cloth_B_Calc_Name_List">FRS!$AH$31:$AH$82</definedName>
    <definedName name="Cloth_D_Calc_Base_Stat_List">FRS!$R$31:$W$84</definedName>
    <definedName name="Cloth_D_Calc_Name_List">FRS!$R$31:$R$84</definedName>
    <definedName name="Cloth_T_Calc_Base_Stat_List">FRS!$Z$31:$AE$82</definedName>
    <definedName name="Cloth_T_Calc_Name_List">FRS!$Z$31:$Z$82</definedName>
    <definedName name="FRS_Item_Get_Get_List_V">FRS!$AV$93:$AV$119</definedName>
    <definedName name="FRS_Item_Get_Give_List_H">FRS!$AW$92:$BW$92</definedName>
    <definedName name="FRS_Item_Give_Get_List_V">FRS!$AV$136:$AV$162</definedName>
    <definedName name="FRS_Item_Give_Give_List_H">FRS!$AW$135:$BW$135</definedName>
    <definedName name="FRS_Trading_List_Get_Full">FRS!$AV$92:$BW$119</definedName>
    <definedName name="FRS_Trading_List_Give_Full">FRS!$AV$135:$BW$162</definedName>
    <definedName name="Rarity_List_Universal">FRS!$B$18:$B$21</definedName>
    <definedName name="Trinkets_Calc_Base_Stat_List">FRS!$B$31:$G$61</definedName>
    <definedName name="Trinkets_Calc_Name_List">FRS!$B$31:$B$61</definedName>
    <definedName name="Weapon_Calc_Base_Stat_List">FRS!$J$31:$O$74</definedName>
    <definedName name="Weapon_Calc_Name_List">FRS!$J$31:$J$74</definedName>
    <definedName name="Base_Stat_CD" localSheetId="6">'Cloths Dresses'!$W$38</definedName>
    <definedName name="Cloth_B_Calc_Base_Stat_List" localSheetId="6">FRS!$AH$31:$AM$82</definedName>
    <definedName name="Cloth_B_Calc_Name_List" localSheetId="6">FRS!$AH$31:$AH$82</definedName>
    <definedName name="Cloth_D_Calc_Base_Stat_A" localSheetId="6">'Cloths Dresses'!$W$10</definedName>
    <definedName name="Cloth_D_Calc_Base_Stat_F" localSheetId="6">'Cloths Dresses'!$Y$10</definedName>
    <definedName name="Cloth_D_Calc_Base_Stat_I" localSheetId="6">'Cloths Dresses'!$X$10</definedName>
    <definedName name="Cloth_D_Calc_Base_Stat_List" localSheetId="6">FRS!$R$31:$W$84</definedName>
    <definedName name="Cloth_D_Calc_Base_Stat_U" localSheetId="6">'Cloths Dresses'!$Z$10</definedName>
    <definedName name="Cloth_D_Calc_Base_Stat_W" localSheetId="6">'Cloths Dresses'!$V$10</definedName>
    <definedName name="Cloth_D_Calc_Level" localSheetId="6">'Cloths Dresses'!$W$4</definedName>
    <definedName name="Cloth_D_Calc_Name" localSheetId="6">'Cloths Dresses'!$U$4</definedName>
    <definedName name="Cloth_D_Calc_Name_List" localSheetId="6">FRS!$R$31:$R$84</definedName>
    <definedName name="Cloth_D_Calc_Progress_Num_A" localSheetId="6">'Cloths Dresses'!$W$9</definedName>
    <definedName name="Cloth_D_Calc_Progress_Num_F" localSheetId="6">'Cloths Dresses'!$Y$9</definedName>
    <definedName name="Cloth_D_Calc_Progress_Num_I" localSheetId="6">'Cloths Dresses'!$X$9</definedName>
    <definedName name="Cloth_D_Calc_Progress_Num_U" localSheetId="6">'Cloths Dresses'!$Z$9</definedName>
    <definedName name="Cloth_D_Calc_Progress_Num_W" localSheetId="6">'Cloths Dresses'!$V$9</definedName>
    <definedName name="Cloth_D_Calc_Rarity" localSheetId="6">'Cloths Dresses'!$V$4</definedName>
    <definedName name="Cloth_D_Calc_Tier_A" localSheetId="6">'Cloths Dresses'!$W$8</definedName>
    <definedName name="Cloth_D_Calc_Tier_F" localSheetId="6">'Cloths Dresses'!$Y$8</definedName>
    <definedName name="Cloth_D_Calc_Tier_I" localSheetId="6">'Cloths Dresses'!$X$8</definedName>
    <definedName name="Cloth_D_Calc_Tier_U" localSheetId="6">'Cloths Dresses'!$Z$8</definedName>
    <definedName name="Cloth_D_Calc_Tier_W" localSheetId="6">'Cloths Dresses'!$V$8</definedName>
    <definedName name="Cloth_T_Calc_Base_Stat_List" localSheetId="6">FRS!$Z$31:$AE$82</definedName>
    <definedName name="Cloth_T_Calc_Name_List" localSheetId="6">FRS!$Z$31:$Z$82</definedName>
    <definedName name="FRS_Item_Get_Get_List_V" localSheetId="6">FRS!$AV$93:$AV$119</definedName>
    <definedName name="FRS_Item_Get_Give_List_H" localSheetId="6">FRS!$AW$92:$BW$92</definedName>
    <definedName name="FRS_Item_Give_Get_List_V" localSheetId="6">FRS!$AV$136:$AV$162</definedName>
    <definedName name="FRS_Item_Give_Give_List_H" localSheetId="6">FRS!$AW$135:$BW$135</definedName>
    <definedName name="FRS_Trading_List_Get_Full" localSheetId="6">FRS!$AV$92:$BW$119</definedName>
    <definedName name="FRS_Trading_List_Give_Full" localSheetId="6">FRS!$AV$135:$BW$162</definedName>
    <definedName name="Item_Level_CD" localSheetId="6">'Cloths Dresses'!$U$38</definedName>
    <definedName name="Prog_Number_CD" localSheetId="6">'Cloths Dresses'!$V$38</definedName>
    <definedName name="Rarity_List_Universal" localSheetId="6">FRS!$B$18:$B$21</definedName>
    <definedName name="Trinkets_Calc_Base_Stat_List" localSheetId="6">FRS!$B$31:$G$61</definedName>
    <definedName name="Trinkets_Calc_Name_List" localSheetId="6">FRS!$B$31:$B$61</definedName>
    <definedName name="Weapon_Calc_Base_Stat_List" localSheetId="6">FRS!$J$31:$O$74</definedName>
    <definedName name="Weapon_Calc_Name_List" localSheetId="6">FRS!$J$31:$J$74</definedName>
    <definedName name="Cloth_B_Calc_Base_Stat_List" localSheetId="5">FRS!$AH$31:$AM$82</definedName>
    <definedName name="Cloth_B_Calc_Name_List" localSheetId="5">FRS!$AH$31:$AH$82</definedName>
    <definedName name="Cloth_B_Calc_Progress_Num_A" localSheetId="5">Combos!$AT$29</definedName>
    <definedName name="Cloth_B_Calc_Progress_Num_F" localSheetId="5">Combos!$AV$29</definedName>
    <definedName name="Cloth_B_Calc_Progress_Num_I" localSheetId="5">Combos!$AU$29</definedName>
    <definedName name="Cloth_B_Calc_Progress_Num_U" localSheetId="5">Combos!$AW$29</definedName>
    <definedName name="Cloth_B_Calc_Progress_Num_W" localSheetId="5">Combos!$AS$29</definedName>
    <definedName name="Cloth_D_Calc_Base_Stat_List" localSheetId="5">FRS!$R$31:$W$84</definedName>
    <definedName name="Cloth_D_Calc_Name_List" localSheetId="5">FRS!$R$31:$R$84</definedName>
    <definedName name="Cloth_T_Calc_Base_Stat_List" localSheetId="5">FRS!$Z$31:$AE$82</definedName>
    <definedName name="Cloth_T_Calc_Name_List" localSheetId="5">FRS!$Z$31:$Z$82</definedName>
    <definedName name="Combo_B_Calc_Base_Stat_A" localSheetId="5">Combos!$AT$30</definedName>
    <definedName name="Combo_B_Calc_Base_Stat_F" localSheetId="5">Combos!$AV$30</definedName>
    <definedName name="Combo_B_Calc_Base_Stat_I" localSheetId="5">Combos!$AU$30</definedName>
    <definedName name="Combo_B_Calc_Base_Stat_U" localSheetId="5">Combos!$AW$30</definedName>
    <definedName name="Combo_B_Calc_Base_Stat_W" localSheetId="5">Combos!$AS$30</definedName>
    <definedName name="Combo_B_Calc_Level" localSheetId="5">Combos!$AT$24</definedName>
    <definedName name="Combo_B_Calc_Name" localSheetId="5">Combos!$AR$34</definedName>
    <definedName name="Combo_B_Calc_Rarity" localSheetId="5">Combos!$AS$24</definedName>
    <definedName name="Combo_B_Calc_Tier_A" localSheetId="5">Combos!$AT$28</definedName>
    <definedName name="Combo_B_Calc_Tier_F" localSheetId="5">Combos!$AV$28</definedName>
    <definedName name="Combo_B_Calc_Tier_I" localSheetId="5">Combos!$AU$28</definedName>
    <definedName name="Combo_B_Calc_Tier_U" localSheetId="5">Combos!$AW$28</definedName>
    <definedName name="Combo_B_Calc_Tier_W" localSheetId="5">Combos!$AS$28</definedName>
    <definedName name="Combo_D_Calc_Base_Stat_A" localSheetId="5">Combos!$AT$10</definedName>
    <definedName name="Combo_D_Calc_Base_Stat_F" localSheetId="5">Combos!$AV$10</definedName>
    <definedName name="Combo_D_Calc_Base_Stat_I" localSheetId="5">Combos!$AU$10</definedName>
    <definedName name="Combo_D_Calc_Base_Stat_U" localSheetId="5">Combos!$AW$10</definedName>
    <definedName name="Combo_D_Calc_Base_Stat_W" localSheetId="5">Combos!$AS$10</definedName>
    <definedName name="Combo_D_Calc_Level" localSheetId="5">Combos!$AT$4</definedName>
    <definedName name="Combo_D_Calc_Name" localSheetId="5">Combos!$AR$39</definedName>
    <definedName name="Combo_D_Calc_Progress_Num_A" localSheetId="5">Combos!$AT$9</definedName>
    <definedName name="Combo_D_Calc_Progress_Num_F" localSheetId="5">Combos!$AV$9</definedName>
    <definedName name="Combo_D_Calc_Progress_Num_I" localSheetId="5">Combos!$AU$9</definedName>
    <definedName name="Combo_D_Calc_Progress_Num_U" localSheetId="5">Combos!$AW$9</definedName>
    <definedName name="Combo_D_Calc_Progress_Num_W" localSheetId="5">Combos!$AS$9</definedName>
    <definedName name="Combo_D_Calc_Rarity" localSheetId="5">Combos!$AS$4</definedName>
    <definedName name="Combo_D_Calc_Tier_A" localSheetId="5">Combos!$AT$8</definedName>
    <definedName name="Combo_D_Calc_Tier_F" localSheetId="5">Combos!$AV$8</definedName>
    <definedName name="Combo_D_Calc_Tier_I" localSheetId="5">Combos!$AU$8</definedName>
    <definedName name="Combo_D_Calc_Tier_U" localSheetId="5">Combos!$AW$8</definedName>
    <definedName name="Combo_D_Calc_Tier_W" localSheetId="5">Combos!$AS$8</definedName>
    <definedName name="Combo_T_Calc_Base_Stat_A" localSheetId="5">Combos!$AT$20</definedName>
    <definedName name="Combo_T_Calc_Base_Stat_F" localSheetId="5">Combos!$AV$20</definedName>
    <definedName name="Combo_T_Calc_Base_Stat_I" localSheetId="5">Combos!$AU$20</definedName>
    <definedName name="Combo_T_Calc_Base_Stat_U" localSheetId="5">Combos!$AW$20</definedName>
    <definedName name="Combo_T_Calc_Base_Stat_W" localSheetId="5">Combos!$AS$20</definedName>
    <definedName name="Combo_T_Calc_Level" localSheetId="5">Combos!$AT$14</definedName>
    <definedName name="Combo_T_Calc_Name" localSheetId="5">Combos!$AR$32</definedName>
    <definedName name="Combo_T_Calc_Progress_Num_A" localSheetId="5">Combos!$AT$19</definedName>
    <definedName name="Combo_T_Calc_Progress_Num_F" localSheetId="5">Combos!$AV$19</definedName>
    <definedName name="Combo_T_Calc_Progress_Num_I" localSheetId="5">Combos!$AU$19</definedName>
    <definedName name="Combo_T_Calc_Progress_Num_U" localSheetId="5">Combos!$AW$19</definedName>
    <definedName name="Combo_T_Calc_Progress_Num_W" localSheetId="5">Combos!$AS$19</definedName>
    <definedName name="Combo_T_Calc_Rarity" localSheetId="5">Combos!$AS$14</definedName>
    <definedName name="Combo_T_Calc_Tier_A" localSheetId="5">Combos!$AT$18</definedName>
    <definedName name="Combo_T_Calc_Tier_F" localSheetId="5">Combos!$AV$18</definedName>
    <definedName name="Combo_T_Calc_Tier_I" localSheetId="5">Combos!$AU$18</definedName>
    <definedName name="Combo_T_Calc_Tier_U" localSheetId="5">Combos!$AW$18</definedName>
    <definedName name="Combo_T_Calc_Tier_W" localSheetId="5">Combos!$AS$18</definedName>
    <definedName name="FRS_Item_Get_Get_List_V" localSheetId="5">FRS!$AV$93:$AV$119</definedName>
    <definedName name="FRS_Item_Get_Give_List_H" localSheetId="5">FRS!$AW$92:$BW$92</definedName>
    <definedName name="FRS_Item_Give_Get_List_V" localSheetId="5">FRS!$AV$136:$AV$162</definedName>
    <definedName name="FRS_Item_Give_Give_List_H" localSheetId="5">FRS!$AW$135:$BW$135</definedName>
    <definedName name="FRS_Trading_List_Get_Full" localSheetId="5">FRS!$AV$92:$BW$119</definedName>
    <definedName name="FRS_Trading_List_Give_Full" localSheetId="5">FRS!$AV$135:$BW$162</definedName>
    <definedName name="Rarity_List_Universal" localSheetId="5">FRS!$B$18:$B$21</definedName>
    <definedName name="Trinkets_Calc_Base_Stat_List" localSheetId="5">FRS!$B$31:$G$61</definedName>
    <definedName name="Trinkets_Calc_Name_List" localSheetId="5">FRS!$B$31:$B$61</definedName>
    <definedName name="Weapon_Calc_Base_Stat_List" localSheetId="5">FRS!$J$31:$O$74</definedName>
    <definedName name="Weapon_Calc_Name_List" localSheetId="5">FRS!$J$31:$J$74</definedName>
    <definedName name="Base_Stat_W" localSheetId="3">Weapons!$X$23</definedName>
    <definedName name="Cloth_B_Calc_Base_Stat_List" localSheetId="3">FRS!$AH$31:$AM$82</definedName>
    <definedName name="Cloth_B_Calc_Name_List" localSheetId="3">FRS!$AH$31:$AH$82</definedName>
    <definedName name="Cloth_D_Calc_Base_Stat_List" localSheetId="3">FRS!$R$31:$W$84</definedName>
    <definedName name="Cloth_D_Calc_Name_List" localSheetId="3">FRS!$R$31:$R$84</definedName>
    <definedName name="Cloth_T_Calc_Base_Stat_List" localSheetId="3">FRS!$Z$31:$AE$82</definedName>
    <definedName name="Cloth_T_Calc_Name_List" localSheetId="3">FRS!$Z$31:$Z$82</definedName>
    <definedName name="FRS_Item_Get_Get_List_V" localSheetId="3">FRS!$AV$93:$AV$119</definedName>
    <definedName name="FRS_Item_Get_Give_List_H" localSheetId="3">FRS!$AW$92:$BW$92</definedName>
    <definedName name="FRS_Item_Give_Get_List_V" localSheetId="3">FRS!$AV$136:$AV$162</definedName>
    <definedName name="FRS_Item_Give_Give_List_H" localSheetId="3">FRS!$AW$135:$BW$135</definedName>
    <definedName name="FRS_Trading_List_Get_Full" localSheetId="3">FRS!$AV$92:$BW$119</definedName>
    <definedName name="FRS_Trading_List_Give_Full" localSheetId="3">FRS!$AV$135:$BW$162</definedName>
    <definedName name="Item_Level_W" localSheetId="3">Weapons!$V$21</definedName>
    <definedName name="Prog_Number_W" localSheetId="3">Weapons!$W$23</definedName>
    <definedName name="Rarity_List_Universal" localSheetId="3">FRS!$B$18:$B$21</definedName>
    <definedName name="Trinkets_Calc_Base_Stat_List" localSheetId="3">FRS!$B$31:$G$61</definedName>
    <definedName name="Trinkets_Calc_Name_List" localSheetId="3">FRS!$B$31:$B$61</definedName>
    <definedName name="Weapon_Calc_Base_Stat_A" localSheetId="3">Weapons!$X$10</definedName>
    <definedName name="Weapon_Calc_Base_Stat_F" localSheetId="3">Weapons!$Z$10</definedName>
    <definedName name="Weapon_Calc_Base_Stat_I" localSheetId="3">Weapons!$Y$10</definedName>
    <definedName name="Weapon_Calc_Base_Stat_List" localSheetId="3">FRS!$J$31:$O$74</definedName>
    <definedName name="Weapon_Calc_Base_Stat_U" localSheetId="3">Weapons!$AA$10</definedName>
    <definedName name="Weapon_Calc_Base_Stat_W" localSheetId="3">Weapons!$W$10</definedName>
    <definedName name="Weapon_Calc_Level" localSheetId="3">Weapons!$X$4</definedName>
    <definedName name="Weapon_Calc_Name" localSheetId="3">Weapons!$V$4</definedName>
    <definedName name="Weapon_Calc_Name_List" localSheetId="3">FRS!$J$31:$J$74</definedName>
    <definedName name="Weapon_Calc_Progress_Num_A" localSheetId="3">Weapons!$X$9</definedName>
    <definedName name="Weapon_Calc_Progress_Num_F" localSheetId="3">Weapons!$Z$9</definedName>
    <definedName name="Weapon_Calc_Progress_Num_I" localSheetId="3">Weapons!$Y$9</definedName>
    <definedName name="Weapon_Calc_Progress_Num_U" localSheetId="3">Weapons!$AA$9</definedName>
    <definedName name="Weapon_Calc_Progress_Num_W" localSheetId="3">Weapons!$W$9</definedName>
    <definedName name="Weapon_Calc_Rarity" localSheetId="3">Weapons!$W$4</definedName>
    <definedName name="Weapon_Calc_Tier_A" localSheetId="3">Weapons!$X$8</definedName>
    <definedName name="Weapon_Calc_Tier_F" localSheetId="3">Weapons!$Z$8</definedName>
    <definedName name="Weapon_Calc_Tier_I" localSheetId="3">Weapons!$Y$8</definedName>
    <definedName name="Weapon_Calc_Tier_U" localSheetId="3">Weapons!$AA$8</definedName>
    <definedName name="Weapon_Calc_Tier_W" localSheetId="3">Weapons!$W$8</definedName>
    <definedName name="Weapon_Rarity" localSheetId="3">Weapons!$W$21</definedName>
    <definedName name="Weapon_Tier" localSheetId="3">Weapons!$X$21</definedName>
    <definedName name="Cloth_B_Calc_Base_Stat_List" localSheetId="7">FRS!$AH$31:$AM$82</definedName>
    <definedName name="Cloth_B_Calc_Name_List" localSheetId="7">FRS!$AH$31:$AH$82</definedName>
    <definedName name="Cloth_D_Calc_Base_Stat_List" localSheetId="7">FRS!$R$31:$W$84</definedName>
    <definedName name="Cloth_D_Calc_Name_List" localSheetId="7">FRS!$R$31:$R$84</definedName>
    <definedName name="Cloth_T_Calc_Base_Stat_List" localSheetId="7">FRS!$Z$31:$AE$82</definedName>
    <definedName name="Cloth_T_Calc_Name_List" localSheetId="7">FRS!$Z$31:$Z$82</definedName>
    <definedName name="FRS_Item_Get_Get_List_V" localSheetId="7">FRS!$AV$93:$AV$119</definedName>
    <definedName name="FRS_Item_Get_Give_List_H" localSheetId="7">FRS!$AW$92:$BW$92</definedName>
    <definedName name="FRS_Item_Give_Get_List_V" localSheetId="7">[1]RS!$AV$136:$AV$162</definedName>
    <definedName name="FRS_Item_Give_Give_List_H" localSheetId="7">FRS!$AW$135:$BW$135</definedName>
    <definedName name="FRS_Trading_List_Get_Full" localSheetId="7">FRS!$AV$92:$BW$119</definedName>
    <definedName name="FRS_Trading_List_Give_Full" localSheetId="7">FRS!$AV$135:$BW$162</definedName>
    <definedName name="Rarity_List_Universal" localSheetId="7">FRS!$B$18:$B$21</definedName>
    <definedName name="Trinkets_Calc_Base_Stat_List" localSheetId="7">FRS!$B$31:$G$61</definedName>
    <definedName name="Trinkets_Calc_Name_List" localSheetId="7">FRS!$B$31:$B$61</definedName>
    <definedName name="Weapon_Calc_Base_Stat_List" localSheetId="7">FRS!$J$31:$O$74</definedName>
    <definedName name="Weapon_Calc_Name_List" localSheetId="7">FRS!$J$31:$J$74</definedName>
    <definedName name="Cloth_B_Calc_Base_Stat_List" localSheetId="8">FRS!$AH$31:$AM$82</definedName>
    <definedName name="Cloth_B_Calc_Name_List" localSheetId="8">FRS!$AH$31:$AH$82</definedName>
    <definedName name="Cloth_D_Calc_Base_Stat_List" localSheetId="8">FRS!$R$31:$W$84</definedName>
    <definedName name="Cloth_D_Calc_Name_List" localSheetId="8">FRS!$R$31:$R$84</definedName>
    <definedName name="Cloth_T_Calc_Base_Stat_List" localSheetId="8">FRS!$Z$31:$AE$82</definedName>
    <definedName name="Cloth_T_Calc_Name_List" localSheetId="8">FRS!$Z$31:$Z$82</definedName>
    <definedName name="FRS_Item_Get_Get_List_V" localSheetId="8">FRS!$AV$93:$AV$119</definedName>
    <definedName name="FRS_Item_Get_Give_List_H" localSheetId="8">FRS!$AW$92:$BW$92</definedName>
    <definedName name="FRS_Item_Give_Get_List_V" localSheetId="8">FRS!$AV$136:$AV$162</definedName>
    <definedName name="FRS_Item_Give_Give_List_H" localSheetId="8">[2]EFRS!$AW$135:$BW$135</definedName>
    <definedName name="FRS_Trading_List_Get_Full" localSheetId="8">FRS!$AV$92:$BW$119</definedName>
    <definedName name="FRS_Trading_List_Give_Full" localSheetId="8">FRS!$AV$135:$BW$162</definedName>
    <definedName name="Rarity_List_Universal" localSheetId="8">FRS!$B$18:$B$21</definedName>
    <definedName name="Trinkets_Calc_Base_Stat_List" localSheetId="8">FRS!$B$31:$G$61</definedName>
    <definedName name="Trinkets_Calc_Name_List" localSheetId="8">FRS!$B$31:$B$61</definedName>
    <definedName name="Weapon_Calc_Base_Stat_List" localSheetId="8">FRS!$J$31:$O$74</definedName>
    <definedName name="Weapon_Calc_Name_List" localSheetId="8">FRS!$J$31:$J$74</definedName>
    <definedName name="Cloth_B_Calc_Base_Stat_List" localSheetId="16">FRS!$AH$31:$AM$82</definedName>
    <definedName name="Cloth_B_Calc_Name_List" localSheetId="16">FRS!$AH$31:$AH$82</definedName>
    <definedName name="Cloth_D_Calc_Base_Stat_List" localSheetId="16">FRS!$R$31:$W$84</definedName>
    <definedName name="Cloth_D_Calc_Name_List" localSheetId="16">FRS!$R$31:$R$84</definedName>
    <definedName name="Cloth_T_Calc_Base_Stat_List" localSheetId="16">FRS!$Z$31:$AE$82</definedName>
    <definedName name="Cloth_T_Calc_Name_List" localSheetId="16">FRS!$Z$31:$Z$82</definedName>
    <definedName name="FRS_Item_Get_Get_List_V" localSheetId="16">FRS!$AV$93:$AV$119</definedName>
    <definedName name="FRS_Item_Get_Give_List_H" localSheetId="16">FRS!$AW$92:$BW$92</definedName>
    <definedName name="FRS_Item_Give_Get_List_V" localSheetId="16">FRS!$AV$136:$AV$162</definedName>
    <definedName name="FRS_Item_Give_Give_List_H" localSheetId="16">FRS!$AW$135:$BW$135</definedName>
    <definedName name="FRS_Trading_List_Get_Full" localSheetId="16">FRS!$AV$92:$BW$119</definedName>
    <definedName name="FRS_Trading_List_Give_Full" localSheetId="16">FRS!$AV$135:$BW$162</definedName>
    <definedName name="Rarity_List_Universal" localSheetId="16">FRS!$B$18:$B$21</definedName>
    <definedName name="Trinkets_Calc_Base_Stat_List" localSheetId="16">FRS!$B$31:$G$61</definedName>
    <definedName name="Trinkets_Calc_Name_List" localSheetId="16">FRS!$B$31:$B$61</definedName>
    <definedName name="Weapon_Calc_Base_Stat_List" localSheetId="16">FRS!$J$31:$O$74</definedName>
    <definedName name="Weapon_Calc_Name_List" localSheetId="16">FRS!$J$31:$J$74</definedName>
  </definedNames>
  <calcPr calcId="144525"/>
</workbook>
</file>

<file path=xl/sharedStrings.xml><?xml version="1.0" encoding="utf-8"?>
<sst xmlns="http://schemas.openxmlformats.org/spreadsheetml/2006/main" count="11051" uniqueCount="3805">
  <si>
    <t>名字</t>
  </si>
  <si>
    <t>中名</t>
  </si>
  <si>
    <t>手填
等级</t>
  </si>
  <si>
    <t>获取</t>
  </si>
  <si>
    <t>稀有度(中文)</t>
  </si>
  <si>
    <t>技能描述翻译</t>
  </si>
  <si>
    <t>初始</t>
  </si>
  <si>
    <t>游戏内截图翻译（WA近战先手I远程先</t>
  </si>
  <si>
    <t>最佳</t>
  </si>
  <si>
    <t>最差</t>
  </si>
  <si>
    <t>技</t>
  </si>
  <si>
    <t>装备</t>
  </si>
  <si>
    <t>装备备注</t>
  </si>
  <si>
    <t>列1</t>
  </si>
  <si>
    <t>列3</t>
  </si>
  <si>
    <t>W</t>
  </si>
  <si>
    <t>A</t>
  </si>
  <si>
    <t>I</t>
  </si>
  <si>
    <t>F</t>
  </si>
  <si>
    <t>U</t>
  </si>
  <si>
    <t>总属</t>
  </si>
  <si>
    <t>列5</t>
  </si>
  <si>
    <t>等级
推理</t>
  </si>
  <si>
    <t>列7</t>
  </si>
  <si>
    <t>W 意志(裸装)</t>
  </si>
  <si>
    <t>A 敏捷(裸装)</t>
  </si>
  <si>
    <t>I 智力(裸装)</t>
  </si>
  <si>
    <t>F 血量(裸装)</t>
  </si>
  <si>
    <t>U 免伤(裸装)</t>
  </si>
  <si>
    <t>列1222</t>
  </si>
  <si>
    <t>W 意志</t>
  </si>
  <si>
    <t>A 敏捷</t>
  </si>
  <si>
    <t>I 智力</t>
  </si>
  <si>
    <t>F 血量</t>
  </si>
  <si>
    <t>U 免伤</t>
  </si>
  <si>
    <t>列52</t>
  </si>
  <si>
    <t>角色 (Name)</t>
  </si>
  <si>
    <t>最佳武器 (Weapon)</t>
  </si>
  <si>
    <t>最佳衣服 (Dress/Top &amp; Bottom)</t>
  </si>
  <si>
    <t>最佳饰品 (Trinket)</t>
  </si>
  <si>
    <t>核心加成</t>
  </si>
  <si>
    <t>Kim</t>
  </si>
  <si>
    <t>朗读令人沮丧的名著，使最多 4 名敌人眩晕 2 回合。</t>
  </si>
  <si>
    <r>
      <rPr>
        <b/>
        <sz val="11"/>
        <color rgb="FF1F1F1F"/>
        <rFont val="宋体"/>
        <charset val="134"/>
      </rPr>
      <t>意志组</t>
    </r>
    <r>
      <rPr>
        <sz val="11"/>
        <color rgb="FF1F1F1F"/>
        <rFont val="Arial"/>
        <charset val="134"/>
      </rPr>
      <t xml:space="preserve"> (Olivia, Allura, Emily, Diana, Karin, Martina, Devi, Samantha, Lane, Trixie)</t>
    </r>
  </si>
  <si>
    <t>特种冲锋枪 (Special SMG)</t>
  </si>
  <si>
    <r>
      <rPr>
        <b/>
        <sz val="11"/>
        <color rgb="FF1F1F1F"/>
        <rFont val="Arial"/>
        <charset val="134"/>
      </rPr>
      <t>陆军上校 (Army Colonel)</t>
    </r>
    <r>
      <rPr>
        <sz val="11"/>
        <color rgb="FF1F1F1F"/>
        <rFont val="Arial"/>
        <charset val="134"/>
      </rPr>
      <t xml:space="preserve"> &amp; </t>
    </r>
    <r>
      <rPr>
        <b/>
        <sz val="11"/>
        <color rgb="FF1F1F1F"/>
        <rFont val="Arial"/>
        <charset val="134"/>
      </rPr>
      <t>陆军底部 (Army Bottom)</t>
    </r>
  </si>
  <si>
    <t>染发剂 (Hair Dye)</t>
  </si>
  <si>
    <t>W (意志)</t>
  </si>
  <si>
    <t>XX</t>
  </si>
  <si>
    <t>魅惑一名敌人，使其眩晕 2 回合并增加其受到伤害 30%。</t>
  </si>
  <si>
    <t>TRIXIE</t>
  </si>
  <si>
    <t>命令 2 名盟友立即攻击一名敌人。</t>
  </si>
  <si>
    <t>广播</t>
  </si>
  <si>
    <t>W:4, F:4</t>
  </si>
  <si>
    <t>W:5, F:4</t>
  </si>
  <si>
    <t>W:5, A:3</t>
  </si>
  <si>
    <t>远程高伤</t>
  </si>
  <si>
    <t>Sophie</t>
  </si>
  <si>
    <t>向 2 名生命值最低的盟友治疗 [20% 智力] 生命值并提升其 20% 伤害，持续 2 回合。</t>
  </si>
  <si>
    <t>金库</t>
  </si>
  <si>
    <r>
      <rPr>
        <b/>
        <sz val="11"/>
        <color rgb="FF1F1F1F"/>
        <rFont val="Arial"/>
        <charset val="134"/>
      </rPr>
      <t>敏捷组</t>
    </r>
    <r>
      <rPr>
        <sz val="11"/>
        <color rgb="FF1F1F1F"/>
        <rFont val="Arial"/>
        <charset val="134"/>
      </rPr>
      <t xml:space="preserve"> (PAIN, Chelsea, Gaia, Kiara, Amelia, Jane, Sonia, XX, Cloe, Tess)</t>
    </r>
  </si>
  <si>
    <t>刺客匕首 (Assassin's Dagger)</t>
  </si>
  <si>
    <r>
      <rPr>
        <b/>
        <sz val="11"/>
        <color rgb="FF1F1F1F"/>
        <rFont val="Arial"/>
        <charset val="134"/>
      </rPr>
      <t>野蛮人上衣 (Barbarian Top)</t>
    </r>
    <r>
      <rPr>
        <sz val="11"/>
        <color rgb="FF1F1F1F"/>
        <rFont val="Arial"/>
        <charset val="134"/>
      </rPr>
      <t xml:space="preserve"> &amp; </t>
    </r>
    <r>
      <rPr>
        <b/>
        <sz val="11"/>
        <color rgb="FF1F1F1F"/>
        <rFont val="Arial"/>
        <charset val="134"/>
      </rPr>
      <t>野蛮人裙 (Barbarian Skirt)</t>
    </r>
  </si>
  <si>
    <t>糖弹 (Sugar Bomb)</t>
  </si>
  <si>
    <t>A (敏捷)</t>
  </si>
  <si>
    <t>ASHLEY</t>
  </si>
  <si>
    <t>增加接下来3次攻击伤害30%</t>
  </si>
  <si>
    <t>矿石</t>
  </si>
  <si>
    <t>ANDREA</t>
  </si>
  <si>
    <t>治疗 2 名生命值最低的盟友，恢复其最大生命值的 10% + [15% 智力]。</t>
  </si>
  <si>
    <t>A:5, F:4</t>
  </si>
  <si>
    <t>A:5, F:5</t>
  </si>
  <si>
    <t>A:5, I:4</t>
  </si>
  <si>
    <t>近战/暴击</t>
  </si>
  <si>
    <t>LADY JUDITH</t>
  </si>
  <si>
    <t>击晕所有敌人1回合,并增加接下来3次攻击伤害15%</t>
  </si>
  <si>
    <r>
      <rPr>
        <b/>
        <sz val="11"/>
        <color rgb="FF1F1F1F"/>
        <rFont val="Arial"/>
        <charset val="134"/>
      </rPr>
      <t>智力组</t>
    </r>
    <r>
      <rPr>
        <sz val="11"/>
        <color rgb="FF1F1F1F"/>
        <rFont val="Arial"/>
        <charset val="134"/>
      </rPr>
      <t xml:space="preserve"> (Eleanor, Autumn, Allura, Maria, Andrea, Sophie, Kim, Cloe, Lane)</t>
    </r>
  </si>
  <si>
    <t>特斯拉枪 (Tesla Gun)</t>
  </si>
  <si>
    <r>
      <rPr>
        <b/>
        <sz val="11"/>
        <color rgb="FF1F1F1F"/>
        <rFont val="Arial"/>
        <charset val="134"/>
      </rPr>
      <t>精巧上衣 (Exquisite Top)</t>
    </r>
    <r>
      <rPr>
        <sz val="11"/>
        <color rgb="FF1F1F1F"/>
        <rFont val="Arial"/>
        <charset val="134"/>
      </rPr>
      <t xml:space="preserve"> &amp; </t>
    </r>
    <r>
      <rPr>
        <b/>
        <sz val="11"/>
        <color rgb="FF1F1F1F"/>
        <rFont val="Arial"/>
        <charset val="134"/>
      </rPr>
      <t>霓虹灯底部 (Neon Bottom)</t>
    </r>
  </si>
  <si>
    <t>Lovense 礼物 (Lovense Gift)</t>
  </si>
  <si>
    <t>I (智力)</t>
  </si>
  <si>
    <t>MARTHA</t>
  </si>
  <si>
    <t>对所有敌人灌输流言蜚语。将接下来6次攻击造成的伤害减少50%。</t>
  </si>
  <si>
    <t>JANE</t>
  </si>
  <si>
    <t>增加接下来2次攻击伤害30%</t>
  </si>
  <si>
    <t>I:4, F:4</t>
  </si>
  <si>
    <t>I:5</t>
  </si>
  <si>
    <t>I:5, A:3</t>
  </si>
  <si>
    <t>技能/治疗</t>
  </si>
  <si>
    <t>SONIA</t>
  </si>
  <si>
    <t>发动2次连续攻击，每次造成 [75% DPS] 伤害。</t>
  </si>
  <si>
    <r>
      <rPr>
        <b/>
        <sz val="11"/>
        <color rgb="FF1F1F1F"/>
        <rFont val="Arial"/>
        <charset val="134"/>
      </rPr>
      <t>坦克组</t>
    </r>
    <r>
      <rPr>
        <sz val="11"/>
        <color rgb="FF1F1F1F"/>
        <rFont val="Arial"/>
        <charset val="134"/>
      </rPr>
      <t xml:space="preserve"> (Beatrix, Banka, Martha, Lady Judith, Momoka, Ann, Veneza)</t>
    </r>
  </si>
  <si>
    <t>巨型扳手 (Giant Wrench)</t>
  </si>
  <si>
    <r>
      <rPr>
        <b/>
        <sz val="11"/>
        <color rgb="FF1F1F1F"/>
        <rFont val="Arial"/>
        <charset val="134"/>
      </rPr>
      <t>埃莉诺·塞特 (Eleanor Set - 裙)</t>
    </r>
    <r>
      <rPr>
        <sz val="11"/>
        <color rgb="FF1F1F1F"/>
        <rFont val="Arial"/>
        <charset val="134"/>
      </rPr>
      <t xml:space="preserve"> 或 </t>
    </r>
    <r>
      <rPr>
        <b/>
        <sz val="11"/>
        <color rgb="FF1F1F1F"/>
        <rFont val="Arial"/>
        <charset val="134"/>
      </rPr>
      <t>统治 (Dominance)</t>
    </r>
  </si>
  <si>
    <t>手工棒棒糖 (Handmade Lollipop)</t>
  </si>
  <si>
    <t>F/U (生存)</t>
  </si>
  <si>
    <t>Ann</t>
  </si>
  <si>
    <t>为最多 2 名生命值最低的盟友治疗[20% 敏捷]并增加50%护甲，持续4 回合。</t>
  </si>
  <si>
    <t>MARTINA</t>
  </si>
  <si>
    <t>跳跃到最弱的敌人身上，造成 [150?% DPS] 伤害。</t>
  </si>
  <si>
    <t>F:5, U:5</t>
  </si>
  <si>
    <t>U:5, F:4</t>
  </si>
  <si>
    <t>嘲讽/减伤</t>
  </si>
  <si>
    <t>LANE</t>
  </si>
  <si>
    <t>入侵敌方装备，对2名敌人造成 [25% 智力] 伤害，并减少其 25% 伤害，持续2回合。</t>
  </si>
  <si>
    <r>
      <rPr>
        <b/>
        <sz val="11"/>
        <color rgb="FF1F1F1F"/>
        <rFont val="Arial"/>
        <charset val="134"/>
      </rPr>
      <t>平衡/特殊</t>
    </r>
    <r>
      <rPr>
        <sz val="11"/>
        <color rgb="FF1F1F1F"/>
        <rFont val="Arial"/>
        <charset val="134"/>
      </rPr>
      <t xml:space="preserve"> (Irma, Foxy, PamOne, PamTwo)</t>
    </r>
  </si>
  <si>
    <t>爱之弓 (Bow of Love)</t>
  </si>
  <si>
    <t>JNT套装 (JNT Set)</t>
  </si>
  <si>
    <t>可爱胸针 (Cute Brooch)</t>
  </si>
  <si>
    <t>均衡成长</t>
  </si>
  <si>
    <t>KARIN</t>
  </si>
  <si>
    <t>恢复活力，治疗 [?% HP] 生命值两种防御力增强40%，持续5回合。</t>
  </si>
  <si>
    <t>F?</t>
  </si>
  <si>
    <t>AwF</t>
  </si>
  <si>
    <t>外WI</t>
  </si>
  <si>
    <t>Momoka</t>
  </si>
  <si>
    <t>暴露一个恶棍，命令两个盟友立即攻击他。</t>
  </si>
  <si>
    <t>W:3, A:4</t>
  </si>
  <si>
    <t>全属性:3</t>
  </si>
  <si>
    <t>CRAZY</t>
  </si>
  <si>
    <t>向最多 4 名敌人投掷炸弹，对其造成 [75% DPS] 伤害。</t>
  </si>
  <si>
    <r>
      <rPr>
        <b/>
        <sz val="11"/>
        <color rgb="FF1F1F1F"/>
        <rFont val="Arial"/>
        <charset val="134"/>
      </rPr>
      <t>工人类</t>
    </r>
    <r>
      <rPr>
        <sz val="11"/>
        <color rgb="FF1F1F1F"/>
        <rFont val="Arial"/>
        <charset val="134"/>
      </rPr>
      <t xml:space="preserve"> (YASU, ANGELA, Sakaki)</t>
    </r>
  </si>
  <si>
    <t>扳手 (Wrench)</t>
  </si>
  <si>
    <r>
      <rPr>
        <b/>
        <sz val="11"/>
        <color rgb="FF1F1F1F"/>
        <rFont val="Arial"/>
        <charset val="134"/>
      </rPr>
      <t>技工上衣 (Mechanic Top)</t>
    </r>
    <r>
      <rPr>
        <sz val="11"/>
        <color rgb="FF1F1F1F"/>
        <rFont val="Arial"/>
        <charset val="134"/>
      </rPr>
      <t xml:space="preserve"> &amp; </t>
    </r>
    <r>
      <rPr>
        <b/>
        <sz val="11"/>
        <color rgb="FF1F1F1F"/>
        <rFont val="Arial"/>
        <charset val="134"/>
      </rPr>
      <t>技工裙 (Mechanic Skirt)</t>
    </r>
  </si>
  <si>
    <t>生日纸杯蛋糕 (Birthday Cupcake)</t>
  </si>
  <si>
    <t>生产效率</t>
  </si>
  <si>
    <t>TESS</t>
  </si>
  <si>
    <t>嘲讽所有敌人1回合，将接下来6次攻击造成伤害减少50%。</t>
  </si>
  <si>
    <t>SARA</t>
  </si>
  <si>
    <t>血瓶</t>
  </si>
  <si>
    <t>F:5, I:5</t>
  </si>
  <si>
    <t>KIARA</t>
  </si>
  <si>
    <t>命令2名盟友立即攻击一名敌人。</t>
  </si>
  <si>
    <t>SAMANTHA</t>
  </si>
  <si>
    <t>迷惑一个敌人，使其昏迷1圈，并在接下来的3次攻击中增加15%的伤害。</t>
  </si>
  <si>
    <t>C Rank</t>
  </si>
  <si>
    <t>Rhode</t>
  </si>
  <si>
    <t>B Rank</t>
  </si>
  <si>
    <t>Foxy</t>
  </si>
  <si>
    <t>向2名生命值最低的盟友治疗 [20% AGI] 生命值并提升其20%伤害，持续2回合。</t>
  </si>
  <si>
    <t>A Rank</t>
  </si>
  <si>
    <t>PamTwo</t>
  </si>
  <si>
    <t>发起一系列3次攻击，每次处理9损坏，忽略所有防御。</t>
  </si>
  <si>
    <t>S Rank</t>
  </si>
  <si>
    <t>Formula</t>
  </si>
  <si>
    <t>Raw Formula</t>
  </si>
  <si>
    <t>CLOE</t>
  </si>
  <si>
    <t>向3名敌人投掷炸药，对其造成 [75% DPS] 伤害。</t>
  </si>
  <si>
    <t>32 (+4)</t>
  </si>
  <si>
    <t>32+((Champion_Level-1)*4)</t>
  </si>
  <si>
    <t>Gaia</t>
  </si>
  <si>
    <t>38 (+5)</t>
  </si>
  <si>
    <t>38+((Champion_Level-1)*5)</t>
  </si>
  <si>
    <t>Amelia</t>
  </si>
  <si>
    <t>用[50% HP] 和 [100% DPS]创造一个分身诱饵，嘲讽敌人最4人,持续最多4回合。</t>
  </si>
  <si>
    <t>40 (+6)</t>
  </si>
  <si>
    <t>40+((Champion_Level-1)*6)</t>
  </si>
  <si>
    <t>PamOne</t>
  </si>
  <si>
    <t>42 (+6)</t>
  </si>
  <si>
    <t>42+((Champion_Level-1)*6)</t>
  </si>
  <si>
    <t>Liza</t>
  </si>
  <si>
    <t>45 (+6)</t>
  </si>
  <si>
    <t>45+((Champion_Level-1)*6)</t>
  </si>
  <si>
    <t>Beatrix</t>
  </si>
  <si>
    <t>暴露自己，嘲讽2个敌人4回合，使下一次攻击造成的伤害减少40%。</t>
  </si>
  <si>
    <t>48 (+7)</t>
  </si>
  <si>
    <t>48+((Champion_Level-1)*7)</t>
  </si>
  <si>
    <t>Diana</t>
  </si>
  <si>
    <t>60 (+9)</t>
  </si>
  <si>
    <t>60+((Champion_Level-1)*9)</t>
  </si>
  <si>
    <t>Irma</t>
  </si>
  <si>
    <t>向 4 名敌人脚下投掷捕熊陷阱，对每名敌人造成 [50% DPS] 伤害。</t>
  </si>
  <si>
    <t>72 (+14)</t>
  </si>
  <si>
    <t>72+((Champion_Level-1)*14)</t>
  </si>
  <si>
    <t>Devi</t>
  </si>
  <si>
    <t>攻击当前目标，造成 [350% DMG] 伤害。</t>
  </si>
  <si>
    <t>Maria</t>
  </si>
  <si>
    <t>为 2 名血量最低的队友回复 10% 最大生命值 + [20% INT]。</t>
  </si>
  <si>
    <t>PAIN</t>
  </si>
  <si>
    <t>鞭打最多3名敌人，对每名敌人造成 [30% DPS] 伤害。</t>
  </si>
  <si>
    <t>Emily</t>
  </si>
  <si>
    <t>跳向最虚弱的敌人，造成 [250% DPS] 伤害。</t>
  </si>
  <si>
    <t>Adelaine</t>
  </si>
  <si>
    <t>Veneza</t>
  </si>
  <si>
    <t>pink</t>
  </si>
  <si>
    <t>Z-ANGELA</t>
  </si>
  <si>
    <t>W-U-IA-F</t>
  </si>
  <si>
    <t>Z-YASU</t>
  </si>
  <si>
    <t>Z-MARY</t>
  </si>
  <si>
    <t>Z-Sakaki</t>
  </si>
  <si>
    <t>I-W-AF-U</t>
  </si>
  <si>
    <t>Z-LEILANI</t>
  </si>
  <si>
    <t>Z-DAISY</t>
  </si>
  <si>
    <t>_+++</t>
  </si>
  <si>
    <t>使用 Kim+Judith+Pink 搭配喷火器</t>
  </si>
  <si>
    <t xml:space="preserve">锁死姐妹 = Kim, Judith, Pink, Sibyl </t>
  </si>
  <si>
    <t>锁死姐妹（金姆、朱迪斯夫人、粉红、西比尔）即锁死敌人</t>
  </si>
  <si>
    <t>金姆和朱迪斯有 flamers，粉红有斧头因为她工作在财政部</t>
  </si>
  <si>
    <t>锁死姐妹队是 kim，judith，pink，使用火焰喷射器以最快技能使用速度</t>
  </si>
  <si>
    <t>尖刺队是帕姆爆发流和 liza 或 notlaracroft，使用武士刀以最大化深度</t>
  </si>
  <si>
    <t>帕姆爆发流（帕姆一，帕姆二，一个随机）</t>
  </si>
  <si>
    <t>步骤 1：使用帕姆爆发流和一个眩晕技能（粉色最肉，但任何都可以）并获胜</t>
  </si>
  <si>
    <t>步骤 2：如果你不小心没赢，重新加载游戏，用最低速度和金卡+朱迪斯+粉色对战同一个对手并获胜</t>
  </si>
  <si>
    <t>4 攻击敏捷（辅助技能）：锋利砍刀</t>
  </si>
  <si>
    <t>2 攻击敏捷（DPS 技能）：武士刀</t>
  </si>
  <si>
    <t>4 攻击意志（辅助技能）：精准激光手枪</t>
  </si>
  <si>
    <t>2 攻击意志（DPS 技能）：免费：鱼叉枪，付费：冲锋枪，专业冲锋枪</t>
  </si>
  <si>
    <t>全部 I：电击枪变种（标准电击枪可通过重铸达到 50%护甲穿透）</t>
  </si>
  <si>
    <t>特别：</t>
  </si>
  <si>
    <t>高 A/I（艾尔玛，粉红）- 水槌。</t>
  </si>
  <si>
    <t>高 W/I（玛丽亚，茉莉）- 加农炮（付费）</t>
  </si>
  <si>
    <t>高 A/W（克里斯）- 恋弓（注意：卡琳实际上拥有恋弓的属性，但她的技能与它不兼容。给她一把太刀就行了。）</t>
  </si>
  <si>
    <t>Makeda：火焰斧头（这是完全独特于 Makeda 的特定能力依赖）</t>
  </si>
  <si>
    <t>4 attack Agility (utility skills): Sharp Machete</t>
  </si>
  <si>
    <t>2 attack Agility (DPS skills): Katana</t>
  </si>
  <si>
    <t>4 attack Willpower (utility skills): Precision Laser Pistol</t>
  </si>
  <si>
    <t>2 attack Willpower (DPS skills): Free: Harpoon Gun, Paid: SMG, Specialized SMG</t>
  </si>
  <si>
    <t>All I: Taser variants (standard Taser can reach 50% Armor Penetration with reforging)</t>
  </si>
  <si>
    <t>SPECIAL:</t>
  </si>
  <si>
    <t>High A/I (Irma, Pink) - Splathammer.</t>
  </si>
  <si>
    <t>High W/I (Maria, Jasmine) - Blaster (PAID)</t>
  </si>
  <si>
    <t>High A/W (Kriss) - Amorous Bow (NOTE: Karin technically has the stats for the Amorous Bow, but her skill doesn't play nice with it. Just give her a katana.)</t>
  </si>
  <si>
    <t>Makeda: Fire Axe (This is entirely unique to Makeda's specific ability dependencies)</t>
  </si>
  <si>
    <t>4x A - Sharp Machete</t>
  </si>
  <si>
    <t>2x A - Katana</t>
  </si>
  <si>
    <t>4x W - Precision Laser Pistol</t>
  </si>
  <si>
    <t>2x W - SMG (Premium) / Specialized SMG (Premium) / Harpoon Gun</t>
  </si>
  <si>
    <t>All I - Tazer / High Vault Taser / Overcharged Taser / Large Taser (Reforged for Armor Pen)</t>
  </si>
  <si>
    <t>Special:</t>
  </si>
  <si>
    <t>A/I (Irma, Pink, etc.) HAMMERS</t>
  </si>
  <si>
    <t>W/I (Emily, Maria) Blaster (Premium)</t>
  </si>
  <si>
    <t xml:space="preserve">Olivia with a Precision Laser Pistol </t>
  </si>
  <si>
    <t xml:space="preserve">Autumn with a High Volt Taser </t>
  </si>
  <si>
    <t>Andrea has a Tesla Cannon because the devs hate me, in particular</t>
  </si>
  <si>
    <t xml:space="preserve">Ann with a Butter Sword (Sharp Machete) </t>
  </si>
  <si>
    <t xml:space="preserve">Diana with a Harpoon Gun </t>
  </si>
  <si>
    <t>Devi has a Small Harpoon Gun (though I'll give her a Specialized SMG when I finally snag one)</t>
  </si>
  <si>
    <t xml:space="preserve">Allura has a whole thing going on but also has a High Volt for now </t>
  </si>
  <si>
    <t xml:space="preserve">And Adelaide is auburn enough when you actually look at her so I count her, she's got a Katana. </t>
  </si>
  <si>
    <t>4 攻击敏捷（实用技能）：锋利砍刀</t>
  </si>
  <si>
    <t>2 攻击敏捷（DPS技能）：武士刀</t>
  </si>
  <si>
    <t>4 攻击力意志力（实用技能）：精确激光手枪</t>
  </si>
  <si>
    <t>2次攻击意志力（DPS技能）：免费：鱼叉枪，付费：冲锋枪，专业冲锋枪</t>
  </si>
  <si>
    <t>所有I：泰瑟枪变种（标准泰瑟枪通过重铸可达到50%的护甲穿透）</t>
  </si>
  <si>
    <t>特别提示：</t>
  </si>
  <si>
    <t>高A/I（伊尔玛，粉红色）- 斯普拉塔默。</t>
  </si>
  <si>
    <t>高W/I（Maria，Jasmine）- Blaster（付费）</t>
  </si>
  <si>
    <t>高A/W（克里斯）- 恋爱弓（注：从技术上讲，卡琳具备使用恋爱弓的属性，但她的技能与该弓并不匹配。还是给她一把武士刀吧。）</t>
  </si>
  <si>
    <t>玛克达：火斧（这是玛克达特有技能依赖项）</t>
  </si>
  <si>
    <t>4x A - 锋利砍刀</t>
  </si>
  <si>
    <t>2x A - 武士刀</t>
  </si>
  <si>
    <t>4x W - 精密激光手枪</t>
  </si>
  <si>
    <t>2x W - SMG（高级）/专用SMG（高级）/鱼叉枪</t>
  </si>
  <si>
    <t>所有I型泰瑟枪/高电压泰瑟枪/过充泰瑟枪/大型泰瑟枪（重铸以获得护甲穿透）</t>
  </si>
  <si>
    <t>A/I（伊尔玛、粉红等）锤</t>
  </si>
  <si>
    <t>W/I（艾米丽、玛丽亚）爆破手（高级）</t>
  </si>
  <si>
    <t>Olivia 携带精准激光手枪</t>
  </si>
  <si>
    <t>秋天的超高电压电击器</t>
  </si>
  <si>
    <t>安德里亚有一门特斯拉大炮，因为开发人员讨厌我，尤其是</t>
  </si>
  <si>
    <t>Ann 持黄油剑（锋利砍刀）</t>
  </si>
  <si>
    <t>用鱼叉枪的 Diana</t>
  </si>
  <si>
    <t>Devi 有一把小型鱼叉枪（不过等我最终弄到手，我会给她一把专业的冲锋枪）</t>
  </si>
  <si>
    <t>Allura 现在有一整套计划，但目前也有高压电的问题</t>
  </si>
  <si>
    <t>当你真正看到阿德莱德时，她的红发足够引人注目，所以我把她算上，她有一把武士刀</t>
  </si>
  <si>
    <t>Olivia 和 Diana 想要 WFU，而 Karin 和 Ann 想要 AFU。</t>
  </si>
  <si>
    <t>Diana 和 Karin 尤其想要 U，因为她们技能的效果基于防御，所以最大化这一点对她们来说更重要。</t>
  </si>
  <si>
    <t>此外，Diana 和 Karin 真的真的真的想要双攻武器。我无法强调这对他们两人来说有多重要</t>
  </si>
  <si>
    <t>我有 Banka、Ann 和 Tess，他们拿着锐利的小刀，用得很好。</t>
  </si>
  <si>
    <t>正是如此。而且 Banka 在机制上就是黄金 Tess。</t>
  </si>
  <si>
    <t>像 Pink 和 Samantha 这样的眩晕型角色也喜欢四攻武器。</t>
  </si>
  <si>
    <t>虽然 Sam 是 W 属性，所以她想要万能的 Precision Laser Pistol。</t>
  </si>
  <si>
    <t>然后是 Autumn。理论上她想要四攻武器，但是确实没有 I 属性的四攻武器。所以我让她用 High Volt Taser。她用这个依然非常强力，但是没有达到最优化的状态。 (已编辑)2024年5月26日星期日 08:07</t>
  </si>
  <si>
    <t>鱼叉枪比大多数手枪更好</t>
  </si>
  <si>
    <t>精密激光手枪除外</t>
  </si>
  <si>
    <t>也不考虑任何付费武器</t>
  </si>
  <si>
    <t>艾尔玛用她自己的装备和一把锤子对我来说简直荒谬透顶</t>
  </si>
  <si>
    <t>正确。伊尔玛的顶部和底部 A 和 I 都出奇地高，所以她很适合这个</t>
  </si>
  <si>
    <t>姓名 (Name)</t>
  </si>
  <si>
    <t>姓名 (中文)</t>
  </si>
  <si>
    <t>出场/获取</t>
  </si>
  <si>
    <t>主动技能名称</t>
  </si>
  <si>
    <t>Skill Description (原文)</t>
  </si>
  <si>
    <t>技能描述 (修正)</t>
  </si>
  <si>
    <t>最佳属性</t>
  </si>
  <si>
    <t>最差属性</t>
  </si>
  <si>
    <t>备注</t>
  </si>
  <si>
    <t>______</t>
  </si>
  <si>
    <t>Y隔断</t>
  </si>
  <si>
    <t>0(+0)</t>
  </si>
  <si>
    <t>Green</t>
  </si>
  <si>
    <t>Red</t>
  </si>
  <si>
    <t>za</t>
  </si>
  <si>
    <t>Yellow</t>
  </si>
  <si>
    <t>Adah</t>
  </si>
  <si>
    <t>阿达</t>
  </si>
  <si>
    <t>阿德莱恩</t>
  </si>
  <si>
    <t>攻速倒数第一，成长高每级+14的A，使用X2近战武士刀8次</t>
  </si>
  <si>
    <t>随机敌人，每个造成36点伤害，忽略所有防御。</t>
  </si>
  <si>
    <t>54(+8)</t>
  </si>
  <si>
    <t>72(+14)</t>
  </si>
  <si>
    <t>60(+9)</t>
  </si>
  <si>
    <t>无视护甲</t>
  </si>
  <si>
    <t>Allura</t>
  </si>
  <si>
    <t>阿露拉</t>
  </si>
  <si>
    <t>6箱子</t>
  </si>
  <si>
    <t>传说</t>
  </si>
  <si>
    <t>Cosmic Precognition</t>
  </si>
  <si>
    <t>Increases the damage of the next 2 attacks by 300%. Ready at the start of combat.</t>
  </si>
  <si>
    <t>使下 2 次攻击的伤害提升 300%。战斗开始时即就绪。</t>
  </si>
  <si>
    <t>66(+11)</t>
  </si>
  <si>
    <t>48(+7)</t>
  </si>
  <si>
    <t>W, I</t>
  </si>
  <si>
    <t>阿米莉亚</t>
  </si>
  <si>
    <t>5剧情</t>
  </si>
  <si>
    <t>史诗</t>
  </si>
  <si>
    <t>A(lmost)melia</t>
  </si>
  <si>
    <t>Creates a decoy version of herself with [50% HP] health and [100% DPS] defense that taunts enemies up to 2 seconds.</t>
  </si>
  <si>
    <t>创造一个诱饵分身（继承 [50% HP] 和 [100% DPS] 的防御），嘲讽敌人最多 2 秒。</t>
  </si>
  <si>
    <t>38(+5)</t>
  </si>
  <si>
    <t>A, I</t>
  </si>
  <si>
    <t>Andrea</t>
  </si>
  <si>
    <t>安德烈亚</t>
  </si>
  <si>
    <t>1剧情</t>
  </si>
  <si>
    <t>稀有</t>
  </si>
  <si>
    <t>ELDI Infusion</t>
  </si>
  <si>
    <t>Heal 2 lowest health allies by 10% of their Max HP + [15% INT].</t>
  </si>
  <si>
    <t>高电压电击枪（I 类武器伤害最高）</t>
  </si>
  <si>
    <t>为 2 名血量最低的队友回复 10% 最大生命值 + [15% INT]。</t>
  </si>
  <si>
    <t>42(+6)</t>
  </si>
  <si>
    <t>W, F</t>
  </si>
  <si>
    <t>安</t>
  </si>
  <si>
    <t>3箱子</t>
  </si>
  <si>
    <t>3-Star Chef</t>
  </si>
  <si>
    <t>Give a delicious meal to up to 2 lowest health allies, healing them by [20% AGI] and increasing armor 50% for 4 turns.</t>
  </si>
  <si>
    <t>X2武士刀，4次。X4匕首7次</t>
  </si>
  <si>
    <t>为最多 2 名血量最低的队友提供美食，回复 [20% AGI] 生命值，并在 4 回合内提升 50% 护甲。</t>
  </si>
  <si>
    <t>Ashley</t>
  </si>
  <si>
    <t>艾希莉</t>
  </si>
  <si>
    <t>5箱子</t>
  </si>
  <si>
    <t>Amp It Up</t>
  </si>
  <si>
    <t>Increases damage of next 2 attacks by 200%. Ready at the start of combat.</t>
  </si>
  <si>
    <t>无论是近战还是远程攻击，都需要 4 次攻击</t>
  </si>
  <si>
    <t>使下 2 次攻击的伤害提升 200%。战斗开始时即就绪。</t>
  </si>
  <si>
    <t>32(+4)</t>
  </si>
  <si>
    <t>A, U</t>
  </si>
  <si>
    <t>Autumn</t>
  </si>
  <si>
    <t>奥特姆</t>
  </si>
  <si>
    <t>8专属</t>
  </si>
  <si>
    <t>Season Shift</t>
  </si>
  <si>
    <t>Reducing Damage of up to 4 enemies by 30% while increasing the damage of all allies by 30% for 2 turns.</t>
  </si>
  <si>
    <t>在 2 回合内降低最多 4 名敌人 30% 的伤害，同时提升全体队友 30% 的伤害。</t>
  </si>
  <si>
    <t>W, A, F</t>
  </si>
  <si>
    <t>Banka</t>
  </si>
  <si>
    <t>班卡</t>
  </si>
  <si>
    <t>Teasing Bubbling</t>
  </si>
  <si>
    <t>Taunts enemies for 3 turns, reducing damage taken from their attacks by 40%.</t>
  </si>
  <si>
    <t>嘲讽敌人 3 回合，减少 40% 所受到的伤害。</t>
  </si>
  <si>
    <t>碧翠丝</t>
  </si>
  <si>
    <t>4剧情</t>
  </si>
  <si>
    <t>Due Punishment</t>
  </si>
  <si>
    <t>Exposes herself, taunting for 3 turns, reducing damage taken by 50%.</t>
  </si>
  <si>
    <t>展露自我，嘲讽敌人 3 回合，减少 50% 所受到的伤害。</t>
  </si>
  <si>
    <t>40(+6)</t>
  </si>
  <si>
    <t>Carmilla</t>
  </si>
  <si>
    <t>卡米拉</t>
  </si>
  <si>
    <t>Catherine</t>
  </si>
  <si>
    <t>凯瑟琳</t>
  </si>
  <si>
    <t>CB-69</t>
  </si>
  <si>
    <t>CB-69（技能快</t>
  </si>
  <si>
    <t>Chelsea</t>
  </si>
  <si>
    <t>切尔西</t>
  </si>
  <si>
    <t>Suffocating Hips</t>
  </si>
  <si>
    <t>Instantly attack weakest enemy, dealing [30% DPS] damage.</t>
  </si>
  <si>
    <t>立即攻击最虚弱的敌人，造成 [30% DPS] 伤害。</t>
  </si>
  <si>
    <t>Cloe</t>
  </si>
  <si>
    <t>克洛伊</t>
  </si>
  <si>
    <t>1箱子</t>
  </si>
  <si>
    <t>Short Fuse</t>
  </si>
  <si>
    <t>Throws dynamite at 2 enemies, dealing [75% DPS] damage to them.</t>
  </si>
  <si>
    <t>向 2 名敌人投掷炸药，造成 [75% DPS] 伤害。</t>
  </si>
  <si>
    <t>44(+6)</t>
  </si>
  <si>
    <t>Crazy</t>
  </si>
  <si>
    <t>疯狂</t>
  </si>
  <si>
    <t>Bombs for Everyone</t>
  </si>
  <si>
    <t>Throws bombs at up to 4 enemies, dealing [75% DPS] damage to them.</t>
  </si>
  <si>
    <t>向最多 4 名敌人投掷炸弹，造成 [75% DPS] 伤害。</t>
  </si>
  <si>
    <t>50(+7)</t>
  </si>
  <si>
    <t>W, U</t>
  </si>
  <si>
    <t>Dahia</t>
  </si>
  <si>
    <t>达希亚</t>
  </si>
  <si>
    <t>团队增益</t>
  </si>
  <si>
    <t>Desiderata</t>
  </si>
  <si>
    <t>德西德拉塔</t>
  </si>
  <si>
    <t>黛维</t>
  </si>
  <si>
    <t>8剧情</t>
  </si>
  <si>
    <t>Snipe</t>
  </si>
  <si>
    <t>Attacks her current target, dealing [350% DMG] damage.</t>
  </si>
  <si>
    <t>攻速倒数第二</t>
  </si>
  <si>
    <t>W, I, U</t>
  </si>
  <si>
    <t>黛安娜</t>
  </si>
  <si>
    <t>7箱子</t>
  </si>
  <si>
    <t>Last Stand</t>
  </si>
  <si>
    <t>Regain vigor, healing herself [25% HP] and gaining [125% DEF] defense for 2 turns.</t>
  </si>
  <si>
    <t>鱼叉枪（W 和 F 属性第二高，U 属性中等，但在 W 属性链中这是最好的防御选择）</t>
  </si>
  <si>
    <t>恢复活力，回复自身 [25% HP] 并在 2 回合内获得 [125% DEF] 防御加成。</t>
  </si>
  <si>
    <t>Eleanor</t>
  </si>
  <si>
    <t>埃莉诺</t>
  </si>
  <si>
    <t>Scandinavian Defence</t>
  </si>
  <si>
    <t>For 3 turns reduces all enemies damage and defences by 20% while boosting all allies damage by 30%.</t>
  </si>
  <si>
    <t>在 3 回合内降低全体敌人 20% 的伤害和防御，同时提升全体队友 30% 的伤害。</t>
  </si>
  <si>
    <t>I, U</t>
  </si>
  <si>
    <t>艾米莉</t>
  </si>
  <si>
    <t>7剧情</t>
  </si>
  <si>
    <t>Cull The Weak</t>
  </si>
  <si>
    <t>Jump on the weakest enemy, dealing [250% DPS] damage.</t>
  </si>
  <si>
    <t>福克希</t>
  </si>
  <si>
    <t>4箱子</t>
  </si>
  <si>
    <t>Penetrator</t>
  </si>
  <si>
    <t>Pass a drink to up to 2 lowest health allies, healing them by [20% AGI] and increasing their damage 20% for 2 turns.</t>
  </si>
  <si>
    <t>为最多 2 名血量最低的队友递出饮品，回复 [20% AGI] 生命值，并在 2 回合内提升其 20% 伤害。</t>
  </si>
  <si>
    <t>全能偏A</t>
  </si>
  <si>
    <t>Frozen</t>
  </si>
  <si>
    <t>弗罗赞</t>
  </si>
  <si>
    <t>Snow Queen</t>
  </si>
  <si>
    <t>Freeze one enemy with her deadly glare, stunning them for 3 turns and increasing their damage taken by 50%</t>
  </si>
  <si>
    <t>用致命凝视冻结一名敌人，使其眩晕 3 回合，并使其受到的伤害提升 50%。</t>
  </si>
  <si>
    <t>盖亚</t>
  </si>
  <si>
    <t>Natural Selection</t>
  </si>
  <si>
    <t>Instantly attacks the weakest enemy, dealing [175% DPS] damage.</t>
  </si>
  <si>
    <t>立即攻击最虚弱的敌人，造成 [175% DPS] 伤害。</t>
  </si>
  <si>
    <t>45(+6)</t>
  </si>
  <si>
    <t>A, F</t>
  </si>
  <si>
    <t>Guinevere</t>
  </si>
  <si>
    <t>桂妮薇儿</t>
  </si>
  <si>
    <t>攻击1名敌人并造成伤害。恢复19健康。同时，在3回合内，将他们的近战和远程防御降低3%。</t>
  </si>
  <si>
    <t>Harriet</t>
  </si>
  <si>
    <t>哈里特</t>
  </si>
  <si>
    <t>攻速倒数第三</t>
  </si>
  <si>
    <t>厄玛</t>
  </si>
  <si>
    <t>Bear With Me</t>
  </si>
  <si>
    <t>Throws bear traps under the legs of 3 enemies, dealing [100% DPS] damage to each.</t>
  </si>
  <si>
    <t>UA为核心。X2武士刀，4次。X4匕首8次</t>
  </si>
  <si>
    <t>在 3 名敌人脚下投掷捕兽夹，对每人造成 [100% DPS] 伤害。</t>
  </si>
  <si>
    <t>全能A</t>
  </si>
  <si>
    <t>Jane</t>
  </si>
  <si>
    <t>简</t>
  </si>
  <si>
    <t>Fired Up</t>
  </si>
  <si>
    <t>Jasmine</t>
  </si>
  <si>
    <t>茉莉</t>
  </si>
  <si>
    <t>Karin</t>
  </si>
  <si>
    <t>卡琳</t>
  </si>
  <si>
    <t>Wonder Who?</t>
  </si>
  <si>
    <t>Regain vigor, healing [35% HP] and gaining [130% DEF] defense for 2 turns.</t>
  </si>
  <si>
    <t>重管，围绕A因为那条分支上AFU。重管在 A、F和U方面的属性是第二高</t>
  </si>
  <si>
    <t>恢复活力，回复 [35% HP] 并在 2 回合内获得 [130% DEF] 防御加成。</t>
  </si>
  <si>
    <t>W, A</t>
  </si>
  <si>
    <t>Kiara</t>
  </si>
  <si>
    <t>琪亚拉</t>
  </si>
  <si>
    <t>Lioness' Order</t>
  </si>
  <si>
    <t>Command 1 ally to attack one enemy instantaneously.</t>
  </si>
  <si>
    <t>指挥 1 名队友瞬间攻击一名敌人。</t>
  </si>
  <si>
    <t>金</t>
  </si>
  <si>
    <t>2箱子</t>
  </si>
  <si>
    <t>Fatalistic Prophocies</t>
  </si>
  <si>
    <t>Read from a depressing masterpiece, stunning up to 4 enemies for 2 turns.</t>
  </si>
  <si>
    <t>X4或X2武器7次，远X4八次。喷火8次。X4近锋利砍刀单次伤最高，穿甲</t>
  </si>
  <si>
    <t>阅读忧郁杰作，使最多 4 名敌人眩晕 2 回合。</t>
  </si>
  <si>
    <t>I, F, U</t>
  </si>
  <si>
    <t>Kriss</t>
  </si>
  <si>
    <t>克丽丝</t>
  </si>
  <si>
    <t>Lady Judith</t>
  </si>
  <si>
    <t>朱迪丝</t>
  </si>
  <si>
    <t>Guards! Guards!</t>
  </si>
  <si>
    <t>Calls bodyguard with [75% HP] and [75% DEF] taunting enemies for up to 2 turns.</t>
  </si>
  <si>
    <t>近战X4武器8次攻击，X2稍快，远程x4武器就需要9次</t>
  </si>
  <si>
    <t>召唤保镖（继承 [75% HP] 和 [75% DEF]），嘲讽敌人最多 2 回合。</t>
  </si>
  <si>
    <t>F, U</t>
  </si>
  <si>
    <t>Lane</t>
  </si>
  <si>
    <t>莱恩</t>
  </si>
  <si>
    <t>3剧情</t>
  </si>
  <si>
    <t>Own3d by L33t H4x</t>
  </si>
  <si>
    <t>Hack enemy equipment, dealing [25% INT] damage to 4 enemies, and reducing damage they deal by 25% for 5 turns.</t>
  </si>
  <si>
    <t>骇入敌人装备，对 4 名敌人造成 [25% INT] 伤害，并在 5 回合内减少其 25% 输出伤害。</t>
  </si>
  <si>
    <t>41(+7)</t>
  </si>
  <si>
    <t>33(+5)</t>
  </si>
  <si>
    <t>28(+4)</t>
  </si>
  <si>
    <t>36(+6)</t>
  </si>
  <si>
    <t>丽莎</t>
  </si>
  <si>
    <t>Bug Buzz</t>
  </si>
  <si>
    <t>Launch a series of 4 attacks, each dealing [90% DPS] damage.</t>
  </si>
  <si>
    <t>近战X2武士刀，4次</t>
  </si>
  <si>
    <t>发动 4 连击，每次攻击造成 [90% DPS] 伤害。</t>
  </si>
  <si>
    <t>38(+7)</t>
  </si>
  <si>
    <t>42(+7)</t>
  </si>
  <si>
    <t>38(+8)</t>
  </si>
  <si>
    <t>Makeda</t>
  </si>
  <si>
    <t>马基达</t>
  </si>
  <si>
    <t>玛丽亚</t>
  </si>
  <si>
    <t>8箱子</t>
  </si>
  <si>
    <t>Soothing Hands</t>
  </si>
  <si>
    <t>Heal 2 lowest health allies by 10% of their Max HP + [20% INT].</t>
  </si>
  <si>
    <t>Martha</t>
  </si>
  <si>
    <t>玛莎</t>
  </si>
  <si>
    <t>Sweet Nothings</t>
  </si>
  <si>
    <t>Taunts enemies for 2 turns, showering them with gossip. Reduce damage taken from their attacks by 70%.</t>
  </si>
  <si>
    <t>使用管武器需要5次攻击</t>
  </si>
  <si>
    <t>嘲讽敌人 2 回合；减少 70% 所受到的伤害。</t>
  </si>
  <si>
    <t>Martina</t>
  </si>
  <si>
    <t>玛蒂娜</t>
  </si>
  <si>
    <t>普通</t>
  </si>
  <si>
    <t>Taste Their Fear</t>
  </si>
  <si>
    <t>Jump on the weakest enemy, dealing [200% DPS] damage.</t>
  </si>
  <si>
    <t>跳向最虚弱的敌人，造成 [200% DPS] 伤害。</t>
  </si>
  <si>
    <t>Milena</t>
  </si>
  <si>
    <t>米莲娜</t>
  </si>
  <si>
    <t>40(+120)</t>
  </si>
  <si>
    <t>桃香</t>
  </si>
  <si>
    <t>Elementary, My Dear</t>
  </si>
  <si>
    <t>Expose a villain commanding 1 ally to attack them instantly.</t>
  </si>
  <si>
    <t>揭发恶徒，指挥 1 名队友立即攻击对方。</t>
  </si>
  <si>
    <t>Olivia</t>
  </si>
  <si>
    <t>奥利维亚</t>
  </si>
  <si>
    <t>Nobody Expects…</t>
  </si>
  <si>
    <t>Regain [35% HP] health and taunt enemies for 3 turns.</t>
  </si>
  <si>
    <t>回复 [35% HP] 生命值并嘲讽敌人 3 回合。</t>
  </si>
  <si>
    <t>最佳嘲讽</t>
  </si>
  <si>
    <t>佩恩</t>
  </si>
  <si>
    <t>Whip Into Shape</t>
  </si>
  <si>
    <t>Whip up to 4 enemies, dealing [30% DPS] damage to each of them.</t>
  </si>
  <si>
    <t>鞭笞最多 4 名敌人，各造成 [30% DPS] 伤害。</t>
  </si>
  <si>
    <t>帕姆1</t>
  </si>
  <si>
    <t>6剧情</t>
  </si>
  <si>
    <t>Synapsis Overload</t>
  </si>
  <si>
    <t>Launch a series of 4 attacks, each dealing [75% DPS] damage.</t>
  </si>
  <si>
    <t>发动 4 连击，每次攻击造成 [75% DPS] 伤害。</t>
  </si>
  <si>
    <r>
      <rPr>
        <b/>
        <sz val="11"/>
        <color rgb="FF1F1F1F"/>
        <rFont val="宋体"/>
        <charset val="134"/>
      </rPr>
      <t>全能</t>
    </r>
    <r>
      <rPr>
        <b/>
        <sz val="11"/>
        <color rgb="FF1F1F1F"/>
        <rFont val="Arial"/>
        <charset val="134"/>
      </rPr>
      <t>W</t>
    </r>
  </si>
  <si>
    <t>帕姆2</t>
  </si>
  <si>
    <t>Synapsis Outburst</t>
  </si>
  <si>
    <t>Launch a series of 2 attacks, each dealing [150% DPS] damage.</t>
  </si>
  <si>
    <t>发动 2 连击，每次攻击造成 [150% DPS] 伤害。</t>
  </si>
  <si>
    <r>
      <rPr>
        <b/>
        <sz val="11"/>
        <color rgb="FF1F1F1F"/>
        <rFont val="宋体"/>
        <charset val="134"/>
      </rPr>
      <t>全能</t>
    </r>
    <r>
      <rPr>
        <b/>
        <sz val="11"/>
        <color rgb="FF1F1F1F"/>
        <rFont val="Arial"/>
        <charset val="134"/>
      </rPr>
      <t>I</t>
    </r>
  </si>
  <si>
    <t>Pearl</t>
  </si>
  <si>
    <t>珀尔珍珠</t>
  </si>
  <si>
    <t>Pink</t>
  </si>
  <si>
    <t>粉红</t>
  </si>
  <si>
    <t>Commando Flash</t>
  </si>
  <si>
    <t>Flashes her pink, stunning all enemies for 1 turn, reducing their defenses by [15% ?] for next 2 incoming attacks.</t>
  </si>
  <si>
    <t>展露粉嫩，使全体敌人眩晕1回，并使其在接下来的2次受击中降 [15% ?] 防。</t>
  </si>
  <si>
    <t>Reznor</t>
  </si>
  <si>
    <t>雷兹诺</t>
  </si>
  <si>
    <t>攻速倒数第三，近战需要 6 次挥击，远程需要 7 次射击</t>
  </si>
  <si>
    <t>她接下来的两次攻击造成 200%的伤害</t>
  </si>
  <si>
    <t>罗德</t>
  </si>
  <si>
    <t>Rhode-Volver</t>
  </si>
  <si>
    <t>Launch a series of 5 attacks, each dealing [75% DPS] damage.</t>
  </si>
  <si>
    <t>发动 5 连击，每次攻击造成 [75% DPS] 伤害。</t>
  </si>
  <si>
    <t>Samantha</t>
  </si>
  <si>
    <t>萨曼莎</t>
  </si>
  <si>
    <t>Trojan Horse</t>
  </si>
  <si>
    <t>Charm an enemy, stunning them for 2 turns and increasing damage taken by 50%</t>
  </si>
  <si>
    <t>魅惑一名敌人，使其眩晕 2 回合，并使其受到的伤害提升 50%。</t>
  </si>
  <si>
    <t>Sara</t>
  </si>
  <si>
    <t>萨拉</t>
  </si>
  <si>
    <t>2剧情</t>
  </si>
  <si>
    <t>Fist of the Free Market</t>
  </si>
  <si>
    <t>Command 2 allies to instantly attack an enemy.</t>
  </si>
  <si>
    <t>指挥 2 名队友立即攻击一名敌人。</t>
  </si>
  <si>
    <t>I, F</t>
  </si>
  <si>
    <t>Sonia</t>
  </si>
  <si>
    <t>索尼娅</t>
  </si>
  <si>
    <t>Quick Trigger</t>
  </si>
  <si>
    <t>苏菲</t>
  </si>
  <si>
    <t>Love Nectar</t>
  </si>
  <si>
    <t>Pass a vial to up to 2 lowest health allies, healing them by [20% INT], and increasing their damage by 20% for 2 turns.</t>
  </si>
  <si>
    <t>向最多 2 名血量最低的队友递出药剂，回复 [20% INT] 生命值，并在 2 回合内提升其 20% 伤害。</t>
  </si>
  <si>
    <t>Stella</t>
  </si>
  <si>
    <t>斯特拉</t>
  </si>
  <si>
    <t>54(+184)</t>
  </si>
  <si>
    <t>Sybil</t>
  </si>
  <si>
    <t>西比尔</t>
  </si>
  <si>
    <t>无法取代朱迪。眩晕所有敌人2回合，并将她接下来3次攻击的伤害增加25%。</t>
  </si>
  <si>
    <t>48(+15)</t>
  </si>
  <si>
    <t>限定最佳</t>
  </si>
  <si>
    <t>A工人</t>
  </si>
  <si>
    <t>Tess</t>
  </si>
  <si>
    <t>泰丝</t>
  </si>
  <si>
    <t>One for All</t>
  </si>
  <si>
    <t>Taunts enemies for 2 turns, reducing damage taken from their attacks by 60%.</t>
  </si>
  <si>
    <t>Tess嘲讽充能速度最快，用X4要快得多，使用管状武器需要 3 次攻击</t>
  </si>
  <si>
    <t>嘲讽敌人 2 回合，减少 60% 所受到的伤害。</t>
  </si>
  <si>
    <t>最佳嘲讽最快</t>
  </si>
  <si>
    <t>20(+4)</t>
  </si>
  <si>
    <t>Trixie</t>
  </si>
  <si>
    <t>翠克希</t>
  </si>
  <si>
    <t>Focus Attacks</t>
  </si>
  <si>
    <t>Command 2 allies to attack one enemy instantaneously.</t>
  </si>
  <si>
    <t>指挥 2 名队友瞬间攻击一名敌人。</t>
  </si>
  <si>
    <t>24(+5)</t>
  </si>
  <si>
    <t>威妮莎</t>
  </si>
  <si>
    <t>Grand Slam</t>
  </si>
  <si>
    <t>28(+6)</t>
  </si>
  <si>
    <t>Path of Love</t>
  </si>
  <si>
    <t>Charm one enemy, stunning them for 2 turns, and increasing their damage taken by 50%.</t>
  </si>
  <si>
    <t>X4武器6次攻击放技能，X2会更快</t>
  </si>
  <si>
    <t>36(+8)</t>
  </si>
  <si>
    <t>Z工人</t>
  </si>
  <si>
    <t>工人</t>
  </si>
  <si>
    <t>41(+8)</t>
  </si>
  <si>
    <t>29(+5)</t>
  </si>
  <si>
    <t>33(+6)</t>
  </si>
  <si>
    <t>S工人</t>
  </si>
  <si>
    <t>BUG不打第一个？</t>
  </si>
  <si>
    <t>25(+4)</t>
  </si>
  <si>
    <t>29(+6)</t>
  </si>
  <si>
    <t>33(+7)</t>
  </si>
  <si>
    <t>39(+8)</t>
  </si>
  <si>
    <t>vera</t>
  </si>
  <si>
    <t>拥有</t>
  </si>
  <si>
    <t>购买</t>
  </si>
  <si>
    <t>筛选</t>
  </si>
  <si>
    <t>最适配</t>
  </si>
  <si>
    <t>衣服搭配</t>
  </si>
  <si>
    <t>级别</t>
  </si>
  <si>
    <t>装备名称 (English)</t>
  </si>
  <si>
    <t>中文参考</t>
  </si>
  <si>
    <t>类型 (Type)</t>
  </si>
  <si>
    <t>f+u</t>
  </si>
  <si>
    <t>W红</t>
  </si>
  <si>
    <t>A绿</t>
  </si>
  <si>
    <t>I蓝</t>
  </si>
  <si>
    <t>F橘</t>
  </si>
  <si>
    <t>U紫</t>
  </si>
  <si>
    <t>综合</t>
  </si>
  <si>
    <t>W+FU</t>
  </si>
  <si>
    <t>A+FU</t>
  </si>
  <si>
    <t>I+FU</t>
  </si>
  <si>
    <t>W+F</t>
  </si>
  <si>
    <t>A+F</t>
  </si>
  <si>
    <t>I+F</t>
  </si>
  <si>
    <t>推荐</t>
  </si>
  <si>
    <t>最终</t>
  </si>
  <si>
    <t>原先版</t>
  </si>
  <si>
    <t>1W.ZD</t>
  </si>
  <si>
    <t>Army Bottom</t>
  </si>
  <si>
    <t>军队下装</t>
  </si>
  <si>
    <t>①.1_WFU-军用下装-51144</t>
  </si>
  <si>
    <t>Bottom</t>
  </si>
  <si>
    <t>WFU-军用下装-51144_1=①</t>
  </si>
  <si>
    <t>WFU-军用下装-51144_1</t>
  </si>
  <si>
    <t>①1W51144陆军下装</t>
  </si>
  <si>
    <t>AIF-#阿达的Cos服-15451</t>
  </si>
  <si>
    <t>Army Top</t>
  </si>
  <si>
    <t>军队上衣</t>
  </si>
  <si>
    <t>①.1_WFU-军用上衣-51144</t>
  </si>
  <si>
    <t>Top</t>
  </si>
  <si>
    <t>WFU-军用上衣-51144_1=①</t>
  </si>
  <si>
    <t>WFU-军用上衣-51144_1</t>
  </si>
  <si>
    <t>①1W51144陆军上装</t>
  </si>
  <si>
    <t>IUF-#阿德莱德的慰藉-11545.②</t>
  </si>
  <si>
    <t>②.IUF-#阿德莱德的慰藉-11545</t>
  </si>
  <si>
    <t>2A.ZD</t>
  </si>
  <si>
    <t>Gaia's Bottom</t>
  </si>
  <si>
    <t>盖亚的下装</t>
  </si>
  <si>
    <t>2_AUF-盖亚的下装-14145</t>
  </si>
  <si>
    <t>FAU-盖亚的下装-14145_2</t>
  </si>
  <si>
    <t>IFU-盖亚的下装-14145_2</t>
  </si>
  <si>
    <t>②2A14145盖亚下</t>
  </si>
  <si>
    <t>AI-空气胸罩-14433</t>
  </si>
  <si>
    <t>Y</t>
  </si>
  <si>
    <t>Veneza’s Top</t>
  </si>
  <si>
    <t>威妮莎的上衣</t>
  </si>
  <si>
    <t>2_AUF-维内莎的上衣-14145</t>
  </si>
  <si>
    <t>FAU-维内莎的上衣-14145_2</t>
  </si>
  <si>
    <t>AFU-维内莎的上衣-14145_2</t>
  </si>
  <si>
    <t>②2A14145威尼斯顶</t>
  </si>
  <si>
    <t>A-多情蝴蝶结-34332</t>
  </si>
  <si>
    <t>3A.ZD</t>
  </si>
  <si>
    <t>Space Leggings</t>
  </si>
  <si>
    <t>太空紧身裤</t>
  </si>
  <si>
    <t>③.3_AFU-太空紧身裤-14244</t>
  </si>
  <si>
    <t>AFI-太空紧身裤-14244_3=③</t>
  </si>
  <si>
    <t>AFI-太空紧身裤-14244_3</t>
  </si>
  <si>
    <t>③3A14244太空紧身裤</t>
  </si>
  <si>
    <t>I-安德莉亚的秘密-23433</t>
  </si>
  <si>
    <t>Liza’s Wings</t>
  </si>
  <si>
    <t>丽莎的翅膀</t>
  </si>
  <si>
    <t>③.3_AFU-丽莎的翅翼-14244</t>
  </si>
  <si>
    <t>AFI-丽莎的翅翼-14244_3=③</t>
  </si>
  <si>
    <t>AFI-丽莎的翅翼-14244_3</t>
  </si>
  <si>
    <t>③3A14244丽莎翅膀</t>
  </si>
  <si>
    <t>W-无袖衬衫-52233</t>
  </si>
  <si>
    <t>Flaming Leggings</t>
  </si>
  <si>
    <t>燃烧紧身裤</t>
  </si>
  <si>
    <t>③.3_AFU-燃烧紧身裤-14244</t>
  </si>
  <si>
    <t>AIF-燃烧紧身裤-14244_3=③</t>
  </si>
  <si>
    <t>AIF-燃烧紧身裤-14244_3</t>
  </si>
  <si>
    <t>③3A14244火焰紧身裤</t>
  </si>
  <si>
    <t>WFU-军用下装-51144_1.①</t>
  </si>
  <si>
    <t>①.WFU-军用下装-51144_1</t>
  </si>
  <si>
    <t>Ashley’s Top</t>
  </si>
  <si>
    <t>艾希莉的上衣</t>
  </si>
  <si>
    <t>③.3_AFU-艾希莉的上衣-14244</t>
  </si>
  <si>
    <t>AFU-艾希莉的上衣-14244_3=③</t>
  </si>
  <si>
    <t>AFU-艾希莉的上衣-14244_3</t>
  </si>
  <si>
    <t>③3A14244阿什利上衣</t>
  </si>
  <si>
    <t>WFU-军用上衣-51144_1.①</t>
  </si>
  <si>
    <t>①.WFU-军用上衣-51144_1</t>
  </si>
  <si>
    <t>4I.ZD</t>
  </si>
  <si>
    <t>Momoka's Bottom</t>
  </si>
  <si>
    <t>桃香的下装</t>
  </si>
  <si>
    <t>②.4_IFU-桃香的下装-11454</t>
  </si>
  <si>
    <t>IFU-桃香的下装-11454_4=②</t>
  </si>
  <si>
    <t>IFU-桃香的下装-11454_4</t>
  </si>
  <si>
    <t>②4I11454桃花下</t>
  </si>
  <si>
    <t>AFU-艾希莉的上衣-14244_3.③</t>
  </si>
  <si>
    <t>③.AFU-艾希莉的上衣-14244_3</t>
  </si>
  <si>
    <t>Black-red Bra</t>
  </si>
  <si>
    <t>黑红文胸</t>
  </si>
  <si>
    <t>②.4_IFU-黑红胸罩-21444</t>
  </si>
  <si>
    <t>IFU-黑红胸罩-21444_4=②</t>
  </si>
  <si>
    <t>IFU-黑红胸罩-21444_4</t>
  </si>
  <si>
    <t>②4I21444黑红奶罩</t>
  </si>
  <si>
    <t>FU-艾希莉的下装-13344</t>
  </si>
  <si>
    <t>Mechanic's Skirt</t>
  </si>
  <si>
    <t>机械师短裙</t>
  </si>
  <si>
    <t>②.4_IUF-技工短裙-11445</t>
  </si>
  <si>
    <t>IUF-技工短裙-11445_4=②</t>
  </si>
  <si>
    <t>IFU-技工短裙-11445_4</t>
  </si>
  <si>
    <t>②4I11445技裙</t>
  </si>
  <si>
    <t>AF-刺客的短匕-15342</t>
  </si>
  <si>
    <t>14I.ZD</t>
  </si>
  <si>
    <t>Neon Lights (bottom)</t>
  </si>
  <si>
    <t>霓虹灯光（下装）</t>
  </si>
  <si>
    <t>①.14_IFU-霓虹灯（下装）-11544</t>
  </si>
  <si>
    <t>IFU-霓虹灯（下装）-11544_14=①</t>
  </si>
  <si>
    <t>IFU-霓虹灯（下装）-11544_14</t>
  </si>
  <si>
    <t>①14I11544霓虹散件</t>
  </si>
  <si>
    <t>UF-秋日套装-11345</t>
  </si>
  <si>
    <t>y</t>
  </si>
  <si>
    <t>Neon Lights (top)</t>
  </si>
  <si>
    <t>霓虹灯光（上装）</t>
  </si>
  <si>
    <t>①.14_IFU-霓虹灯(散件)-11544</t>
  </si>
  <si>
    <t>IFU-霓虹灯（上衣）-11544_14=①</t>
  </si>
  <si>
    <t>IFU-霓虹灯（上衣）-11544_14</t>
  </si>
  <si>
    <t>①14I11544霓虹上</t>
  </si>
  <si>
    <t>UF-班卡的泡沫-23145</t>
  </si>
  <si>
    <t>X</t>
  </si>
  <si>
    <t>5FU.FJ</t>
  </si>
  <si>
    <t/>
  </si>
  <si>
    <t>Mechanic’s Top</t>
  </si>
  <si>
    <t>机械师上衣</t>
  </si>
  <si>
    <t>5_FU-技工上衣-11355</t>
  </si>
  <si>
    <t>FUI-技工上衣-11355_5</t>
  </si>
  <si>
    <t>IFU-技工上衣-11355_5</t>
  </si>
  <si>
    <t>5FU11355技衣</t>
  </si>
  <si>
    <t>AF-野蛮人短裙-15153_7.①</t>
  </si>
  <si>
    <t>①.AF-野蛮人短裙-15153_7</t>
  </si>
  <si>
    <t>Veneza's Bottom</t>
  </si>
  <si>
    <t>威妮莎的下装</t>
  </si>
  <si>
    <t>5_FU-维内莎的下装-13155</t>
  </si>
  <si>
    <t>FUA-维内莎的下装-13155_5</t>
  </si>
  <si>
    <t>IFU-维内莎的下装-13155_5</t>
  </si>
  <si>
    <t>5FU13155威尼斯下</t>
  </si>
  <si>
    <t>AF-野蛮人上衣-15153_7.①</t>
  </si>
  <si>
    <t>①.AF-野蛮人上衣-15153_7</t>
  </si>
  <si>
    <t>6WA.FJ</t>
  </si>
  <si>
    <t>Open Top</t>
  </si>
  <si>
    <t>开襟上衣</t>
  </si>
  <si>
    <t>⑥.WAI-#敞口上衣-55411</t>
  </si>
  <si>
    <t>WAI-敞口上衣-55411_6</t>
  </si>
  <si>
    <t>6WA55411@敞篷</t>
  </si>
  <si>
    <t>FU-棒球明星（下装）-13254_11</t>
  </si>
  <si>
    <t>Wide Bottom</t>
  </si>
  <si>
    <t>宽下装</t>
  </si>
  <si>
    <t>⑥.WAI-#宽阔下装-55411</t>
  </si>
  <si>
    <t>WAI-宽阔下装-55411_6</t>
  </si>
  <si>
    <t>6WA55411@宽裤</t>
  </si>
  <si>
    <t>FU-棒球明星(散件)-13254_11</t>
  </si>
  <si>
    <t>7AF.FJ</t>
  </si>
  <si>
    <t>Barbarian Skirt</t>
  </si>
  <si>
    <t>野蛮人裙</t>
  </si>
  <si>
    <t>①.7_AF-野蛮人短裙-15153</t>
  </si>
  <si>
    <t>AFU-野蛮人短裙-15153_7=①</t>
  </si>
  <si>
    <t>AFU-野蛮人短裙-15153_7</t>
  </si>
  <si>
    <t>①7AF15153野蛮人裙</t>
  </si>
  <si>
    <t>IF-甲虫胸针-13443</t>
  </si>
  <si>
    <t>Barbarian Top</t>
  </si>
  <si>
    <t>野蛮人上衣</t>
  </si>
  <si>
    <t>①.7_AF-野蛮人上衣-15153</t>
  </si>
  <si>
    <t>AFU-野蛮人上衣-15153_7=①</t>
  </si>
  <si>
    <t>AFU-野蛮人上衣-15153_7</t>
  </si>
  <si>
    <t>①7AF15153野蛮人上衣</t>
  </si>
  <si>
    <t>IF-生日小蛋糕-11553</t>
  </si>
  <si>
    <t>8AF.FJ</t>
  </si>
  <si>
    <t>Chelsea’s Favor</t>
  </si>
  <si>
    <t>切尔西的青睐</t>
  </si>
  <si>
    <t>②.8_AF-切尔西的恩惠-15243</t>
  </si>
  <si>
    <t>AFI-切尔西的恩惠-15243_8=②</t>
  </si>
  <si>
    <t>AFI-切尔西的恩惠-15243_8</t>
  </si>
  <si>
    <t>②8AF152343切尔西的恩惠</t>
  </si>
  <si>
    <t>IFU-黑红胸罩-21444_4.②</t>
  </si>
  <si>
    <t>②.IFU-黑红胸罩-21444_4</t>
  </si>
  <si>
    <t>Chelsea's Blessing</t>
  </si>
  <si>
    <t>切尔西的祝福</t>
  </si>
  <si>
    <t>②.8_AF-切尔西的赐福-15243</t>
  </si>
  <si>
    <t>AFI-切尔西的赐福-15243_8=②</t>
  </si>
  <si>
    <t>AFI-切尔西的赐福-15243_8</t>
  </si>
  <si>
    <t>②8AF152343切尔西的祝福</t>
  </si>
  <si>
    <t>W-爆能枪-43332</t>
  </si>
  <si>
    <t>9AF.FJ</t>
  </si>
  <si>
    <t>Prisoners Panties</t>
  </si>
  <si>
    <t>囚犯内裤</t>
  </si>
  <si>
    <t>②.9_AF-囚犯内裤-15342</t>
  </si>
  <si>
    <t>AFI-囚犯内裤-15342_9=②</t>
  </si>
  <si>
    <t>AFI-囚犯内裤-15342_9</t>
  </si>
  <si>
    <t>9AF15342囚犯内裤</t>
  </si>
  <si>
    <t>FU-爆破锤-13344</t>
  </si>
  <si>
    <t>Dissolved Top</t>
  </si>
  <si>
    <t>溶解上衣</t>
  </si>
  <si>
    <t>②.9_AF-溶解上衣-15243</t>
  </si>
  <si>
    <t>AFI-溶解上衣-15243_9=②</t>
  </si>
  <si>
    <t>AFI-溶解上衣-15243_9</t>
  </si>
  <si>
    <t>9AF15243溶解顶部</t>
  </si>
  <si>
    <t>W-束缚长裤-42333</t>
  </si>
  <si>
    <t>11FU.FJ</t>
  </si>
  <si>
    <t>Baseball Star (bottom)</t>
  </si>
  <si>
    <t>棒球明星（下装）</t>
  </si>
  <si>
    <t>11_FU-棒球明星（下装）-13254</t>
  </si>
  <si>
    <t>AFU-棒球明星（下装）-13254_11</t>
  </si>
  <si>
    <t>11FU13254棒球明星散件</t>
  </si>
  <si>
    <t>AF-烙印钥匙链-34143</t>
  </si>
  <si>
    <t>Baseball Star (top)</t>
  </si>
  <si>
    <t>棒球明星（上装）</t>
  </si>
  <si>
    <t>11_FU-棒球明星(散件)-13254</t>
  </si>
  <si>
    <t>FU-棒球明星（上衣）-13254_11</t>
  </si>
  <si>
    <t>AFU-棒球明星（上衣）-13254_11</t>
  </si>
  <si>
    <t>11FU棒球明星上衣</t>
  </si>
  <si>
    <t>WI-胸针-41433</t>
  </si>
  <si>
    <t>12.SB</t>
  </si>
  <si>
    <t>Waifu's Special (bottom)</t>
  </si>
  <si>
    <t>老婆特别下装</t>
  </si>
  <si>
    <t>12_老婆特供（下装）-33333</t>
  </si>
  <si>
    <t>老婆特供（下装）-33333_12</t>
  </si>
  <si>
    <t>12特辑下装</t>
  </si>
  <si>
    <t>IU-商务下装-31434</t>
  </si>
  <si>
    <t>Waifu’s Special (top)</t>
  </si>
  <si>
    <t>老婆特别上衣</t>
  </si>
  <si>
    <t>12_老婆特供(散件)-33333</t>
  </si>
  <si>
    <t>老婆特供（上衣）-33333_12</t>
  </si>
  <si>
    <t>12特辑散件5T</t>
  </si>
  <si>
    <t>IU-商务上衣-31434</t>
  </si>
  <si>
    <t>13.FJ</t>
  </si>
  <si>
    <t>XX's Prayer</t>
  </si>
  <si>
    <t>XX的祈祷</t>
  </si>
  <si>
    <t>②.13_WU-XX的祈祷-51135</t>
  </si>
  <si>
    <t>WFU-XX的祈祷-51135_13=②</t>
  </si>
  <si>
    <t>WFU-XX的祈祷-51135_13</t>
  </si>
  <si>
    <t>U13WU51135 XX祈祷</t>
  </si>
  <si>
    <t>AFU-屠夫的斩肉刀-14244</t>
  </si>
  <si>
    <t>XX’s Blessing</t>
  </si>
  <si>
    <t>XX的祝福</t>
  </si>
  <si>
    <t>②.13_WU-XX的赐福-51135</t>
  </si>
  <si>
    <t>WFU-XX的赐福-51135_13=②</t>
  </si>
  <si>
    <t>WFU-XX的赐福-51135_13</t>
  </si>
  <si>
    <t>13WU51135 XX祝福</t>
  </si>
  <si>
    <t>休闲连衣裙-33333</t>
  </si>
  <si>
    <t>15.FJ</t>
  </si>
  <si>
    <t>Pain Bringers (bottom)</t>
  </si>
  <si>
    <t>佩恩使者（下装）</t>
  </si>
  <si>
    <t>⑮.WAI-#痛苦使者（下装）-54511</t>
  </si>
  <si>
    <t>WAI-痛苦使者（下装）-54511_15</t>
  </si>
  <si>
    <t>15WI51511@痛苦使者下装</t>
  </si>
  <si>
    <t>IFU-休闲套装-21444.④</t>
  </si>
  <si>
    <t>④.IFU-休闲套装-21444</t>
  </si>
  <si>
    <t>Pain Bringers (top)</t>
  </si>
  <si>
    <t>佩恩使者（上装）</t>
  </si>
  <si>
    <t>⑮.WAI-#痛苦使者(散件)-54511</t>
  </si>
  <si>
    <t>WAI-痛苦使者（上衣）-54511_15</t>
  </si>
  <si>
    <t>15WI54511@痛苦使者上衣</t>
  </si>
  <si>
    <t>AF-猫耳发饰-14343</t>
  </si>
  <si>
    <t>16.FJ</t>
  </si>
  <si>
    <t>Road Warrior (bottom)</t>
  </si>
  <si>
    <t>公路勇士（下装）</t>
  </si>
  <si>
    <t>①.16_AF-公路战士（下装）-15153</t>
  </si>
  <si>
    <t>AFU-公路战士（下装）-15153_16=①</t>
  </si>
  <si>
    <t>AFU-公路战士（下装）-15153_16</t>
  </si>
  <si>
    <t>①16AF15153公路战士</t>
  </si>
  <si>
    <t>凯瑟琳的绷带装(X)-00000</t>
  </si>
  <si>
    <t>Road Warrior (top)</t>
  </si>
  <si>
    <t>公路勇士（上装）</t>
  </si>
  <si>
    <t>①.16_AF-公路战士(散件)-15153</t>
  </si>
  <si>
    <t>AFU-公路战士（上衣）-15153_16=①</t>
  </si>
  <si>
    <t>AFU-公路战士（上衣）-15153_16</t>
  </si>
  <si>
    <t>①16A15153公路战士上衣</t>
  </si>
  <si>
    <t>CB-69的护甲(X)-00000</t>
  </si>
  <si>
    <t>17.FJ</t>
  </si>
  <si>
    <t>Pearl's Treasury</t>
  </si>
  <si>
    <t>珀尔的财宝</t>
  </si>
  <si>
    <t>17_FU-珍珠的珍藏-11155</t>
  </si>
  <si>
    <t>FU-珍珠的珍藏-11155_17</t>
  </si>
  <si>
    <t>FUW-珍珠的珍藏-11155_17</t>
  </si>
  <si>
    <t>17FU11155珍珠宝库</t>
  </si>
  <si>
    <t>AF-切尔西的连体紧身衣-15243.②</t>
  </si>
  <si>
    <t>②.AF-切尔西的连体紧身衣-15243</t>
  </si>
  <si>
    <t>Pearl's Shell</t>
  </si>
  <si>
    <t>珀尔的贝壳</t>
  </si>
  <si>
    <t>17_FU-珍珠的贝壳-11155</t>
  </si>
  <si>
    <t>FU-珍珠的贝壳-11155_17</t>
  </si>
  <si>
    <t>FUW-珍珠的贝壳-11155_17</t>
  </si>
  <si>
    <t>17FU11155珍珠贝壳</t>
  </si>
  <si>
    <t>AF-切尔西的恩惠-15243_8.②</t>
  </si>
  <si>
    <t>②.AF-切尔西的恩惠-15243_8</t>
  </si>
  <si>
    <t>Adah’s Cosplays</t>
  </si>
  <si>
    <t>阿达的Cos服</t>
  </si>
  <si>
    <t>Dress</t>
  </si>
  <si>
    <t>FAI-阿达的角色扮演服-15451</t>
  </si>
  <si>
    <t>AFI-阿达的角色扮演服-15451</t>
  </si>
  <si>
    <t>AIF15451@阿达Cos服</t>
  </si>
  <si>
    <t>AF-切尔西的赐福-15243_8.②</t>
  </si>
  <si>
    <t>②.AF-切尔西的赐福-15243_8</t>
  </si>
  <si>
    <t>Adelaide’s Comfort</t>
  </si>
  <si>
    <t>阿德莱恩的舒适</t>
  </si>
  <si>
    <t>IUF-阿德莱德的慰藉-11545=②</t>
  </si>
  <si>
    <t>IUF-阿德莱德的慰藉-11545</t>
  </si>
  <si>
    <t>②IU11545@阿黛拉伊德的舒适</t>
  </si>
  <si>
    <t>WUF-骑士精神-41145.③</t>
  </si>
  <si>
    <t>③.WUF-骑士精神-41145</t>
  </si>
  <si>
    <t>Andrea’s Secrets</t>
  </si>
  <si>
    <t>安德烈亚的秘密</t>
  </si>
  <si>
    <t>IFU-安德莉亚的秘密-23433</t>
  </si>
  <si>
    <t>安德里亚的秘密</t>
  </si>
  <si>
    <t>FU-巧克力棒-13344</t>
  </si>
  <si>
    <t>Autumn Set</t>
  </si>
  <si>
    <t>奥特姆套装</t>
  </si>
  <si>
    <t>IFU-秋日套装-11345</t>
  </si>
  <si>
    <t>U11345秋季套装</t>
  </si>
  <si>
    <t>AF-斩肉刀-24243</t>
  </si>
  <si>
    <t>Beetle Brooch</t>
  </si>
  <si>
    <t>甲虫胸针</t>
  </si>
  <si>
    <t>Trinket</t>
  </si>
  <si>
    <t>IFU-甲虫胸针-13443</t>
  </si>
  <si>
    <t>IF13443甲虫胸针</t>
  </si>
  <si>
    <t>W-民用自动手枪-43332</t>
  </si>
  <si>
    <t>Birthday Cupcakes</t>
  </si>
  <si>
    <t>生日纸杯蛋糕</t>
  </si>
  <si>
    <t>IFU-生日小蛋糕-11553</t>
  </si>
  <si>
    <t>IF11553纸杯蛋糕</t>
  </si>
  <si>
    <t>IU-上流色彩-22434</t>
  </si>
  <si>
    <t>Subtle Top</t>
  </si>
  <si>
    <t>精致上衣</t>
  </si>
  <si>
    <t>I-微妙的上衣-31533</t>
  </si>
  <si>
    <t>WIF-微妙的上衣-31533</t>
  </si>
  <si>
    <t>I精致上衣</t>
  </si>
  <si>
    <t>IF-克洛伊的套装-13542.③</t>
  </si>
  <si>
    <t>③.IF-克洛伊的套装-13542</t>
  </si>
  <si>
    <t>Banka’s Bubbles</t>
  </si>
  <si>
    <t>班卡的气泡</t>
  </si>
  <si>
    <t>IFU-班卡的泡沫-23145</t>
  </si>
  <si>
    <t>U23145班卡的泡泡</t>
  </si>
  <si>
    <t>WF-战斗霰弹枪-41352</t>
  </si>
  <si>
    <t>Branded Key Chain</t>
  </si>
  <si>
    <t>烙印钥匙链</t>
  </si>
  <si>
    <t>WIF-烙印钥匙链-34143</t>
  </si>
  <si>
    <t>AF34143钥匙扣</t>
  </si>
  <si>
    <t>WI-宇宙装束-51513</t>
  </si>
  <si>
    <t>Casual Dress</t>
  </si>
  <si>
    <t>休闲连衣裙</t>
  </si>
  <si>
    <t>WI-宇宙装束（上衣）-43422</t>
  </si>
  <si>
    <t>Casual Suit</t>
  </si>
  <si>
    <t>休闲套装</t>
  </si>
  <si>
    <t>IFU-休闲套装-21444=④</t>
  </si>
  <si>
    <t>IFU-休闲套装-21444</t>
  </si>
  <si>
    <t>④I21444休闲套装</t>
  </si>
  <si>
    <t>AF-疯狂套装-24342.⑥</t>
  </si>
  <si>
    <t>⑥.AF-疯狂套装-24342</t>
  </si>
  <si>
    <t>Catherine's Bandages</t>
  </si>
  <si>
    <t>凯瑟琳的绷带</t>
  </si>
  <si>
    <t>(?)凯瑟琳的绷带</t>
  </si>
  <si>
    <t>WF-可爱胸针-42342</t>
  </si>
  <si>
    <t>CB-69's Armour</t>
  </si>
  <si>
    <t>CB-69的护甲</t>
  </si>
  <si>
    <t>(?)CB-69的护甲</t>
  </si>
  <si>
    <t>IFU-可爱连衣裙-12444.④</t>
  </si>
  <si>
    <t>④.IFU-可爱连衣裙-12444</t>
  </si>
  <si>
    <t>Brooch</t>
  </si>
  <si>
    <t>胸针</t>
  </si>
  <si>
    <t>WAI-胸针-41433</t>
  </si>
  <si>
    <t>WI41433胸针</t>
  </si>
  <si>
    <t>AF-匕首-24342</t>
  </si>
  <si>
    <t>Chelsea’s Bodysuit</t>
  </si>
  <si>
    <t>切尔西的连体衣</t>
  </si>
  <si>
    <t>AFI-切尔西的连体紧身衣-15243=②</t>
  </si>
  <si>
    <t>AFI-切尔西的连体紧身衣-15243</t>
  </si>
  <si>
    <t>②A切尔西连体衣15243</t>
  </si>
  <si>
    <t>达希亚的仪式(X)-00000</t>
  </si>
  <si>
    <t>Chivalry</t>
  </si>
  <si>
    <t>骑士精神</t>
  </si>
  <si>
    <t>WFU-骑士精神-41145=③</t>
  </si>
  <si>
    <t>WFU-骑士精神-41145</t>
  </si>
  <si>
    <t>②UW41145骑士精神</t>
  </si>
  <si>
    <t>AF-危险套装-24243.⑤</t>
  </si>
  <si>
    <t>⑤.AF-危险套装-24243</t>
  </si>
  <si>
    <t>Cat Ears</t>
  </si>
  <si>
    <t>猫耳</t>
  </si>
  <si>
    <t>AFI-猫耳发饰-14343</t>
  </si>
  <si>
    <t>AF14343猫耳</t>
  </si>
  <si>
    <t>F-深V短裙-23343</t>
  </si>
  <si>
    <t>Chocolate Bar</t>
  </si>
  <si>
    <t>巧克力棒</t>
  </si>
  <si>
    <t>IFU-巧克力棒-13344</t>
  </si>
  <si>
    <t>FU巧克力棒 13344</t>
  </si>
  <si>
    <t>F-深V上衣-23352</t>
  </si>
  <si>
    <t>Airy Bra</t>
  </si>
  <si>
    <t>透气文胸</t>
  </si>
  <si>
    <t>AFI-空气胸罩-14433</t>
  </si>
  <si>
    <t>AI14433轻盈文胸</t>
  </si>
  <si>
    <t>AF-溶解下装-14343</t>
  </si>
  <si>
    <t>Irma's Bottom</t>
  </si>
  <si>
    <t>厄玛的下装</t>
  </si>
  <si>
    <t>AI-艾尔玛的下装-24432</t>
  </si>
  <si>
    <t>AIF-艾尔玛的下装-24432</t>
  </si>
  <si>
    <t>AI24432伊尔玛下装</t>
  </si>
  <si>
    <t>AF-溶解上衣-15243_9.②</t>
  </si>
  <si>
    <t>②.AF-溶解上衣-15243_9</t>
  </si>
  <si>
    <t>Irma’s Top</t>
  </si>
  <si>
    <t>厄玛的上衣</t>
  </si>
  <si>
    <t>AI-艾尔玛的上衣-24432</t>
  </si>
  <si>
    <t>AIF-艾尔玛的上衣-24432</t>
  </si>
  <si>
    <t>AI24432伊尔玛的顶</t>
  </si>
  <si>
    <t>IF-狗狗零食-13443</t>
  </si>
  <si>
    <t>Cute Brooch</t>
  </si>
  <si>
    <t>可爱胸针</t>
  </si>
  <si>
    <t>WIF-可爱胸针-42342</t>
  </si>
  <si>
    <t>WF42342可爱胸针</t>
  </si>
  <si>
    <t>IFU-#支配-11554.①</t>
  </si>
  <si>
    <t>①.IFU-#支配-11554</t>
  </si>
  <si>
    <t>Overcharged Tazer</t>
  </si>
  <si>
    <t>过载电击枪</t>
  </si>
  <si>
    <t>IFU-过载电击器-12444</t>
  </si>
  <si>
    <t>Weapon</t>
  </si>
  <si>
    <t>IFU12444过载电击枪</t>
  </si>
  <si>
    <t>AU-破布礼服-24234</t>
  </si>
  <si>
    <t>Tesla Gun</t>
  </si>
  <si>
    <t>特斯拉枪</t>
  </si>
  <si>
    <t>IF-特斯拉枪-31443</t>
  </si>
  <si>
    <t>WIF-特斯拉枪-31443</t>
  </si>
  <si>
    <t>IF31443特斯拉枪</t>
  </si>
  <si>
    <t>F-小黄鸭-33243</t>
  </si>
  <si>
    <t>I伤害最高</t>
  </si>
  <si>
    <t>High-Volt Tazer</t>
  </si>
  <si>
    <t>高压电击枪</t>
  </si>
  <si>
    <t>IF-高压电击器-22443</t>
  </si>
  <si>
    <t>IFU-高压电击器-22443</t>
  </si>
  <si>
    <t>IF22443高压电击枪</t>
  </si>
  <si>
    <t>FU-鸭鸭-23244</t>
  </si>
  <si>
    <t>Dog Treat</t>
  </si>
  <si>
    <t>狗狗零食</t>
  </si>
  <si>
    <t>IFU-狗狗零食-13443</t>
  </si>
  <si>
    <t>IF13443狗狗零食</t>
  </si>
  <si>
    <t>伊莲的护符(X)-00000</t>
  </si>
  <si>
    <t>Duck</t>
  </si>
  <si>
    <t>鸭子</t>
  </si>
  <si>
    <t>WIF-小黄鸭-33243</t>
  </si>
  <si>
    <t>F小鸭子33243</t>
  </si>
  <si>
    <t>FU-埃莉诺套装-11155</t>
  </si>
  <si>
    <t>Lace-up Shorts</t>
  </si>
  <si>
    <t>系带短裤</t>
  </si>
  <si>
    <t>IF-系带短裤-23442</t>
  </si>
  <si>
    <t>IFU-系带短裤-23442</t>
  </si>
  <si>
    <t>WU-艾米丽的大佬-41334</t>
  </si>
  <si>
    <t>Fireaxe</t>
  </si>
  <si>
    <t>消防斧</t>
  </si>
  <si>
    <t>IF-消防斧-13443</t>
  </si>
  <si>
    <t>IFU-消防斧-13443</t>
  </si>
  <si>
    <t>IF13443火斧</t>
  </si>
  <si>
    <t>WI-艾米丽的小弟们-51423</t>
  </si>
  <si>
    <t>Formal Skirt</t>
  </si>
  <si>
    <t>正装裙</t>
  </si>
  <si>
    <t>IF-正装短裙-31443</t>
  </si>
  <si>
    <t>WIF-正装短裙-31443</t>
  </si>
  <si>
    <t>正式裙装</t>
  </si>
  <si>
    <t>能量自动手枪-33333</t>
  </si>
  <si>
    <t>Prototype Tesla Gun</t>
  </si>
  <si>
    <t>原型特斯拉枪</t>
  </si>
  <si>
    <t>IF-原型特斯拉枪-31443</t>
  </si>
  <si>
    <t>WIF-原型特斯拉枪-31443</t>
  </si>
  <si>
    <t>IF31443特斯拉枪原型</t>
  </si>
  <si>
    <t>FU-探险者短裙-13344</t>
  </si>
  <si>
    <t>El Patito</t>
  </si>
  <si>
    <t>小鸭子</t>
  </si>
  <si>
    <t>IFU-鸭鸭-23244</t>
  </si>
  <si>
    <t>FU艾尔23244</t>
  </si>
  <si>
    <t>F-探险者上衣-13353</t>
  </si>
  <si>
    <t>Explorer's Ribbon</t>
  </si>
  <si>
    <t>探险者缎带</t>
  </si>
  <si>
    <t>WAI-#探险者的缎带-44433</t>
  </si>
  <si>
    <t>WAI-探险者的缎带-44433</t>
  </si>
  <si>
    <t>WAI44433@探险家缎带</t>
  </si>
  <si>
    <t>Classy Colours</t>
  </si>
  <si>
    <t>优雅色彩</t>
  </si>
  <si>
    <t>IFU-上流色彩-22434</t>
  </si>
  <si>
    <t>⑤IF434经典色彩</t>
  </si>
  <si>
    <t>AF-无畏战士服-14253.④</t>
  </si>
  <si>
    <t>④.AF-无畏战士服-14253</t>
  </si>
  <si>
    <t>Business Ass</t>
  </si>
  <si>
    <t>商务下装</t>
  </si>
  <si>
    <t>IFU-商务下装-31434</t>
  </si>
  <si>
    <t>⑤IF434商业助理裙</t>
  </si>
  <si>
    <t>IU-战地医疗兵套装-31434</t>
  </si>
  <si>
    <t>Business Top</t>
  </si>
  <si>
    <t>商务上衣</t>
  </si>
  <si>
    <t>IFU-商务上衣-31434</t>
  </si>
  <si>
    <t>⑤IF434商业助理衣</t>
  </si>
  <si>
    <t>Cloe’s Sets</t>
  </si>
  <si>
    <t>克洛伊的套装</t>
  </si>
  <si>
    <t>IAF-克洛伊的套装-13542=③</t>
  </si>
  <si>
    <t>IAF-克洛伊的套装-13542</t>
  </si>
  <si>
    <t>③I13542克洛伊套</t>
  </si>
  <si>
    <t>U-火焰喷射器-23334</t>
  </si>
  <si>
    <t>Wire Panties</t>
  </si>
  <si>
    <t>钢丝内裤</t>
  </si>
  <si>
    <t>IU-铁丝内裤-21435</t>
  </si>
  <si>
    <t>UI-铁丝内裤-21435</t>
  </si>
  <si>
    <t>IFU-铁丝内裤-21435</t>
  </si>
  <si>
    <t>U金属丝内裤</t>
  </si>
  <si>
    <t>AFU-燃烧紧身裤-14244_3.③</t>
  </si>
  <si>
    <t>③.AFU-燃烧紧身裤-14244_3</t>
  </si>
  <si>
    <t>Full Bra</t>
  </si>
  <si>
    <t>全罩杯文胸</t>
  </si>
  <si>
    <t>I-全罩胸罩-33432</t>
  </si>
  <si>
    <t>AIF-全罩胸罩-33432</t>
  </si>
  <si>
    <t>AF-燃烧上衣-14343</t>
  </si>
  <si>
    <t>Neck-tied Bra</t>
  </si>
  <si>
    <t>系颈文胸</t>
  </si>
  <si>
    <t>I-系领胸罩-32433</t>
  </si>
  <si>
    <t>WIF-系领胸罩-32433</t>
  </si>
  <si>
    <t>颈系式胸罩</t>
  </si>
  <si>
    <t>Small Fireaxe</t>
  </si>
  <si>
    <t>小消防斧</t>
  </si>
  <si>
    <t>I-小型消防斧-23433</t>
  </si>
  <si>
    <t>IFU-小型消防斧-23433</t>
  </si>
  <si>
    <t>小火斧</t>
  </si>
  <si>
    <t>福克希套装-33333</t>
  </si>
  <si>
    <t>Last Resort</t>
  </si>
  <si>
    <t>最后手段</t>
  </si>
  <si>
    <t>I-最后手段-32433</t>
  </si>
  <si>
    <t>WIF-最后手段-32433</t>
  </si>
  <si>
    <t>最后手段(小枪比I32433</t>
  </si>
  <si>
    <t>WA-流苏长裤-44331</t>
  </si>
  <si>
    <t>Cosmic Attire</t>
  </si>
  <si>
    <t>宇宙装束</t>
  </si>
  <si>
    <t>WIU-宇宙装束-51513</t>
  </si>
  <si>
    <t>宇宙服饰</t>
  </si>
  <si>
    <t>W-流苏上衣-43332</t>
  </si>
  <si>
    <t>Hair Dye</t>
  </si>
  <si>
    <t>染发剂</t>
  </si>
  <si>
    <t>W-染发剂-53133</t>
  </si>
  <si>
    <t>WIF-染发剂-53133</t>
  </si>
  <si>
    <t>W53133染发剂</t>
  </si>
  <si>
    <t>WF-冰霜装束-51153.①</t>
  </si>
  <si>
    <t>①.WF-冰霜装束-51153</t>
  </si>
  <si>
    <t>Handmade Lollipop</t>
  </si>
  <si>
    <t>手工棒棒糖</t>
  </si>
  <si>
    <t>IUF-手工棒棒糖-11445</t>
  </si>
  <si>
    <t>IFU-手工棒棒糖-11445</t>
  </si>
  <si>
    <t>IFU11445手工棒棒糖</t>
  </si>
  <si>
    <t>Lollipop</t>
  </si>
  <si>
    <t>棒棒糖</t>
  </si>
  <si>
    <t>IFU-棒棒糖-12444</t>
  </si>
  <si>
    <t>IFU12444棒棒糖</t>
  </si>
  <si>
    <t>FU-盖亚的套装-13254</t>
  </si>
  <si>
    <t>Crazy’s Sets</t>
  </si>
  <si>
    <t>疯狂的套装</t>
  </si>
  <si>
    <t>AFI-疯狂套装-24342=⑥</t>
  </si>
  <si>
    <t>AFI-疯狂套装-24342</t>
  </si>
  <si>
    <t>⑤A24342疯狂套装</t>
  </si>
  <si>
    <t>FU-盖亚的上衣-13254</t>
  </si>
  <si>
    <t>Love Cards</t>
  </si>
  <si>
    <t>爱之卡片</t>
  </si>
  <si>
    <t>WF-爱欲卡牌-41343</t>
  </si>
  <si>
    <t>WAI-爱欲卡牌-41343</t>
  </si>
  <si>
    <t>WF41343爱心卡片</t>
  </si>
  <si>
    <t>AUF-盖亚的下装-14145_2</t>
  </si>
  <si>
    <t>Lovense Gift</t>
  </si>
  <si>
    <t>震动棒</t>
  </si>
  <si>
    <t>I震动棒-13533</t>
  </si>
  <si>
    <t>IAL-Lovense的礼物-13533</t>
  </si>
  <si>
    <t>I13533震动棒</t>
  </si>
  <si>
    <t>WU-吊带袜腰带-41334</t>
  </si>
  <si>
    <t>Emily's Underlings</t>
  </si>
  <si>
    <t>艾米莉的下属装</t>
  </si>
  <si>
    <t>WIF-艾米丽的小弟们-51423</t>
  </si>
  <si>
    <t>WI艾米丽的下属</t>
  </si>
  <si>
    <t>FU-巨型扳手-11355</t>
  </si>
  <si>
    <t>Subtle Shorts</t>
  </si>
  <si>
    <t>精致短裤</t>
  </si>
  <si>
    <t>WI-微妙的短裤-41433</t>
  </si>
  <si>
    <t>WIF-微妙的短裤-41433</t>
  </si>
  <si>
    <t>FU-高尔夫球杆-13344</t>
  </si>
  <si>
    <t>Cosmic Attire (top)</t>
  </si>
  <si>
    <t>宇宙装束（上衣）</t>
  </si>
  <si>
    <t>WAI-宇宙装束（上衣）-43422</t>
  </si>
  <si>
    <t>宇宙服饰上衣</t>
  </si>
  <si>
    <t>W-枪手长裤-42333</t>
  </si>
  <si>
    <t>+</t>
  </si>
  <si>
    <t>Serpentine Top</t>
  </si>
  <si>
    <t>蛇纹上衣</t>
  </si>
  <si>
    <t>④.WF-蛇纹上衣-41343</t>
  </si>
  <si>
    <t>WIF-蛇纹上衣-41343=④</t>
  </si>
  <si>
    <t>WIF-蛇纹上衣-41343</t>
  </si>
  <si>
    <t>蛇形顶</t>
  </si>
  <si>
    <t>W-枪手上衣-51333</t>
  </si>
  <si>
    <t>Cute Dress</t>
  </si>
  <si>
    <t>可爱连衣裙</t>
  </si>
  <si>
    <t>IFU-可爱连衣裙-12444=④</t>
  </si>
  <si>
    <t>IFU-可爱连衣裙-12444</t>
  </si>
  <si>
    <t>④I12444可爱连裙</t>
  </si>
  <si>
    <t>Dahia's Rituals</t>
  </si>
  <si>
    <t>达希亚的仪式</t>
  </si>
  <si>
    <t>(?)达希亚的仪式</t>
  </si>
  <si>
    <t>Dangerous Set</t>
  </si>
  <si>
    <t>危险套装</t>
  </si>
  <si>
    <t>AIF-危险套装-24243=⑤</t>
  </si>
  <si>
    <t>AIF-危险套装-24243</t>
  </si>
  <si>
    <t>⑤A24243危险套装</t>
  </si>
  <si>
    <t>WAI-#痛苦先驱-54511.C</t>
  </si>
  <si>
    <t>C.WAI-#痛苦先驱-54511</t>
  </si>
  <si>
    <t>Domination</t>
  </si>
  <si>
    <t>支配</t>
  </si>
  <si>
    <t>IFU-支配-11554=①</t>
  </si>
  <si>
    <t>IFU-支配-11554</t>
  </si>
  <si>
    <t>①IF11554@支配</t>
  </si>
  <si>
    <t>WF-鱼叉枪-41343</t>
  </si>
  <si>
    <t>XX’s Formal Shirt</t>
  </si>
  <si>
    <t>XX的正式衬衫</t>
  </si>
  <si>
    <t>AF-XX的正式衬衫-24342</t>
  </si>
  <si>
    <t>AIF-XX的正式衬衫-24342</t>
  </si>
  <si>
    <t>AFU-重型水管-14244</t>
  </si>
  <si>
    <t>Dagger</t>
  </si>
  <si>
    <t>匕首</t>
  </si>
  <si>
    <t>AFI-匕首-24342</t>
  </si>
  <si>
    <t>AF24342匕首</t>
  </si>
  <si>
    <t>FU-重型扳手-11355</t>
  </si>
  <si>
    <t>Makeup Kit</t>
  </si>
  <si>
    <t>化妆包</t>
  </si>
  <si>
    <t>F-化妆包-33342</t>
  </si>
  <si>
    <t>AIF-化妆包-33342</t>
  </si>
  <si>
    <t>F化妆盒33342</t>
  </si>
  <si>
    <t>Starfish Bra</t>
  </si>
  <si>
    <t>海星文胸</t>
  </si>
  <si>
    <t>AF-海星胸罩-14343</t>
  </si>
  <si>
    <t>AFI-海星胸罩-14343</t>
  </si>
  <si>
    <t>海星胸罩</t>
  </si>
  <si>
    <t>A-狩猎匕首-24333</t>
  </si>
  <si>
    <t>Sea-themed Skirt</t>
  </si>
  <si>
    <t>海洋主题裙</t>
  </si>
  <si>
    <t>AF-海洋主题短裙-14343</t>
  </si>
  <si>
    <t>AFI-海洋主题短裙-14343</t>
  </si>
  <si>
    <t>海洋主题裙子</t>
  </si>
  <si>
    <t>F-改良霰弹枪-32352</t>
  </si>
  <si>
    <t>Sea-themed Top</t>
  </si>
  <si>
    <t>海洋上衣</t>
  </si>
  <si>
    <t>AF-海洋主题上衣-14343</t>
  </si>
  <si>
    <t>AFI-海洋主题上衣-14343</t>
  </si>
  <si>
    <t>海洋主题上衣</t>
  </si>
  <si>
    <t>WF-渗透者套装-41343.④</t>
  </si>
  <si>
    <t>④.WF-渗透者套装-41343</t>
  </si>
  <si>
    <t>tess</t>
  </si>
  <si>
    <t>Pipe</t>
  </si>
  <si>
    <t>水管</t>
  </si>
  <si>
    <t>AF-水管-14343</t>
  </si>
  <si>
    <t>AIF-水管-14343</t>
  </si>
  <si>
    <t>AF14343管道</t>
  </si>
  <si>
    <t>Flaming Top</t>
  </si>
  <si>
    <t>燃烧上衣</t>
  </si>
  <si>
    <t>AFI-燃烧上衣-14343</t>
  </si>
  <si>
    <t>火焰顶</t>
  </si>
  <si>
    <t>Nipplebra</t>
  </si>
  <si>
    <t>露乳文胸</t>
  </si>
  <si>
    <t>AF-乳头胸贴-24342</t>
  </si>
  <si>
    <t>AFI-乳头胸贴-24342</t>
  </si>
  <si>
    <t>乳头胸罩</t>
  </si>
  <si>
    <t>茉莉的夜晚(X)-00000</t>
  </si>
  <si>
    <t>Dissolved Cloth</t>
  </si>
  <si>
    <t>溶解布衣</t>
  </si>
  <si>
    <t>AFI-溶解下装-14343</t>
  </si>
  <si>
    <t>溶解的布料</t>
  </si>
  <si>
    <t>WF-妒忌制造者-42342.⑤</t>
  </si>
  <si>
    <t>⑤.WF-妒忌制造者-42342</t>
  </si>
  <si>
    <t>A最强</t>
  </si>
  <si>
    <t>Assasin’s Dagger</t>
  </si>
  <si>
    <t>刺客匕首</t>
  </si>
  <si>
    <t>AFI-刺客的短匕-15342</t>
  </si>
  <si>
    <t>AF15342刺客匕首</t>
  </si>
  <si>
    <t>JNT套装-33333</t>
  </si>
  <si>
    <t>Sport Shorts</t>
  </si>
  <si>
    <t>运动短裤</t>
  </si>
  <si>
    <t>AF-运动短裤-24342</t>
  </si>
  <si>
    <t>AIF-运动短裤-24342</t>
  </si>
  <si>
    <t>AU-武士刀-24324</t>
  </si>
  <si>
    <t>Scout Panties</t>
  </si>
  <si>
    <t>侦察兵内裤</t>
  </si>
  <si>
    <t>AF-侦察兵内裤-14343</t>
  </si>
  <si>
    <t>AFI-侦察兵内裤-14343</t>
  </si>
  <si>
    <t>AU-杀手连衣裙-24324</t>
  </si>
  <si>
    <t>Starfish Panties</t>
  </si>
  <si>
    <t>海星内裤</t>
  </si>
  <si>
    <t>AU-海星内裤-14334</t>
  </si>
  <si>
    <t>AFI-海星内裤-14334</t>
  </si>
  <si>
    <t>IFU-金的泳装-12444.④</t>
  </si>
  <si>
    <t>④.IFU-金的泳装-12444</t>
  </si>
  <si>
    <t>Dress To Rugs</t>
  </si>
  <si>
    <t>破布礼服</t>
  </si>
  <si>
    <t>AIF-破布礼服-24234</t>
  </si>
  <si>
    <t>华服变褴褛</t>
  </si>
  <si>
    <t>UF-蕾丝牛仔裤-12245</t>
  </si>
  <si>
    <t>Katana</t>
  </si>
  <si>
    <t>武士刀</t>
  </si>
  <si>
    <t>AFI-武士刀-24324</t>
  </si>
  <si>
    <t>武士刀AU24324</t>
  </si>
  <si>
    <t>Amorous Bow</t>
  </si>
  <si>
    <t>爱欲之弓</t>
  </si>
  <si>
    <t>WAI-多情蝴蝶结-34332</t>
  </si>
  <si>
    <t>爱之弓A34332</t>
  </si>
  <si>
    <t>W-系带上衣-43323</t>
  </si>
  <si>
    <t>MP3</t>
  </si>
  <si>
    <t>F-MP3-32343</t>
  </si>
  <si>
    <t>WIF-MP3-32343</t>
  </si>
  <si>
    <t>F MP3 32343</t>
  </si>
  <si>
    <t>AF-大型电击器-24252</t>
  </si>
  <si>
    <t>Regular Top</t>
  </si>
  <si>
    <t>普通上衣</t>
  </si>
  <si>
    <t>A-常规上衣-24333</t>
  </si>
  <si>
    <t>AIF-加固水管-14244</t>
  </si>
  <si>
    <t>常规上衣</t>
  </si>
  <si>
    <t>Hunting Dagger</t>
  </si>
  <si>
    <t>猎刀</t>
  </si>
  <si>
    <t>AFI-狩猎匕首-24333</t>
  </si>
  <si>
    <t>猎刀A24332</t>
  </si>
  <si>
    <t>IFU-领路者套装-12444.④</t>
  </si>
  <si>
    <t>④.IFU-领路者套装-12444</t>
  </si>
  <si>
    <t>Sweatshirt</t>
  </si>
  <si>
    <t>运动衫</t>
  </si>
  <si>
    <t>A-运动卫衣-24332</t>
  </si>
  <si>
    <t>AIF-运动卫衣-24332</t>
  </si>
  <si>
    <t>A-联盟长裤-24333</t>
  </si>
  <si>
    <t>Sweatpants</t>
  </si>
  <si>
    <t>运动裤</t>
  </si>
  <si>
    <t>A-运动长裤-24332</t>
  </si>
  <si>
    <t>AIF-运动长裤-24332</t>
  </si>
  <si>
    <t>U-联盟短裤-23334</t>
  </si>
  <si>
    <t>League Pants</t>
  </si>
  <si>
    <t>联盟长裤</t>
  </si>
  <si>
    <t>AIF-联盟长裤-24333</t>
  </si>
  <si>
    <t>联赛长裤</t>
  </si>
  <si>
    <t>FU-联盟上衣（胸罩款）-13254</t>
  </si>
  <si>
    <t>MP5</t>
  </si>
  <si>
    <t>WI-MP5-41433</t>
  </si>
  <si>
    <t>WIF-MP5-41433</t>
  </si>
  <si>
    <t>I41433 MP5</t>
  </si>
  <si>
    <t>FU-联盟上衣（马甲款）-13344</t>
  </si>
  <si>
    <t>MP6</t>
  </si>
  <si>
    <t>I-MP6-31533</t>
  </si>
  <si>
    <t>WIF-MP6-31533</t>
  </si>
  <si>
    <t>I31533 MP6</t>
  </si>
  <si>
    <t>W-皮夹克-42333</t>
  </si>
  <si>
    <t>Boomhammer</t>
  </si>
  <si>
    <t>爆锤</t>
  </si>
  <si>
    <t>IFU-爆破锤-13344</t>
  </si>
  <si>
    <t>FU13344轰击锤</t>
  </si>
  <si>
    <t>AF-解放者套装-15243.②</t>
  </si>
  <si>
    <t>②.AF-解放者套装-15243</t>
  </si>
  <si>
    <t>Perfect Brooch</t>
  </si>
  <si>
    <t>完美胸针</t>
  </si>
  <si>
    <t>WIF-完美胸针-41442</t>
  </si>
  <si>
    <t>WAI-完美胸针-41442</t>
  </si>
  <si>
    <t>WIF41442完美胸针</t>
  </si>
  <si>
    <t>F-线条迷你裙-23342</t>
  </si>
  <si>
    <t>Wrench</t>
  </si>
  <si>
    <t>扳手</t>
  </si>
  <si>
    <t>FU-扳手-11355</t>
  </si>
  <si>
    <t>IFU-扳手-11355</t>
  </si>
  <si>
    <t>FU扳手11355</t>
  </si>
  <si>
    <t>AF-丽莎的甲壳-14253.④</t>
  </si>
  <si>
    <t>④.AF-丽莎的甲壳-14253</t>
  </si>
  <si>
    <t>Short Jeans</t>
  </si>
  <si>
    <t>短牛仔裤</t>
  </si>
  <si>
    <t>FU-短款牛仔裤-31344</t>
  </si>
  <si>
    <t>WIF-短款牛仔裤-31344</t>
  </si>
  <si>
    <t>牛仔短裤</t>
  </si>
  <si>
    <t>AFU-丽莎的翅翼-14244_3.③</t>
  </si>
  <si>
    <t>③.AFU-丽莎的翅翼-14244_3</t>
  </si>
  <si>
    <t>Elaine's Charm</t>
  </si>
  <si>
    <t>伊莱恩的魅力</t>
  </si>
  <si>
    <t>(?)伊莱恩的魅力</t>
  </si>
  <si>
    <t>AF-丽莎的腹部-14253</t>
  </si>
  <si>
    <t>Explorer Skirt</t>
  </si>
  <si>
    <t>探险者短裙</t>
  </si>
  <si>
    <t>IFU-探险者短裙-13344</t>
  </si>
  <si>
    <t>探险家裙</t>
  </si>
  <si>
    <t>Golf</t>
  </si>
  <si>
    <t>高尔夫球杆</t>
  </si>
  <si>
    <t>IFU-高尔夫球杆-13344</t>
  </si>
  <si>
    <t>高尔夫球</t>
  </si>
  <si>
    <t>Giant Wrench</t>
  </si>
  <si>
    <t>巨型扳手</t>
  </si>
  <si>
    <t>IFU-巨型扳手-11355</t>
  </si>
  <si>
    <t>FU巨扳11355</t>
  </si>
  <si>
    <t>震动棒-13533</t>
  </si>
  <si>
    <t>Quality Duck</t>
  </si>
  <si>
    <t>优质鸭</t>
  </si>
  <si>
    <t>WF-#优质小黄鸭-43243</t>
  </si>
  <si>
    <t>WIF-优质小黄鸭-43243</t>
  </si>
  <si>
    <t>WF43243@优质鸭</t>
  </si>
  <si>
    <t>砍刀-33333</t>
  </si>
  <si>
    <t>Heavy Wrench</t>
  </si>
  <si>
    <t>重型扳手</t>
  </si>
  <si>
    <t>IFU-重型扳手-11355</t>
  </si>
  <si>
    <t>FU重扳11355</t>
  </si>
  <si>
    <t>Ashley's Bottom</t>
  </si>
  <si>
    <t>艾希莉的下装</t>
  </si>
  <si>
    <t>AFU-艾希莉的下装-13344</t>
  </si>
  <si>
    <t>阿什利的底部</t>
  </si>
  <si>
    <t>FU-技工上衣-11355_5</t>
  </si>
  <si>
    <t>League Top (vest)</t>
  </si>
  <si>
    <t>联盟上衣（背心款）</t>
  </si>
  <si>
    <t>IFU-联盟上衣（马甲款）-13344</t>
  </si>
  <si>
    <t>联赛背心</t>
  </si>
  <si>
    <t>IUF-技工短裙-11445_4.②</t>
  </si>
  <si>
    <t>②.IUF-技工短裙-11445_4</t>
  </si>
  <si>
    <t>Eleanor Set</t>
  </si>
  <si>
    <t>埃莉诺套装</t>
  </si>
  <si>
    <t>FUW-埃莉诺套装-11155</t>
  </si>
  <si>
    <t>F11155埃莉诺套装</t>
  </si>
  <si>
    <t>W-佣兵长裤-43233</t>
  </si>
  <si>
    <t>Explorer Top</t>
  </si>
  <si>
    <t>探险者上衣</t>
  </si>
  <si>
    <t>FUI-探险者上衣-13353</t>
  </si>
  <si>
    <t>IFU-探险者上衣-13353</t>
  </si>
  <si>
    <t>F探险家之巅</t>
  </si>
  <si>
    <t>WF-佣兵上衣-51243.③</t>
  </si>
  <si>
    <t>③.WF-佣兵上衣-51243</t>
  </si>
  <si>
    <t>Roman Top</t>
  </si>
  <si>
    <t>罗马上衣</t>
  </si>
  <si>
    <t>F-罗马上衣-23343</t>
  </si>
  <si>
    <t>IFU-罗马上衣-23343</t>
  </si>
  <si>
    <t>罗马顶</t>
  </si>
  <si>
    <t>军用手枪-33333</t>
  </si>
  <si>
    <t>Improved Shotgun</t>
  </si>
  <si>
    <t>改良霰弹枪</t>
  </si>
  <si>
    <t>WIF-改良霰弹枪-32352</t>
  </si>
  <si>
    <t>F32352改良型霰弹枪</t>
  </si>
  <si>
    <t>FU-桃香的套装-13344</t>
  </si>
  <si>
    <t>Sensual Clips</t>
  </si>
  <si>
    <t>性感夹子</t>
  </si>
  <si>
    <t>IU-感官夹子-31434</t>
  </si>
  <si>
    <t>WIF-感官夹子-31434</t>
  </si>
  <si>
    <t>IU31434感官夹</t>
  </si>
  <si>
    <t>IFU-桃香的下装-11454_4.②</t>
  </si>
  <si>
    <t>②.IFU-桃香的下装-11454_4</t>
  </si>
  <si>
    <t>Tied Shirt</t>
  </si>
  <si>
    <t>系带衬衫</t>
  </si>
  <si>
    <t>F-系结衬衫-33342</t>
  </si>
  <si>
    <t>AIF-系结衬衫-33342</t>
  </si>
  <si>
    <t>Shotgun</t>
  </si>
  <si>
    <t>霰弹枪</t>
  </si>
  <si>
    <t>F-霰弹枪-32352</t>
  </si>
  <si>
    <t>WIF-霰弹枪-32352</t>
  </si>
  <si>
    <t>F32352霰弹枪</t>
  </si>
  <si>
    <t>Deepcut Skirt</t>
  </si>
  <si>
    <t>深切短裙</t>
  </si>
  <si>
    <t>IFU-深V短裙-23343</t>
  </si>
  <si>
    <t>深 V 裙</t>
  </si>
  <si>
    <t>Deepcut Top</t>
  </si>
  <si>
    <t>深切上衣</t>
  </si>
  <si>
    <t>FU-深V上衣-23352</t>
  </si>
  <si>
    <t>IFU-深V上衣-23352</t>
  </si>
  <si>
    <t>F深切顶部</t>
  </si>
  <si>
    <t>Splathammer</t>
  </si>
  <si>
    <t>溅射锤</t>
  </si>
  <si>
    <t>F-溅血锤-23343</t>
  </si>
  <si>
    <t>IFU-溅血锤-23343</t>
  </si>
  <si>
    <t>泼溅锤</t>
  </si>
  <si>
    <t>IFU-霓虹灯（下装）-11544_14.①</t>
  </si>
  <si>
    <t>①.IFU-霓虹灯（下装）-11544_14</t>
  </si>
  <si>
    <t>Tazer</t>
  </si>
  <si>
    <t>电击枪</t>
  </si>
  <si>
    <t>F-电击器-23343</t>
  </si>
  <si>
    <t>IFU-电击器-23343</t>
  </si>
  <si>
    <t>泰泽</t>
  </si>
  <si>
    <t>IFU-霓虹灯(散件)-11544_14.①</t>
  </si>
  <si>
    <t>①.IFU-霓虹灯(散件)-11544_14</t>
  </si>
  <si>
    <t>Line Mini</t>
  </si>
  <si>
    <t>线条迷你裙</t>
  </si>
  <si>
    <t>IFU-线条迷你裙-23342</t>
  </si>
  <si>
    <t>Fearless Warrior Suit</t>
  </si>
  <si>
    <t>无畏勇者套装</t>
  </si>
  <si>
    <t>FAU-无畏战士服-14253=④</t>
  </si>
  <si>
    <t>AFU-无畏战士服-14253</t>
  </si>
  <si>
    <t>④AF14253无畏战士服</t>
  </si>
  <si>
    <t>AU-#欧泊石套装-24235</t>
  </si>
  <si>
    <t>Field Medic Suit</t>
  </si>
  <si>
    <t>战地医疗套装</t>
  </si>
  <si>
    <t>WIF-战地医疗兵套装-31434</t>
  </si>
  <si>
    <t>⑤IF434野战军医服</t>
  </si>
  <si>
    <t>WAI-#敞口上衣-55411_6</t>
  </si>
  <si>
    <t>Roman Skirt</t>
  </si>
  <si>
    <t>罗马裙</t>
  </si>
  <si>
    <t>U-罗马短裙-23334</t>
  </si>
  <si>
    <t>IFU-罗马短裙-23334</t>
  </si>
  <si>
    <t>解控快</t>
  </si>
  <si>
    <t>Flamethrower</t>
  </si>
  <si>
    <t>火焰喷射器</t>
  </si>
  <si>
    <t>IFU-火焰喷射器-23334</t>
  </si>
  <si>
    <t>喷火器U23334</t>
  </si>
  <si>
    <t>WAI-#痛苦使者（下装）-54511_15</t>
  </si>
  <si>
    <t>Foxy’s Set</t>
  </si>
  <si>
    <t>福克希的套装</t>
  </si>
  <si>
    <t>狐媚套装-33333</t>
  </si>
  <si>
    <t>狐狸套装</t>
  </si>
  <si>
    <t>WAI-#痛苦使者(散件)-54511_15</t>
  </si>
  <si>
    <t>League Shorts</t>
  </si>
  <si>
    <t>联盟短裤</t>
  </si>
  <si>
    <t>IFU-联盟短裤-23334</t>
  </si>
  <si>
    <t>联赛短裤</t>
  </si>
  <si>
    <t>Fringed Pants</t>
  </si>
  <si>
    <t>流苏长裤</t>
  </si>
  <si>
    <t>WAI-流苏长裤-44331</t>
  </si>
  <si>
    <t>流苏裤子</t>
  </si>
  <si>
    <t>Plain Panties</t>
  </si>
  <si>
    <t>朴素内裤</t>
  </si>
  <si>
    <t>WA-素色内裤-44322</t>
  </si>
  <si>
    <t>WAI-素色内裤-44322</t>
  </si>
  <si>
    <t>普通内裤</t>
  </si>
  <si>
    <t>Specialized SMG</t>
  </si>
  <si>
    <t>特制冲锋枪</t>
  </si>
  <si>
    <t>WF-特制冲锋枪-41343</t>
  </si>
  <si>
    <t>WAI-特制冲锋枪-41343</t>
  </si>
  <si>
    <t>WF41343特种冲锋枪</t>
  </si>
  <si>
    <t>Spicy Lipstick</t>
  </si>
  <si>
    <t>火辣唇膏</t>
  </si>
  <si>
    <t>WA-热辣口红-44133</t>
  </si>
  <si>
    <t>WAI-热辣口红-44133</t>
  </si>
  <si>
    <t>WA44133火辣口红</t>
  </si>
  <si>
    <t>W-自动手枪-43332</t>
  </si>
  <si>
    <t>Small Harpoon Gun</t>
  </si>
  <si>
    <t>小鱼叉枪</t>
  </si>
  <si>
    <t>WF-小型鱼叉枪-41343</t>
  </si>
  <si>
    <t>WAI-小型鱼叉枪-41343</t>
  </si>
  <si>
    <t>WF41343小型鱼叉枪</t>
  </si>
  <si>
    <t>Combat Shotgun</t>
  </si>
  <si>
    <t>战斗霰弹枪</t>
  </si>
  <si>
    <t>WIF-战斗霰弹枪-41352</t>
  </si>
  <si>
    <t>WF41352战斗霰弹枪</t>
  </si>
  <si>
    <t>WU-可能长裤-43134</t>
  </si>
  <si>
    <t>Stocked MP4</t>
  </si>
  <si>
    <t>有托MP4</t>
  </si>
  <si>
    <t>F-MP4-32343</t>
  </si>
  <si>
    <t>WIF-MP4-32343</t>
  </si>
  <si>
    <t>F MP4 32343</t>
  </si>
  <si>
    <t>WU-可能上衣-43134</t>
  </si>
  <si>
    <t>戴安娜</t>
  </si>
  <si>
    <t>Harpoon Gun</t>
  </si>
  <si>
    <t>鱼叉枪</t>
  </si>
  <si>
    <t>WAI-鱼叉枪-41343</t>
  </si>
  <si>
    <t>WF41343鱼叉枪</t>
  </si>
  <si>
    <t>FU-后末日短裤-23244</t>
  </si>
  <si>
    <t>XX's Last Resort</t>
  </si>
  <si>
    <t>XX的最后手段</t>
  </si>
  <si>
    <t>WU-XX的最后手段-42324</t>
  </si>
  <si>
    <t>WAI-XX的最后手段-42324</t>
  </si>
  <si>
    <t>WU42324 XX最后手段</t>
  </si>
  <si>
    <t>FU-后末日套装-23244</t>
  </si>
  <si>
    <t>Garterbelt</t>
  </si>
  <si>
    <t>吊袜带</t>
  </si>
  <si>
    <t>WIF-吊带袜腰带-41334</t>
  </si>
  <si>
    <t>AFU-力量套装-14154.③</t>
  </si>
  <si>
    <t>③.FAU-力量套装-14154</t>
  </si>
  <si>
    <t>SMG</t>
  </si>
  <si>
    <t>冲锋枪</t>
  </si>
  <si>
    <t>WU-冲锋枪-41334</t>
  </si>
  <si>
    <t>WIF-冲锋枪-41334</t>
  </si>
  <si>
    <t>WU41334冲锋枪</t>
  </si>
  <si>
    <t>W-精密激光手枪-43323</t>
  </si>
  <si>
    <t>Emily’s Boss</t>
  </si>
  <si>
    <t>艾米莉的老大装</t>
  </si>
  <si>
    <t>WIF-艾米丽的大佬-41334</t>
  </si>
  <si>
    <t>艾米丽的老板</t>
  </si>
  <si>
    <t>AF-囚犯内裤-15342_9.②</t>
  </si>
  <si>
    <t>②.AF-囚犯内裤-15342_9</t>
  </si>
  <si>
    <t>Blaster</t>
  </si>
  <si>
    <t>爆能枪</t>
  </si>
  <si>
    <t>WAI-爆能枪-43332</t>
  </si>
  <si>
    <t>爆能枪W</t>
  </si>
  <si>
    <t>Leather Jacket</t>
  </si>
  <si>
    <t>皮夹克</t>
  </si>
  <si>
    <t>WIF-皮夹克-42333</t>
  </si>
  <si>
    <t>Civilian Pistol</t>
  </si>
  <si>
    <t>民用手枪</t>
  </si>
  <si>
    <t>WAI-民用自动手枪-43332</t>
  </si>
  <si>
    <t>平民手枪W</t>
  </si>
  <si>
    <t>W-祈雨舞-43233</t>
  </si>
  <si>
    <t>Fringed Top</t>
  </si>
  <si>
    <t>流苏上衣</t>
  </si>
  <si>
    <t>WAI-流苏上衣-43332</t>
  </si>
  <si>
    <t>W-雨衣-43233</t>
  </si>
  <si>
    <t>Precision Laser Pistol</t>
  </si>
  <si>
    <t>精准激光手枪</t>
  </si>
  <si>
    <t>WAI-精密激光手枪-43323</t>
  </si>
  <si>
    <t>精密激光手枪W43323</t>
  </si>
  <si>
    <t>U-乌鸦皮-23334</t>
  </si>
  <si>
    <t>Lace-up Top</t>
  </si>
  <si>
    <t>系带上衣</t>
  </si>
  <si>
    <t>WAI-系带上衣-43323</t>
  </si>
  <si>
    <t>Bound Pants</t>
  </si>
  <si>
    <t>束缚长裤</t>
  </si>
  <si>
    <t>WIU-束缚长裤-42333</t>
  </si>
  <si>
    <t>束缚裤</t>
  </si>
  <si>
    <t>AFU-加固水管-14244</t>
  </si>
  <si>
    <t>Pistol</t>
  </si>
  <si>
    <t>手枪</t>
  </si>
  <si>
    <t>WAI-自动手枪-43332</t>
  </si>
  <si>
    <t>手枪W</t>
  </si>
  <si>
    <t>WFU-#雷兹诺的抉择-41155.②</t>
  </si>
  <si>
    <t>②.WFU-#雷兹诺的抉择-41155</t>
  </si>
  <si>
    <t>Gunslinger Top</t>
  </si>
  <si>
    <t>枪侠上衣</t>
  </si>
  <si>
    <t>WIF-枪手上衣-51333</t>
  </si>
  <si>
    <t>W枪手上衣</t>
  </si>
  <si>
    <t>AF-公路战士（下装）-15153_16.①</t>
  </si>
  <si>
    <t>①.AF-公路战士（下装）-15153_16</t>
  </si>
  <si>
    <t>Gunslinger Pants</t>
  </si>
  <si>
    <t>枪侠长裤</t>
  </si>
  <si>
    <t>WIF-枪手长裤-42333</t>
  </si>
  <si>
    <t>枪手裤子</t>
  </si>
  <si>
    <t>AF-公路战士(散件)-15153_16.①</t>
  </si>
  <si>
    <t>①.AF-公路战士(散件)-15153_16</t>
  </si>
  <si>
    <t>Frozen’s Attire</t>
  </si>
  <si>
    <t>弗罗赞的装束</t>
  </si>
  <si>
    <t>WFU-冰霜装束-51153=①</t>
  </si>
  <si>
    <t>WFU-冰霜装束-51153</t>
  </si>
  <si>
    <t>①WF51153冰冻装束</t>
  </si>
  <si>
    <t>Energy Pistol</t>
  </si>
  <si>
    <t>能量手枪</t>
  </si>
  <si>
    <t>Machete</t>
  </si>
  <si>
    <t>砍刀</t>
  </si>
  <si>
    <t>FU-灼烧者-32244</t>
  </si>
  <si>
    <t>Small Pistol</t>
  </si>
  <si>
    <t>小手枪</t>
  </si>
  <si>
    <t>小型手枪-33333</t>
  </si>
  <si>
    <t>Gaia’s Sets</t>
  </si>
  <si>
    <t>盖亚的套装</t>
  </si>
  <si>
    <t>FUA-盖亚的套装-13254</t>
  </si>
  <si>
    <t>AFU-盖亚的套装-13254</t>
  </si>
  <si>
    <t>F13254盖亚套装</t>
  </si>
  <si>
    <t>Military Pistol</t>
  </si>
  <si>
    <t>军用手枪</t>
  </si>
  <si>
    <t>军用手枪最垃</t>
  </si>
  <si>
    <t>Harbringers Of Pain</t>
  </si>
  <si>
    <t>痛苦先驱</t>
  </si>
  <si>
    <t>WAI-痛苦先驱-54511=C</t>
  </si>
  <si>
    <t>WAI-痛苦先驱-54511</t>
  </si>
  <si>
    <t>WI54511@痛苦先驱</t>
  </si>
  <si>
    <t>Infiltrator Suit</t>
  </si>
  <si>
    <t>渗透者套装</t>
  </si>
  <si>
    <t>WIF-渗透者套装-41343=④</t>
  </si>
  <si>
    <t>WIF-渗透者套装-41343</t>
  </si>
  <si>
    <t>③W41343潜入者套装</t>
  </si>
  <si>
    <t>WF-蛇纹上衣-41343.④</t>
  </si>
  <si>
    <t>Merc Top</t>
  </si>
  <si>
    <t>佣兵上衣</t>
  </si>
  <si>
    <t>WIF-佣兵上衣-51243=③</t>
  </si>
  <si>
    <t>WIF-佣兵上衣-51243</t>
  </si>
  <si>
    <t>W奔驰顶</t>
  </si>
  <si>
    <t>AIF-色诱制服-14451</t>
  </si>
  <si>
    <t>Jasmine's Nights</t>
  </si>
  <si>
    <t>茉莉的夜晚</t>
  </si>
  <si>
    <t>贾斯敏之夜</t>
  </si>
  <si>
    <t>A-锋利砍刀-34233</t>
  </si>
  <si>
    <t>Jealousy Bringer</t>
  </si>
  <si>
    <t>嫉妒使者</t>
  </si>
  <si>
    <t>WAI-妒忌制造者-42342=⑤</t>
  </si>
  <si>
    <t>WAI-妒忌制造者-42342</t>
  </si>
  <si>
    <t>③W42342嫉妒使者</t>
  </si>
  <si>
    <t>Stripped Vest</t>
  </si>
  <si>
    <t>条纹背心</t>
  </si>
  <si>
    <t>④.WFU-条纹马甲-41244</t>
  </si>
  <si>
    <t>WIF-条纹马甲-41244=④</t>
  </si>
  <si>
    <t>WIF-条纹马甲-41244</t>
  </si>
  <si>
    <t>JNT Set</t>
  </si>
  <si>
    <t>JNT套装</t>
  </si>
  <si>
    <t>姐妹会连衣裙(X)-00000</t>
  </si>
  <si>
    <t>Butcher’s Chopper</t>
  </si>
  <si>
    <t>屠夫的斩肉刀</t>
  </si>
  <si>
    <t>AIF-屠夫的斩肉刀-14244</t>
  </si>
  <si>
    <t>AFU14244屠夫切碎机</t>
  </si>
  <si>
    <t>WIF-诗人的诗篇-41451</t>
  </si>
  <si>
    <t>Reinforced Pipe</t>
  </si>
  <si>
    <t>加固水管</t>
  </si>
  <si>
    <t>AIF-常规上衣-24333</t>
  </si>
  <si>
    <t>AFU14244钢管</t>
  </si>
  <si>
    <t>Spiked Club</t>
  </si>
  <si>
    <t>钉头棒</t>
  </si>
  <si>
    <t>AFU-尖刺棍棒-14244</t>
  </si>
  <si>
    <t>AIF-尖刺棍棒-14244</t>
  </si>
  <si>
    <t>AFU14244带刺俱乐部</t>
  </si>
  <si>
    <t>TESS 卡琳</t>
  </si>
  <si>
    <t>Heavy Pipe</t>
  </si>
  <si>
    <t>重型水管</t>
  </si>
  <si>
    <t>AIF-重型水管-14244</t>
  </si>
  <si>
    <t>AFU14244重管</t>
  </si>
  <si>
    <t>Large Tazer</t>
  </si>
  <si>
    <t>大型电击枪</t>
  </si>
  <si>
    <t>AFU-大型电击器-24252</t>
  </si>
  <si>
    <t>AF24252大型泰瑟枪</t>
  </si>
  <si>
    <t>Liza's Abdomen</t>
  </si>
  <si>
    <t>丽莎的腹部</t>
  </si>
  <si>
    <t>FUA-丽莎的腹部-14253</t>
  </si>
  <si>
    <t>AFU-丽莎的腹部-14253</t>
  </si>
  <si>
    <t>FA14253丽莎的腹部</t>
  </si>
  <si>
    <t>AFU-太空紧身裤-14244_3.③</t>
  </si>
  <si>
    <t>③.AFU-太空紧身裤-14244_3</t>
  </si>
  <si>
    <t>Chopper</t>
  </si>
  <si>
    <t>斩肉刀</t>
  </si>
  <si>
    <t>AIF-斩肉刀-24243</t>
  </si>
  <si>
    <t>AF24243切碎机</t>
  </si>
  <si>
    <t>A-太空上衣-34233</t>
  </si>
  <si>
    <t>Killer Dress</t>
  </si>
  <si>
    <t>杀手礼服</t>
  </si>
  <si>
    <t>AIF-杀手连衣裙-24324</t>
  </si>
  <si>
    <t>杀手连衣裙</t>
  </si>
  <si>
    <t>Kim’s Swimsuit</t>
  </si>
  <si>
    <t>金的泳装</t>
  </si>
  <si>
    <t>IFU-金的泳装-12444=④</t>
  </si>
  <si>
    <t>IFU-金的泳装-12444</t>
  </si>
  <si>
    <t>④I12444金的泳装</t>
  </si>
  <si>
    <t>Leader Set</t>
  </si>
  <si>
    <t>领袖套装</t>
  </si>
  <si>
    <t>IFU-领路者套装-12444=④</t>
  </si>
  <si>
    <t>IFU-领路者套装-12444</t>
  </si>
  <si>
    <t>④I12444领袖套装</t>
  </si>
  <si>
    <t>最高敏捷</t>
  </si>
  <si>
    <t>Space Top</t>
  </si>
  <si>
    <t>太空上衣</t>
  </si>
  <si>
    <t>WAI-太空上衣-34233</t>
  </si>
  <si>
    <t>太空顶部</t>
  </si>
  <si>
    <t>Sports Bra</t>
  </si>
  <si>
    <t>运动文胸</t>
  </si>
  <si>
    <t>A-运动胸罩-34233</t>
  </si>
  <si>
    <t>WAI-运动胸罩-34233</t>
  </si>
  <si>
    <t>金 玛莎？</t>
  </si>
  <si>
    <t>Sharp Machete</t>
  </si>
  <si>
    <t>锋利砍刀</t>
  </si>
  <si>
    <t>WAI-锋利砍刀-34233</t>
  </si>
  <si>
    <t>锋利的砍刀A34233</t>
  </si>
  <si>
    <t>Liberator Suit</t>
  </si>
  <si>
    <t>解放者套装</t>
  </si>
  <si>
    <t>AFI-解放者套装-15243=②</t>
  </si>
  <si>
    <t>AFI-解放者套装-15243</t>
  </si>
  <si>
    <t>②A解放者套装15243</t>
  </si>
  <si>
    <t>Gaia’s Top</t>
  </si>
  <si>
    <t>盖亚的上衣</t>
  </si>
  <si>
    <t>AFU-盖亚的上衣-13254</t>
  </si>
  <si>
    <t>F盖亚之巅</t>
  </si>
  <si>
    <t>Postapo Shorts</t>
  </si>
  <si>
    <t>后末日短裤</t>
  </si>
  <si>
    <t>IFU-后末日短裤-23244</t>
  </si>
  <si>
    <t>废土短裤</t>
  </si>
  <si>
    <t>斯黛拉的阳光(X)-00000</t>
  </si>
  <si>
    <t>Liza’s Chitina</t>
  </si>
  <si>
    <t>丽莎的甲壳装</t>
  </si>
  <si>
    <t>FAU-丽莎的甲壳-14253=④</t>
  </si>
  <si>
    <t>AFU-丽莎的几丁质甲壳-14253</t>
  </si>
  <si>
    <t>④AF14253丽莎的几丁质</t>
  </si>
  <si>
    <t>Scorcher</t>
  </si>
  <si>
    <t>灼烧者</t>
  </si>
  <si>
    <t>IFU-灼烧者-32244</t>
  </si>
  <si>
    <t>FU32244炙烤者</t>
  </si>
  <si>
    <t>WFU-条纹马甲-41244.④</t>
  </si>
  <si>
    <t>League Top (bra)</t>
  </si>
  <si>
    <t>联盟上衣（文胸款）</t>
  </si>
  <si>
    <t>AFU-联盟上衣（胸罩款）-13254</t>
  </si>
  <si>
    <t>F联赛文胸</t>
  </si>
  <si>
    <t>Sugar Bomb</t>
  </si>
  <si>
    <t>糖衣炸弹</t>
  </si>
  <si>
    <t>AI-糖衣炮弹-25413</t>
  </si>
  <si>
    <t>AFW-糖衣炮弹-25413</t>
  </si>
  <si>
    <t>AI25413糖果炸弹</t>
  </si>
  <si>
    <t>Tacky Dildo</t>
  </si>
  <si>
    <t>俗气假阳具</t>
  </si>
  <si>
    <t>AI-劣质假阳具-34413</t>
  </si>
  <si>
    <t>WAI-劣质假阳具-34413</t>
  </si>
  <si>
    <t>AI34413俗气玩具</t>
  </si>
  <si>
    <t>Lace Jeans</t>
  </si>
  <si>
    <t>蕾丝牛仔裤</t>
  </si>
  <si>
    <t>FU-蕾丝牛仔裤-12245</t>
  </si>
  <si>
    <t>IFU-蕾丝牛仔裤-12245</t>
  </si>
  <si>
    <t>U蕾丝牛仔裤</t>
  </si>
  <si>
    <t>AU-服从套装-24234</t>
  </si>
  <si>
    <t>Momoka’s Sets</t>
  </si>
  <si>
    <t>桃香的套装</t>
  </si>
  <si>
    <t>IFU-桃香的套装-13344</t>
  </si>
  <si>
    <t>百花/桃花套装</t>
  </si>
  <si>
    <t>Teddy</t>
  </si>
  <si>
    <t>泰迪</t>
  </si>
  <si>
    <t>WIF-泰迪熊内衣-42441</t>
  </si>
  <si>
    <t>WAI-泰迪熊内衣-42441</t>
  </si>
  <si>
    <t>WIF42441泰迪熊</t>
  </si>
  <si>
    <t>Armless Shirt</t>
  </si>
  <si>
    <t>无袖衬衫</t>
  </si>
  <si>
    <t>WIU-无袖衬衫-52233</t>
  </si>
  <si>
    <t>W无袖衬衫</t>
  </si>
  <si>
    <t>AFU-#西比尔的叛逆-25244.①</t>
  </si>
  <si>
    <t>①.AFU-#西比尔的叛逆-25244</t>
  </si>
  <si>
    <t>Rain Dance</t>
  </si>
  <si>
    <t>雨之舞</t>
  </si>
  <si>
    <t>WAI-祈雨舞-43233</t>
  </si>
  <si>
    <t>Raincoat</t>
  </si>
  <si>
    <t>雨衣</t>
  </si>
  <si>
    <t>WAI-雨衣-43233</t>
  </si>
  <si>
    <t>Merc Pants</t>
  </si>
  <si>
    <t>佣兵长裤</t>
  </si>
  <si>
    <t>WAI-佣兵长裤-43233</t>
  </si>
  <si>
    <t>奔驰裤</t>
  </si>
  <si>
    <t>Opalescent Set</t>
  </si>
  <si>
    <t>欧泊石套装</t>
  </si>
  <si>
    <t>UIF-欧泊石套装-24235</t>
  </si>
  <si>
    <t>IFU-欧泊石套装-24235</t>
  </si>
  <si>
    <t>U24235@乳白色套装</t>
  </si>
  <si>
    <t>Postapo Suit</t>
  </si>
  <si>
    <t>后末日套装</t>
  </si>
  <si>
    <t>IFU-后末日套装-23244</t>
  </si>
  <si>
    <t>废土套装</t>
  </si>
  <si>
    <t>FU-保温杯-31344</t>
  </si>
  <si>
    <t>Power Set</t>
  </si>
  <si>
    <t>力量套装</t>
  </si>
  <si>
    <t>FAU-力量套装-14154=③</t>
  </si>
  <si>
    <t>AFU-力量套装-14154</t>
  </si>
  <si>
    <t>③AF14154力量套装</t>
  </si>
  <si>
    <t>Raven Hide</t>
  </si>
  <si>
    <t>渡鸦皮</t>
  </si>
  <si>
    <t>IFU-乌鸦皮-23334</t>
  </si>
  <si>
    <t>乌鸦皮</t>
  </si>
  <si>
    <t>U-未知之人的恩惠-33234</t>
  </si>
  <si>
    <t>Thermos</t>
  </si>
  <si>
    <t>保温瓶</t>
  </si>
  <si>
    <t>WIF-保温杯-31344</t>
  </si>
  <si>
    <t>FU保温杯31344</t>
  </si>
  <si>
    <t>AUF-维内莎的上衣-14145_2</t>
  </si>
  <si>
    <t>Work Jeans</t>
  </si>
  <si>
    <t>工装牛仔裤</t>
  </si>
  <si>
    <t>FU-工装牛仔裤-33144</t>
  </si>
  <si>
    <t>WIF-工装牛仔裤-33144</t>
  </si>
  <si>
    <t>工作牛仔裤</t>
  </si>
  <si>
    <t>FU-维内莎的下装-13155_5</t>
  </si>
  <si>
    <t>Reznor's Decision</t>
  </si>
  <si>
    <t>雷兹诺的决定</t>
  </si>
  <si>
    <t>WFU-雷兹诺的抉择-41155=②</t>
  </si>
  <si>
    <t>WFU-雷兹诺的抉择-41155</t>
  </si>
  <si>
    <t>②WF41155@雷兹诺的决定</t>
  </si>
  <si>
    <t>A-震动跳蛋-24333</t>
  </si>
  <si>
    <t>Sexting Uniform</t>
  </si>
  <si>
    <t>色诱制服</t>
  </si>
  <si>
    <t>FAI-色诱制服-14451</t>
  </si>
  <si>
    <t>AIF14451撩人制服</t>
  </si>
  <si>
    <t>老婆特供(散件)-33333_12</t>
  </si>
  <si>
    <t>Vibro Egg</t>
  </si>
  <si>
    <t>震动蛋</t>
  </si>
  <si>
    <t>A-跳蛋-24333</t>
  </si>
  <si>
    <t>AFI-震动跳蛋-24333</t>
  </si>
  <si>
    <t>A24333振动蛋</t>
  </si>
  <si>
    <t>Possible Top</t>
  </si>
  <si>
    <t>可能上衣</t>
  </si>
  <si>
    <t>WIF-可能上衣-43134</t>
  </si>
  <si>
    <t>可能的榜首</t>
  </si>
  <si>
    <t>WAI-#宽阔下装-55411_6</t>
  </si>
  <si>
    <t>Possible Pants</t>
  </si>
  <si>
    <t>可能长裤</t>
  </si>
  <si>
    <t>WIF-可能长裤-43134</t>
  </si>
  <si>
    <t>可能的裤子</t>
  </si>
  <si>
    <t>XX’s Tacky Dildo</t>
  </si>
  <si>
    <t>XX的俗气假阳具</t>
  </si>
  <si>
    <t>AI-#XX的劣质假阳具-24433</t>
  </si>
  <si>
    <t>AFI-XX的劣质假阳具-24433</t>
  </si>
  <si>
    <t>AI24433@XX的玩具</t>
  </si>
  <si>
    <t>FU-铁丝泳装-13344</t>
  </si>
  <si>
    <t>Sisterhood Dress</t>
  </si>
  <si>
    <t>姐妹会礼服</t>
  </si>
  <si>
    <t>(?)姐妹会礼服</t>
  </si>
  <si>
    <t>Skalds Poem</t>
  </si>
  <si>
    <t>吟游诗人之诗</t>
  </si>
  <si>
    <t>FWI-诗人的诗篇-41451</t>
  </si>
  <si>
    <t>WIF41451吟游诗篇</t>
  </si>
  <si>
    <t>Stella's Sunshine</t>
  </si>
  <si>
    <t>斯特拉的阳光</t>
  </si>
  <si>
    <t>(?)斯特拉的阳光</t>
  </si>
  <si>
    <t>WU-XX的赐福-51135_13.②</t>
  </si>
  <si>
    <t>②.WU-XX的赐福-51135_13</t>
  </si>
  <si>
    <t>Suitmission</t>
  </si>
  <si>
    <t>套装使命</t>
  </si>
  <si>
    <t>AIF-服从套装-24234</t>
  </si>
  <si>
    <t>服从套装</t>
  </si>
  <si>
    <t>Sybil's Rebellion</t>
  </si>
  <si>
    <t>西比尔的反叛</t>
  </si>
  <si>
    <t>AFU-西比尔的叛逆-25244=①</t>
  </si>
  <si>
    <t>AFU-西比尔的叛逆-25244</t>
  </si>
  <si>
    <t>①A25244@西比尔叛乱</t>
  </si>
  <si>
    <t>AF-XX的太阳制服-14343.⑤</t>
  </si>
  <si>
    <t>⑤.AF-XX的太阳制服-14343</t>
  </si>
  <si>
    <t>Unknown’s Favor</t>
  </si>
  <si>
    <t>未知者的青睐</t>
  </si>
  <si>
    <t>AIF-未知之人的恩惠-33234</t>
  </si>
  <si>
    <t>无名者的恩惠</t>
  </si>
  <si>
    <t>Wire Swimsuit</t>
  </si>
  <si>
    <t>钢丝泳衣</t>
  </si>
  <si>
    <t>IFU-铁丝泳装-13344</t>
  </si>
  <si>
    <t>金属丝泳装</t>
  </si>
  <si>
    <t>XX’s Sol Uniform</t>
  </si>
  <si>
    <t>XX的太阳制服</t>
  </si>
  <si>
    <t>AFI-XX的太阳制服-14343=⑤</t>
  </si>
  <si>
    <t>AFI-XX的太阳制服-14343</t>
  </si>
  <si>
    <t>⑤A14343X太阳服</t>
  </si>
  <si>
    <t>WU-XX的祈祷-51135_13.②</t>
  </si>
  <si>
    <t>②.WU-XX的祈祷-51135_13</t>
  </si>
  <si>
    <t>d</t>
  </si>
  <si>
    <t>Owned</t>
  </si>
  <si>
    <t>Order</t>
  </si>
  <si>
    <t>Name</t>
  </si>
  <si>
    <t>列12</t>
  </si>
  <si>
    <t>Stat</t>
  </si>
  <si>
    <t>Boost</t>
  </si>
  <si>
    <t>Yes</t>
  </si>
  <si>
    <t>Assassin’s Dagger</t>
  </si>
  <si>
    <t>屠夫砍刀</t>
  </si>
  <si>
    <t>A + F + U</t>
  </si>
  <si>
    <t>Rarity</t>
  </si>
  <si>
    <t>Level</t>
  </si>
  <si>
    <t xml:space="preserve"> </t>
  </si>
  <si>
    <t>重型管道</t>
  </si>
  <si>
    <t>epic</t>
  </si>
  <si>
    <t>加固管道</t>
  </si>
  <si>
    <t>F + U</t>
  </si>
  <si>
    <t>Results</t>
  </si>
  <si>
    <t>SMGl</t>
  </si>
  <si>
    <t>Stat Tiers</t>
  </si>
  <si>
    <t>Progress Number</t>
  </si>
  <si>
    <t>I + F</t>
  </si>
  <si>
    <t>Base Stat (Lvl 1)</t>
  </si>
  <si>
    <t>Butcher's Chopper</t>
  </si>
  <si>
    <r>
      <rPr>
        <b/>
        <sz val="11"/>
        <color theme="1"/>
        <rFont val="宋体"/>
        <charset val="134"/>
        <scheme val="minor"/>
      </rPr>
      <t>W</t>
    </r>
    <r>
      <rPr>
        <sz val="11"/>
        <color theme="1"/>
        <rFont val="宋体"/>
        <charset val="134"/>
        <scheme val="minor"/>
      </rPr>
      <t>illpower</t>
    </r>
  </si>
  <si>
    <r>
      <rPr>
        <sz val="11"/>
        <color theme="1"/>
        <rFont val="宋体"/>
        <charset val="134"/>
        <scheme val="minor"/>
      </rPr>
      <t xml:space="preserve">Increases DPS with </t>
    </r>
    <r>
      <rPr>
        <b/>
        <sz val="11"/>
        <color theme="1"/>
        <rFont val="宋体"/>
        <charset val="134"/>
        <scheme val="minor"/>
      </rPr>
      <t>W</t>
    </r>
    <r>
      <rPr>
        <sz val="11"/>
        <color theme="1"/>
        <rFont val="宋体"/>
        <charset val="134"/>
        <scheme val="minor"/>
      </rPr>
      <t xml:space="preserve"> weapons.</t>
    </r>
  </si>
  <si>
    <t>专用冲锋枪</t>
  </si>
  <si>
    <r>
      <rPr>
        <b/>
        <sz val="11"/>
        <color theme="1"/>
        <rFont val="宋体"/>
        <charset val="134"/>
        <scheme val="minor"/>
      </rPr>
      <t>A</t>
    </r>
    <r>
      <rPr>
        <sz val="11"/>
        <color theme="1"/>
        <rFont val="宋体"/>
        <charset val="134"/>
        <scheme val="minor"/>
      </rPr>
      <t>gility</t>
    </r>
  </si>
  <si>
    <r>
      <rPr>
        <sz val="11"/>
        <color theme="1"/>
        <rFont val="宋体"/>
        <charset val="134"/>
        <scheme val="minor"/>
      </rPr>
      <t xml:space="preserve">Increases DPS with </t>
    </r>
    <r>
      <rPr>
        <b/>
        <sz val="11"/>
        <color theme="1"/>
        <rFont val="宋体"/>
        <charset val="134"/>
        <scheme val="minor"/>
      </rPr>
      <t>A</t>
    </r>
    <r>
      <rPr>
        <sz val="11"/>
        <color theme="1"/>
        <rFont val="宋体"/>
        <charset val="134"/>
        <scheme val="minor"/>
      </rPr>
      <t xml:space="preserve"> weapons.</t>
    </r>
  </si>
  <si>
    <t>Meh</t>
  </si>
  <si>
    <t>A + F</t>
  </si>
  <si>
    <r>
      <rPr>
        <b/>
        <sz val="11"/>
        <color theme="1"/>
        <rFont val="宋体"/>
        <charset val="134"/>
        <scheme val="minor"/>
      </rPr>
      <t>I</t>
    </r>
    <r>
      <rPr>
        <sz val="11"/>
        <color theme="1"/>
        <rFont val="宋体"/>
        <charset val="134"/>
        <scheme val="minor"/>
      </rPr>
      <t>ntelligence</t>
    </r>
  </si>
  <si>
    <r>
      <rPr>
        <sz val="11"/>
        <color theme="1"/>
        <rFont val="宋体"/>
        <charset val="134"/>
        <scheme val="minor"/>
      </rPr>
      <t xml:space="preserve">Increases DPS with </t>
    </r>
    <r>
      <rPr>
        <b/>
        <sz val="11"/>
        <color theme="1"/>
        <rFont val="宋体"/>
        <charset val="134"/>
        <scheme val="minor"/>
      </rPr>
      <t>I</t>
    </r>
    <r>
      <rPr>
        <sz val="11"/>
        <color theme="1"/>
        <rFont val="宋体"/>
        <charset val="134"/>
        <scheme val="minor"/>
      </rPr>
      <t xml:space="preserve"> weapons.</t>
    </r>
  </si>
  <si>
    <r>
      <rPr>
        <b/>
        <sz val="11"/>
        <color theme="1"/>
        <rFont val="宋体"/>
        <charset val="134"/>
        <scheme val="minor"/>
      </rPr>
      <t>F</t>
    </r>
    <r>
      <rPr>
        <sz val="11"/>
        <color theme="1"/>
        <rFont val="宋体"/>
        <charset val="134"/>
        <scheme val="minor"/>
      </rPr>
      <t>ortitude</t>
    </r>
  </si>
  <si>
    <t>Increases HP.</t>
  </si>
  <si>
    <t>A + U</t>
  </si>
  <si>
    <r>
      <rPr>
        <b/>
        <sz val="11"/>
        <color theme="1"/>
        <rFont val="宋体"/>
        <charset val="134"/>
        <scheme val="minor"/>
      </rPr>
      <t>U</t>
    </r>
    <r>
      <rPr>
        <sz val="11"/>
        <color theme="1"/>
        <rFont val="宋体"/>
        <charset val="134"/>
        <scheme val="minor"/>
      </rPr>
      <t>tility</t>
    </r>
  </si>
  <si>
    <t>Reduces damage taken.</t>
  </si>
  <si>
    <t>Shotgun (with Scope)</t>
  </si>
  <si>
    <t>爆炸锤</t>
  </si>
  <si>
    <t>A+I</t>
  </si>
  <si>
    <t>Old Manual Calculator</t>
  </si>
  <si>
    <t>W + F</t>
  </si>
  <si>
    <t>Item Level</t>
  </si>
  <si>
    <t>Tier</t>
  </si>
  <si>
    <t>小型鱼叉枪</t>
  </si>
  <si>
    <t>common</t>
  </si>
  <si>
    <t>Tier 3</t>
  </si>
  <si>
    <t>管道</t>
  </si>
  <si>
    <t>Prog #</t>
  </si>
  <si>
    <t>Base Stat</t>
  </si>
  <si>
    <t>小型手枪</t>
  </si>
  <si>
    <t>Data and Stuff:</t>
  </si>
  <si>
    <t>Prototype Tesla Gun (Sparks)</t>
  </si>
  <si>
    <t>P:</t>
  </si>
  <si>
    <t>Stat points progression per level increase :</t>
  </si>
  <si>
    <t>狩猎匕首</t>
  </si>
  <si>
    <t>Type</t>
  </si>
  <si>
    <t>Tier 1</t>
  </si>
  <si>
    <t>Tier 2</t>
  </si>
  <si>
    <t>Tier 4</t>
  </si>
  <si>
    <t>Tier 5</t>
  </si>
  <si>
    <t>小型消防斧</t>
  </si>
  <si>
    <t>碎击锤</t>
  </si>
  <si>
    <t>改进型霰弹枪</t>
  </si>
  <si>
    <t>B:</t>
  </si>
  <si>
    <t>Wrench (legendary only?)</t>
  </si>
  <si>
    <t>Base points level 1</t>
  </si>
  <si>
    <t>精密激光手枪</t>
  </si>
  <si>
    <t>rare</t>
  </si>
  <si>
    <t>锋利弯刀</t>
  </si>
  <si>
    <t>legendary</t>
  </si>
  <si>
    <t>尖刺棍棒</t>
  </si>
  <si>
    <t>((L-1)*P)+B=S</t>
  </si>
  <si>
    <t>L = Item Level</t>
  </si>
  <si>
    <t>Down = Column</t>
  </si>
  <si>
    <t>P = Progression Per Level</t>
  </si>
  <si>
    <t>Side = Row</t>
  </si>
  <si>
    <t>S = Resulting Stat</t>
  </si>
  <si>
    <t>B = Base Points for Item Type &amp; Rarity</t>
  </si>
  <si>
    <t>Sheet is locked only to avoid accidentally modifying a formula :)    no password is set</t>
  </si>
  <si>
    <t>Pistol (with Scope)</t>
  </si>
  <si>
    <t>情爱之弓</t>
  </si>
  <si>
    <t>W+A</t>
  </si>
  <si>
    <t>爆破枪</t>
  </si>
  <si>
    <t>W+I</t>
  </si>
  <si>
    <t>Unlocked cell</t>
  </si>
  <si>
    <t>"common"</t>
  </si>
  <si>
    <t>"Rare"</t>
  </si>
  <si>
    <t>NEW CALC Formulas:</t>
  </si>
  <si>
    <t>"Unobtainium" (aka are event/reward/mission/purchase locked)</t>
  </si>
  <si>
    <t>data Transposing:</t>
  </si>
  <si>
    <t>Yellow Name</t>
  </si>
  <si>
    <t>'=VLOOKUP(Weapon_Calc_Name_List,Weapon_Calc_Base_Stat_List,2)</t>
  </si>
  <si>
    <t xml:space="preserve">Sort "Formula"= </t>
  </si>
  <si>
    <t>Cell Color</t>
  </si>
  <si>
    <t>On Top</t>
  </si>
  <si>
    <t>Progress Number:</t>
  </si>
  <si>
    <t>'=IF(Weapon_Calc_Tier_W=1, 1,IF(Weapon_Calc_Tier_W=2, 1.5,IF(Weapon_Calc_Tier_W=3, 2,IF(Weapon_Calc_Tier_W=4, 2.5,IF(Weapon_Calc_Tier_W=5, 3, "error6")))))</t>
  </si>
  <si>
    <t>Orange</t>
  </si>
  <si>
    <t>'=IF(Weapon_Calc_Tier_A=1, 1,IF(Weapon_Calc_Tier_A=2, 1.5,IF(Weapon_Calc_Tier_A=3, 2,IF(Weapon_Calc_Tier_A=4, 2.5,IF(Weapon_Calc_Tier_A=5, 3, "error6")))))</t>
  </si>
  <si>
    <t>'=IF(Weapon_Calc_Tier_I=1, 1,IF(Weapon_Calc_Tier_I=2, 1.5,IF(Weapon_Calc_Tier_I=3, 2,IF(Weapon_Calc_Tier_I=4, 2.5,IF(Weapon_Calc_Tier_I=5, 3, "error6")))))</t>
  </si>
  <si>
    <t>Values</t>
  </si>
  <si>
    <t>Smallest to Largest</t>
  </si>
  <si>
    <t>'=IF(Weapon_Calc_Tier_F=1, 1,IF(Weapon_Calc_Tier_F=2, 1.5,IF(Weapon_Calc_Tier_F=3, 2,IF(Weapon_Calc_Tier_F=4, 2.5,IF(Weapon_Calc_Tier_F=5, 3, "error6")))))</t>
  </si>
  <si>
    <t>'=IF(Weapon_Calc_Tier_U=1, 1,IF(Weapon_Calc_Tier_U=2, 1.5,IF(Weapon_Calc_Tier_U=3, 2,IF(Weapon_Calc_Tier_U=4, 2.5,IF(Weapon_Calc_Tier_U=5, 3, "error6")))))</t>
  </si>
  <si>
    <t>Yes = Owned</t>
  </si>
  <si>
    <t>Base Stats:</t>
  </si>
  <si>
    <t>Meh = Common Drop (often Dissassembled)</t>
  </si>
  <si>
    <t>'=IF(Weapon_Calc_Rarity="common", (IF(Weapon_Calc_Tier_W=1, 7,IF(Weapon_Calc_Tier_W=2, 8,IF(Weapon_Calc_Tier_W=3, 11,IF(Weapon_Calc_Tier_W=4, 12,IF(Weapon_Calc_Tier_W=5, 14)))))), IF(Weapon_Calc_Rarity="rare", (IF(Weapon_Calc_Tier_W=1, 8,IF(Weapon_Calc_Tier_W=2, 11,IF(Weapon_Calc_Tier_W=3, 14,IF(Weapon_Calc_Tier_W=4, 17,IF(Weapon_Calc_Tier_W=5, 21)))))), IF(Weapon_Calc_Rarity="epic", (IF(Weapon_Calc_Tier_W=1, 12,IF(Weapon_Calc_Tier_W=2, 16,IF(Weapon_Calc_Tier_W=3, 20,IF(Weapon_Calc_Tier_W=4, 24,IF(Weapon_Calc_Tier_W=5, 28)))))), IF(Weapon_Calc_Rarity="legendary", (IF(Weapon_Calc_Tier_W=1, 17,IF(Weapon_Calc_Tier_W=2, 22,IF(Weapon_Calc_Tier_W=3, 27,IF(Weapon_Calc_Tier_W=4, 32,IF(Weapon_Calc_Tier_W=5, 38)))))), Error))))</t>
  </si>
  <si>
    <t>No = Not Owned at all</t>
  </si>
  <si>
    <t>'=IF(Weapon_Calc_Rarity="common", (IF(Weapon_Calc_Tier_A=1, 7,IF(Weapon_Calc_Tier_A=2, 8,IF(Weapon_Calc_Tier_A=3, 11,IF(Weapon_Calc_Tier_A=4, 12,IF(Weapon_Calc_Tier_A=5, 14)))))), IF(Weapon_Calc_Rarity="rare", (IF(Weapon_Calc_Tier_A=1, 8,IF(Weapon_Calc_Tier_A=2, 11,IF(Weapon_Calc_Tier_A=3, 14,IF(Weapon_Calc_Tier_A=4, 17,IF(Weapon_Calc_Tier_A=5, 21)))))), IF(Weapon_Calc_Rarity="epic", (IF(Weapon_Calc_Tier_A=1, 12,IF(Weapon_Calc_Tier_A=2, 16,IF(Weapon_Calc_Tier_A=3, 20,IF(Weapon_Calc_Tier_A=4, 24,IF(Weapon_Calc_Tier_A=5, 28)))))), IF(Weapon_Calc_Rarity="legendary", (IF(Weapon_Calc_Tier_A=1, 17,IF(Weapon_Calc_Tier_A=2, 22,IF(Weapon_Calc_Tier_A=3, 27,IF(Weapon_Calc_Tier_A=4, 32,IF(Weapon_Calc_Tier_A=5, 38)))))), Error))))</t>
  </si>
  <si>
    <t>'=IF(Weapon_Calc_Rarity="common", (IF(Weapon_Calc_Tier_I=1, 7,IF(Weapon_Calc_Tier_I=2, 8,IF(Weapon_Calc_Tier_I=3, 11,IF(Weapon_Calc_Tier_I=4, 12,IF(Weapon_Calc_Tier_I=5, 14)))))), IF(Weapon_Calc_Rarity="rare", (IF(Weapon_Calc_Tier_I=1, 8,IF(Weapon_Calc_Tier_I=2, 11,IF(Weapon_Calc_Tier_I=3, 14,IF(Weapon_Calc_Tier_I=4, 17,IF(Weapon_Calc_Tier_I=5, 21)))))), IF(Weapon_Calc_Rarity="epic", (IF(Weapon_Calc_Tier_I=1, 12,IF(Weapon_Calc_Tier_I=2, 16,IF(Weapon_Calc_Tier_I=3, 20,IF(Weapon_Calc_Tier_I=4, 24,IF(Weapon_Calc_Tier_I=5, 28)))))), IF(Weapon_Calc_Rarity="legendary", (IF(Weapon_Calc_Tier_I=1, 17,IF(Weapon_Calc_Tier_I=2, 22,IF(Weapon_Calc_Tier_I=3, 27,IF(Weapon_Calc_Tier_I=4, 32,IF(Weapon_Calc_Tier_I=5, 38)))))), Error))))</t>
  </si>
  <si>
    <t>“普通”</t>
  </si>
  <si>
    <t>'=IF(Weapon_Calc_Rarity="common", (IF(Weapon_Calc_Tier_F=1, 7,IF(Weapon_Calc_Tier_F=2, 8,IF(Weapon_Calc_Tier_F=3, 11,IF(Weapon_Calc_Tier_F=4, 12,IF(Weapon_Calc_Tier_F=5, 14)))))), IF(Weapon_Calc_Rarity="rare", (IF(Weapon_Calc_Tier_F=1, 8,IF(Weapon_Calc_Tier_F=2, 11,IF(Weapon_Calc_Tier_F=3, 14,IF(Weapon_Calc_Tier_F=4, 17,IF(Weapon_Calc_Tier_F=5, 21)))))), IF(Weapon_Calc_Rarity="epic", (IF(Weapon_Calc_Tier_F=1, 12,IF(Weapon_Calc_Tier_F=2, 16,IF(Weapon_Calc_Tier_F=3, 20,IF(Weapon_Calc_Tier_F=4, 24,IF(Weapon_Calc_Tier_F=5, 28)))))), IF(Weapon_Calc_Rarity="legendary", (IF(Weapon_Calc_Tier_F=1, 17,IF(Weapon_Calc_Tier_F=2, 22,IF(Weapon_Calc_Tier_F=3, 27,IF(Weapon_Calc_Tier_F=4, 32,IF(Weapon_Calc_Tier_F=5, 38)))))), Error))))</t>
  </si>
  <si>
    <t>“稀有”</t>
  </si>
  <si>
    <t>'=IF(Weapon_Calc_Rarity="common", (IF(Weapon_Calc_Tier_U=1, 7,IF(Weapon_Calc_Tier_U=2, 8,IF(Weapon_Calc_Tier_U=3, 11,IF(Weapon_Calc_Tier_U=4, 12,IF(Weapon_Calc_Tier_U=5, 14)))))), IF(Weapon_Calc_Rarity="rare", (IF(Weapon_Calc_Tier_U=1, 8,IF(Weapon_Calc_Tier_U=2, 11,IF(Weapon_Calc_Tier_U=3, 14,IF(Weapon_Calc_Tier_U=4, 17,IF(Weapon_Calc_Tier_U=5, 21)))))), IF(Weapon_Calc_Rarity="epic", (IF(Weapon_Calc_Tier_U=1, 12,IF(Weapon_Calc_Tier_U=2, 16,IF(Weapon_Calc_Tier_U=3, 20,IF(Weapon_Calc_Tier_U=4, 24,IF(Weapon_Calc_Tier_U=5, 28)))))), IF(Weapon_Calc_Rarity="legendary", (IF(Weapon_Calc_Tier_U=1, 17,IF(Weapon_Calc_Tier_U=2, 22,IF(Weapon_Calc_Tier_U=3, 27,IF(Weapon_Calc_Tier_U=4, 32,IF(Weapon_Calc_Tier_U=5, 38)))))), Error))))</t>
  </si>
  <si>
    <t>“无法获取的材料”（也就是说，事件/奖励/任务/购买锁定）</t>
  </si>
  <si>
    <t>黄色名字</t>
  </si>
  <si>
    <t>Final Calculations:</t>
  </si>
  <si>
    <t>是 = 拥有</t>
  </si>
  <si>
    <t>'=Weapon_Calc_Base_Stat_W+((Weapon_Calc_Level-1)*Weapon_Calc_Progress_Num_W)</t>
  </si>
  <si>
    <t>常见掉落（通常为拆解）</t>
  </si>
  <si>
    <t>'=Weapon_Calc_Base_Stat_A+((Weapon_Calc_Level-1)*Weapon_Calc_Progress_Num_A)</t>
  </si>
  <si>
    <t>不拥有</t>
  </si>
  <si>
    <t>'=Weapon_Calc_Base_Stat_I+((Weapon_Calc_Level-1)*Weapon_Calc_Progress_Num_I)</t>
  </si>
  <si>
    <t>'=Weapon_Calc_Base_Stat_F+((Weapon_Calc_Level-1)*Weapon_Calc_Progress_Num_F)</t>
  </si>
  <si>
    <t>'=Weapon_Calc_Base_Stat_U+((Weapon_Calc_Level-1)*Weapon_Calc_Progress_Num_U)</t>
  </si>
  <si>
    <t>New Calc Hard Variables:</t>
  </si>
  <si>
    <t>Weapon_Calc_Tier_W</t>
  </si>
  <si>
    <t>Weapon_Calc_Tier_A</t>
  </si>
  <si>
    <t>Weapon_Calc_Tier_I</t>
  </si>
  <si>
    <t>Weapon_Calc_Tier_F</t>
  </si>
  <si>
    <t>Weapon_Calc_Tier_U</t>
  </si>
  <si>
    <t>Weapon_Calc_Progress_Num_W</t>
  </si>
  <si>
    <t>Weapon_Calc_Progress_Num_A</t>
  </si>
  <si>
    <t>Weapon_Calc_Progress_Num_I</t>
  </si>
  <si>
    <t>Weapon_Calc_Progress_Num_F</t>
  </si>
  <si>
    <t>Weapon_Calc_Progress_Num_U</t>
  </si>
  <si>
    <t>Weapon_Calc_Base_Stat_W</t>
  </si>
  <si>
    <t>Weapon_Calc_Base_Stat_A</t>
  </si>
  <si>
    <t>Weapon_Calc_Base_Stat_I</t>
  </si>
  <si>
    <t>Weapon_Calc_Base_Stat_F</t>
  </si>
  <si>
    <t>Weapon_Calc_Base_Stat_U</t>
  </si>
  <si>
    <t>Weapon_Calc_Rarity</t>
  </si>
  <si>
    <t>Weapon_Calc_Level</t>
  </si>
  <si>
    <t>Weapon_Calc_Name</t>
  </si>
  <si>
    <t>Old Calc:</t>
  </si>
  <si>
    <t>Old Calc Prog Number:</t>
  </si>
  <si>
    <t>=IF(Weapon_Tier="Tier1, 1,IF(Weapon_Tier="Tier 2", 1.5,IF(Weapon_Tier="Tier 3", 2,IF(Weapon_Tier="Tier 4", 2.5,IF(Weapon_Tier="Tier 5", 3, "error6")))))</t>
  </si>
  <si>
    <t>Old Calc Base Stats:</t>
  </si>
  <si>
    <t>=IF(Weapon_Rarity="common", (IF(Weapon_Tier="Tier 1", 7,IF(Weapon_Tier="Tier 2", 8,IF(Weapon_Tier="Tier 3", 11,IF(Weapon_Tier="Tier 4", 12,IF(Weapon_Tier="Tier 5", 14)))))), IF(Weapon_Rarity="rare", (IF(Weapon_Tier="Tier 1", 8,IF(Weapon_Tier="Tier 2", 11,IF(Weapon_Tier="Tier 3", 14,IF(Weapon_Tier="Tier 4", 17,IF(Weapon_Tier="Tier 5", 21)))))), IF(Weapon_Rarity="epic", (IF(Weapon_Tier="Tier 1", 12,IF(Weapon_Tier="Tier 2", 16,IF(Weapon_Tier="Tier 3", 20,IF(Weapon_Tier="Tier 4", 24,IF(Weapon_Tier="Tier 5", 28)))))), IF(Weapon_Rarity="legendary", (IF(Weapon_Tier="Tier 1", 17,IF(Weapon_Tier="Tier 2", 22,IF(Weapon_Tier="Tier 3", 27,IF(Weapon_Tier="Tier 4", 32,IF(Weapon_Tier="Tier 5", 38)))))), Error))))</t>
  </si>
  <si>
    <t>Old Calc Final Calculation:</t>
  </si>
  <si>
    <t>=Base_Stat_W+((Item_Level_W-1)*Prog_Number_W)</t>
  </si>
  <si>
    <t>类型</t>
  </si>
  <si>
    <t>相等</t>
  </si>
  <si>
    <t>中文</t>
  </si>
  <si>
    <t>休闲西装</t>
  </si>
  <si>
    <t>CB-69的盔甲</t>
  </si>
  <si>
    <t>切尔西的紧身衣</t>
  </si>
  <si>
    <t>经典色彩</t>
  </si>
  <si>
    <t>Cloe的套装</t>
  </si>
  <si>
    <t>宇宙服装</t>
  </si>
  <si>
    <t>可爱裙子</t>
  </si>
  <si>
    <t>统治</t>
  </si>
  <si>
    <t>裙装改为地毯</t>
  </si>
  <si>
    <t>无畏战士套装</t>
  </si>
  <si>
    <t>战地医疗服</t>
  </si>
  <si>
    <t>狐狸的套装</t>
  </si>
  <si>
    <t>冰冻的服装</t>
  </si>
  <si>
    <t>Guinevere's Cool</t>
  </si>
  <si>
    <t>桂妮薇尔的酷炫</t>
  </si>
  <si>
    <t>痛苦的先驱者</t>
  </si>
  <si>
    <t>Harriet's Chaps</t>
  </si>
  <si>
    <t>哈丽特的裤子</t>
  </si>
  <si>
    <t>入侵者套装</t>
  </si>
  <si>
    <t>嫉妒的使者</t>
  </si>
  <si>
    <t>杀手裙</t>
  </si>
  <si>
    <t>金的泳衣</t>
  </si>
  <si>
    <t>领导者套装</t>
  </si>
  <si>
    <t>丽莎的奇蒂娜</t>
  </si>
  <si>
    <t>桃花的套装</t>
  </si>
  <si>
    <t>璀璨套装</t>
  </si>
  <si>
    <t>后启时代服装</t>
  </si>
  <si>
    <t>调情制服</t>
  </si>
  <si>
    <t>姐妹会裙</t>
  </si>
  <si>
    <t>任务套装</t>
  </si>
  <si>
    <t>西比尔的叛乱</t>
  </si>
  <si>
    <t>未知者的恩惠</t>
  </si>
  <si>
    <t>线圈泳衣</t>
  </si>
  <si>
    <t>XX的制服</t>
  </si>
  <si>
    <t>军装上装</t>
  </si>
  <si>
    <t>军队的底部</t>
  </si>
  <si>
    <t>威尼斯之巅</t>
  </si>
  <si>
    <t>盖亚底部</t>
  </si>
  <si>
    <t>阿什利的上衣</t>
  </si>
  <si>
    <t>莉扎之翼</t>
  </si>
  <si>
    <t>火焰护腿</t>
  </si>
  <si>
    <t>机械师半身裙</t>
  </si>
  <si>
    <t>桃香的臀部</t>
  </si>
  <si>
    <t>维内扎的下装</t>
  </si>
  <si>
    <t>敞口</t>
  </si>
  <si>
    <t>宽裤脚</t>
  </si>
  <si>
    <t>野蛮人上装</t>
  </si>
  <si>
    <t>野蛮人短裙</t>
  </si>
  <si>
    <t>切尔西的恩惠</t>
  </si>
  <si>
    <t>Baseball Star Bra</t>
  </si>
  <si>
    <t>棒球明星胸罩</t>
  </si>
  <si>
    <t>Baseball Star Panties</t>
  </si>
  <si>
    <t>棒球明星内裤</t>
  </si>
  <si>
    <t>老婆专属（上衣）</t>
  </si>
  <si>
    <t>老婆专属（下装）</t>
  </si>
  <si>
    <t>霓虹灯（上衣）</t>
  </si>
  <si>
    <t>霓虹灯（下装）</t>
  </si>
  <si>
    <t>带来痛苦的人（顶部）</t>
  </si>
  <si>
    <t>痛苦制造者（底部）</t>
  </si>
  <si>
    <t>公路战士（上装）</t>
  </si>
  <si>
    <t>公路战士（下装）</t>
  </si>
  <si>
    <t>珍珠的贝壳</t>
  </si>
  <si>
    <t>珍珠的宝库</t>
  </si>
  <si>
    <t>列2</t>
  </si>
  <si>
    <t>Combo #</t>
  </si>
  <si>
    <t>Main</t>
  </si>
  <si>
    <t>2nd</t>
  </si>
  <si>
    <t>Role</t>
  </si>
  <si>
    <t>Slot</t>
  </si>
  <si>
    <t>列6</t>
  </si>
  <si>
    <t>列122</t>
  </si>
  <si>
    <t>列13</t>
  </si>
  <si>
    <t>军装下装</t>
  </si>
  <si>
    <t>W1</t>
  </si>
  <si>
    <t>军队上装</t>
  </si>
  <si>
    <t>Combat</t>
  </si>
  <si>
    <t>Dresses</t>
  </si>
  <si>
    <t>Adah的角色扮演</t>
  </si>
  <si>
    <t>A F</t>
  </si>
  <si>
    <t>军用底部</t>
  </si>
  <si>
    <t>阿德莱德的舒适</t>
  </si>
  <si>
    <t>陆军上衣</t>
  </si>
  <si>
    <t>i</t>
  </si>
  <si>
    <t>阿什莉的上衣</t>
  </si>
  <si>
    <t>A2</t>
  </si>
  <si>
    <t>维也纳顶</t>
  </si>
  <si>
    <t>秋季系列</t>
  </si>
  <si>
    <t>野蛮人顶部</t>
  </si>
  <si>
    <t>绑腿裤</t>
  </si>
  <si>
    <t>盖亚的底部</t>
  </si>
  <si>
    <t>商务装</t>
  </si>
  <si>
    <t>休闲裙子</t>
  </si>
  <si>
    <t>黑红胸罩</t>
  </si>
  <si>
    <t>A3</t>
  </si>
  <si>
    <t>深裁裙</t>
  </si>
  <si>
    <t>切尔西的恩宠</t>
  </si>
  <si>
    <t>溶解布料</t>
  </si>
  <si>
    <t>艾米丽的下属</t>
  </si>
  <si>
    <t>迪普卡特顶部</t>
  </si>
  <si>
    <t>探险家半身裙</t>
  </si>
  <si>
    <t>Tops</t>
  </si>
  <si>
    <t>火焰紧身裤</t>
  </si>
  <si>
    <t>I4</t>
  </si>
  <si>
    <t>正式半身裙</t>
  </si>
  <si>
    <t>机械师的裙子</t>
  </si>
  <si>
    <t>W I</t>
  </si>
  <si>
    <t>探险家上衣</t>
  </si>
  <si>
    <t>流苏裤</t>
  </si>
  <si>
    <t>桃香的底部</t>
  </si>
  <si>
    <t>火焰上衣</t>
  </si>
  <si>
    <t>FU5</t>
  </si>
  <si>
    <t>F U</t>
  </si>
  <si>
    <t>Room</t>
  </si>
  <si>
    <t>全罩文胸</t>
  </si>
  <si>
    <t>枪手裤</t>
  </si>
  <si>
    <t>维尼斯的底部</t>
  </si>
  <si>
    <t>盖亚顶部</t>
  </si>
  <si>
    <t>艾尔玛底部</t>
  </si>
  <si>
    <t>I F</t>
  </si>
  <si>
    <t>高尔夫</t>
  </si>
  <si>
    <t>WA6</t>
  </si>
  <si>
    <t>开放式上衣</t>
  </si>
  <si>
    <t>W A</t>
  </si>
  <si>
    <t>a</t>
  </si>
  <si>
    <t>宽底部</t>
  </si>
  <si>
    <t>厄玛的上装</t>
  </si>
  <si>
    <t>Bottoms</t>
  </si>
  <si>
    <t>AF7</t>
  </si>
  <si>
    <t>野蛮人之巅</t>
  </si>
  <si>
    <t>联盟上衣（文胸）</t>
  </si>
  <si>
    <t>迷你线</t>
  </si>
  <si>
    <t>野蛮人裙子</t>
  </si>
  <si>
    <t>联盟顶部（背心）</t>
  </si>
  <si>
    <t>莉萨的腹部</t>
  </si>
  <si>
    <t>机械师裙子</t>
  </si>
  <si>
    <t>AF8</t>
  </si>
  <si>
    <t>W F</t>
  </si>
  <si>
    <t>莉莎的翅膀</t>
  </si>
  <si>
    <t>佣兵裤</t>
  </si>
  <si>
    <t>技工上衣</t>
  </si>
  <si>
    <t>霓虹灯（底部）</t>
  </si>
  <si>
    <t>AF9</t>
  </si>
  <si>
    <t>Momoka's Top?</t>
  </si>
  <si>
    <t>桃香的顶部？</t>
  </si>
  <si>
    <t>送面包者（底部）</t>
  </si>
  <si>
    <t>颈带式胸罩</t>
  </si>
  <si>
    <t>珍珠宝库</t>
  </si>
  <si>
    <t>潜入者套装</t>
  </si>
  <si>
    <t>霓虹灯（顶部）</t>
  </si>
  <si>
    <t>I14</t>
  </si>
  <si>
    <t>Combined Stats vs Dress</t>
  </si>
  <si>
    <t>Top + Bot</t>
  </si>
  <si>
    <t>W- F-</t>
  </si>
  <si>
    <t>敞口式</t>
  </si>
  <si>
    <t>后启示录短裤</t>
  </si>
  <si>
    <t>痛苦使者（上衣）</t>
  </si>
  <si>
    <t>FU11</t>
  </si>
  <si>
    <t>棒球明星文胸</t>
  </si>
  <si>
    <t>祈雨舞</t>
  </si>
  <si>
    <t>可能的顶部</t>
  </si>
  <si>
    <t>公路战士（底部）</t>
  </si>
  <si>
    <t>减两件套</t>
  </si>
  <si>
    <t>老婆的特别款（上衣）</t>
  </si>
  <si>
    <t>average jane</t>
  </si>
  <si>
    <t>Waifu的特别版（底部）</t>
  </si>
  <si>
    <t>公路勇士（顶部）</t>
  </si>
  <si>
    <t>海洋主题裙装</t>
  </si>
  <si>
    <t>罗马风上衣</t>
  </si>
  <si>
    <t>短裤</t>
  </si>
  <si>
    <t>W U</t>
  </si>
  <si>
    <t>XX的祷告</t>
  </si>
  <si>
    <t>运动内衣</t>
  </si>
  <si>
    <t>简约短裤</t>
  </si>
  <si>
    <t>套装比较减上面</t>
  </si>
  <si>
    <t>痛苦的带来者（上衣）</t>
  </si>
  <si>
    <t>微妙的顶部</t>
  </si>
  <si>
    <t>维尼萨的底部</t>
  </si>
  <si>
    <t>痛苦的带来者（底部）</t>
  </si>
  <si>
    <t>克洛伊套装</t>
  </si>
  <si>
    <t>诗人</t>
  </si>
  <si>
    <t>卫衣</t>
  </si>
  <si>
    <t>女仆的特别款（下装）</t>
  </si>
  <si>
    <t>维内扎的上装</t>
  </si>
  <si>
    <t>宽版下装</t>
  </si>
  <si>
    <t>道路战士（上衣）</t>
  </si>
  <si>
    <t>AF</t>
  </si>
  <si>
    <t>两件套比较减上面</t>
  </si>
  <si>
    <t>女仆的特别款（上衣）</t>
  </si>
  <si>
    <t>公路战士（下衣）</t>
  </si>
  <si>
    <t>霓虹上I11544</t>
  </si>
  <si>
    <t>珍珠壳</t>
  </si>
  <si>
    <t>FU</t>
  </si>
  <si>
    <t>霓虹下I11544</t>
  </si>
  <si>
    <t>Merc top = good test for calc</t>
  </si>
  <si>
    <t>Liza = good test for calc</t>
  </si>
  <si>
    <t>陆军上装</t>
  </si>
  <si>
    <t>丽莎 = 良好的测试用于计算</t>
  </si>
  <si>
    <t>陆军下装</t>
  </si>
  <si>
    <t>Ix neon set to legend</t>
  </si>
  <si>
    <t>1x army set to legend</t>
  </si>
  <si>
    <t>Ix neon 设置为图例</t>
  </si>
  <si>
    <t>1x 军队设置为图例</t>
  </si>
  <si>
    <t>2x reznors</t>
  </si>
  <si>
    <t>1x army set</t>
  </si>
  <si>
    <t>3x flammthrowers</t>
  </si>
  <si>
    <t>2x Neon Light Sets</t>
  </si>
  <si>
    <t>1x Leaders</t>
  </si>
  <si>
    <t>or black red Bra and Neon Pants</t>
  </si>
  <si>
    <t>吟游诗篇</t>
  </si>
  <si>
    <t>2个瑞兹诺尔</t>
  </si>
  <si>
    <t>1套军队装备</t>
  </si>
  <si>
    <t>3个火焰喷射器</t>
  </si>
  <si>
    <t>2个霓虹灯套装</t>
  </si>
  <si>
    <t>1个领导者</t>
  </si>
  <si>
    <t>或黑色红色文胸和霓虹裤</t>
  </si>
  <si>
    <t>I1</t>
  </si>
  <si>
    <t>I2</t>
  </si>
  <si>
    <t>AI1</t>
  </si>
  <si>
    <t>Champ</t>
  </si>
  <si>
    <t>班卡的泡泡</t>
  </si>
  <si>
    <t>冰雪奇缘的服饰</t>
  </si>
  <si>
    <t>阿达的Cosplay</t>
  </si>
  <si>
    <t>秋季套装</t>
  </si>
  <si>
    <t>盖亚套装</t>
  </si>
  <si>
    <t>莉莎的奇蒂纳</t>
  </si>
  <si>
    <t>安德莉亚的秘密</t>
  </si>
  <si>
    <t>休闲装</t>
  </si>
  <si>
    <t>狐妖套装</t>
  </si>
  <si>
    <t>嫉妒之源</t>
  </si>
  <si>
    <t>后启示录套装</t>
  </si>
  <si>
    <t>优雅配色</t>
  </si>
  <si>
    <t>No</t>
  </si>
  <si>
    <t>地毯穿搭</t>
  </si>
  <si>
    <t>无畏勇士套装</t>
  </si>
  <si>
    <t>变彩套装</t>
  </si>
  <si>
    <t>套装任务</t>
  </si>
  <si>
    <t>未知者的恩宠</t>
  </si>
  <si>
    <t>阿德莱德的慰藉</t>
  </si>
  <si>
    <t>疯狂套装</t>
  </si>
  <si>
    <t>野战医疗服</t>
  </si>
  <si>
    <t>桂妮薇尔的冷静</t>
  </si>
  <si>
    <t>哈丽特的裤装</t>
  </si>
  <si>
    <t>Base_Stat_CD+((Item_Level_CD-1)*Prog_Number_CD)</t>
  </si>
  <si>
    <t>茉莉之夜</t>
  </si>
  <si>
    <t>杀手裙装</t>
  </si>
  <si>
    <t>自拍短信制服</t>
  </si>
  <si>
    <t>斯考尔的诗篇</t>
  </si>
  <si>
    <t>钢圈泳衣</t>
  </si>
  <si>
    <t>XX的索尔制服</t>
  </si>
  <si>
    <t>Cloth_D_Calc_Tier_W</t>
  </si>
  <si>
    <t>Cloth_D_Calc_Tier_A</t>
  </si>
  <si>
    <t>Cloth_D_Calc_Tier_I</t>
  </si>
  <si>
    <t>Cloth_D_Calc_Tier_F</t>
  </si>
  <si>
    <t>Cloth_D_Calc_Tier_U</t>
  </si>
  <si>
    <t>Cloth_D_Calc_Progress_Num_W</t>
  </si>
  <si>
    <t>Cloth_D_Calc_Progress_Num_A</t>
  </si>
  <si>
    <t>Cloth_D_Calc_Progress_Num_I</t>
  </si>
  <si>
    <t>Cloth_D_Calc_Progress_Num_F</t>
  </si>
  <si>
    <t>Cloth_D_Calc_Progress_Num_U</t>
  </si>
  <si>
    <t>Cloth_D_Calc_Base_Stat_W</t>
  </si>
  <si>
    <t>Cloth_D_Calc_Base_Stat_A</t>
  </si>
  <si>
    <t>Cloth_D_Calc_Base_Stat_I</t>
  </si>
  <si>
    <t>Cloth_D_Calc_Base_Stat_F</t>
  </si>
  <si>
    <t>Cloth_D_Calc_Base_Stat_U</t>
  </si>
  <si>
    <t>Cloth_D_Calc_Name</t>
  </si>
  <si>
    <t>Cloth_D_Calc_Rarity</t>
  </si>
  <si>
    <t>Cloth_D_Calc_Level</t>
  </si>
  <si>
    <t>'=VLOOKUP(Cloth_D_Calc_Name,Cloth_D_Base_Stat_List,2)</t>
  </si>
  <si>
    <t>Cloth_D_Calc_Name_List</t>
  </si>
  <si>
    <t>='Cloths Dresses'!$A$2:$A$51</t>
  </si>
  <si>
    <t>Cloth_D_Base_Stat_List</t>
  </si>
  <si>
    <t>='Cloths Dresses'!$A$2:$F$51</t>
  </si>
  <si>
    <t>'=IF(Cloth_D_Calc_Tier_W=1, 4,IF(Cloth_D_Calc_Tier_W=2, 5,IF(Cloth_D_Calc_Tier_W=3, 6,IF(Cloth_D_Calc_Tier_W=4, 7,IF(Cloth_D_Calc_Tier_W=5, 8, "error6")))))</t>
  </si>
  <si>
    <t>'=IF(Cloth_D_Calc_Tier_A=1, 4,IF(Cloth_D_Calc_Tier_A=2, 5,IF(Cloth_D_Calc_Tier_A=3, 6,IF(Cloth_D_Calc_Tier_A=4, 7,IF(Cloth_D_Calc_Tier_A=5, 8, "error6")))))</t>
  </si>
  <si>
    <t>'=IF(Cloth_D_Calc_Tier_I=1, 4,IF(Cloth_D_Calc_Tier_I=2, 5,IF(Cloth_D_Calc_Tier_I=3, 6,IF(Cloth_D_Calc_Tier_I=4, 7,IF(Cloth_D_Calc_Tier_I=5, 8, "error6")))))</t>
  </si>
  <si>
    <t>'=IF(Cloth_D_Calc_Tier_F=1, 4,IF(Cloth_D_Calc_Tier_F=2, 5,IF(Cloth_D_Calc_Tier_F=3, 6,IF(Cloth_D_Calc_Tier_F=4, 7,IF(Cloth_D_Calc_Tier_F=5, 8, "error6")))))</t>
  </si>
  <si>
    <t>'=IF(Cloth_D_Calc_Tier_U=1, 4,IF(Cloth_D_Calc_Tier_U=2, 5,IF(Cloth_D_Calc_Tier_U=3, 6,IF(Cloth_D_Calc_Tier_U=4, 7,IF(Cloth_D_Calc_Tier_U=5, 8, "error6")))))</t>
  </si>
  <si>
    <t>'=IF(Cloth_D_Calc_Rarity="common", (IF(Cloth_D_Calc_Tier_W=1, 15,IF(Cloth_D_Calc_Tier_W=2, 18,IF(Cloth_D_Calc_Tier_W=3, 23,IF(Cloth_D_Calc_Tier_W=4, 26,IF(Cloth_D_Calc_Tier_W=5, 30)))))), IF(Cloth_D_Calc_Rarity="rare", (IF(Cloth_D_Calc_Tier_W=1, 18,IF(Cloth_D_Calc_Tier_W=2, 24,IF(Cloth_D_Calc_Tier_W=3, 30,IF(Cloth_D_Calc_Tier_W=4, 36,IF(Cloth_D_Calc_Tier_W=5, 44)))))), IF(Cloth_D_Calc_Rarity="epic", (IF(Cloth_D_Calc_Tier_W=1, 26,IF(Cloth_D_Calc_Tier_W=2, 34,IF(Cloth_D_Calc_Tier_W=3, 42,IF(Cloth_D_Calc_Tier_W=4, 50,IF(Cloth_D_Calc_Tier_W=5, 58)))))), IF(Cloth_D_Calc_Rarity="legendary", (IF(Cloth_D_Calc_Tier_W=1, 36,IF(Cloth_D_Calc_Tier_W=2, 46,IF(Cloth_D_Calc_Tier_W=3, 56,IF(Cloth_D_Calc_Tier_W=4, 66,IF(Cloth_D_Calc_Tier_W=5, 78)))))), Error))))</t>
  </si>
  <si>
    <t>'=IF(Cloth_D_Calc_Rarity="common", (IF(Cloth_D_Calc_Tier_A=1, 15,IF(Cloth_D_Calc_Tier_A=2, 18,IF(Cloth_D_Calc_Tier_A=3, 23,IF(Cloth_D_Calc_Tier_A=4, 26,IF(Cloth_D_Calc_Tier_A=5, 30)))))), IF(Cloth_D_Calc_Rarity="rare", (IF(Cloth_D_Calc_Tier_A=1, 18,IF(Cloth_D_Calc_Tier_A=2, 24,IF(Cloth_D_Calc_Tier_A=3, 30,IF(Cloth_D_Calc_Tier_A=4, 36,IF(Cloth_D_Calc_Tier_A=5, 44)))))), IF(Cloth_D_Calc_Rarity="epic", (IF(Cloth_D_Calc_Tier_A=1, 26,IF(Cloth_D_Calc_Tier_A=2, 34,IF(Cloth_D_Calc_Tier_A=3, 42,IF(Cloth_D_Calc_Tier_A=4, 50,IF(Cloth_D_Calc_Tier_A=5, 58)))))), IF(Cloth_D_Calc_Rarity="legendary", (IF(Cloth_D_Calc_Tier_A=1, 36,IF(Cloth_D_Calc_Tier_A=2, 46,IF(Cloth_D_Calc_Tier_A=3, 56,IF(Cloth_D_Calc_Tier_A=4, 66,IF(Cloth_D_Calc_Tier_A=5, 78)))))), Error))))</t>
  </si>
  <si>
    <t>'=IF(Cloth_D_Calc_Rarity="common", (IF(Cloth_D_Calc_Tier_I=1, 15,IF(Cloth_D_Calc_Tier_I=2, 18,IF(Cloth_D_Calc_Tier_I=3, 23,IF(Cloth_D_Calc_Tier_I=4, 26,IF(Cloth_D_Calc_Tier_I=5, 30)))))), IF(Cloth_D_Calc_Rarity="rare", (IF(Cloth_D_Calc_Tier_I=1, 18,IF(Cloth_D_Calc_Tier_I=2, 24,IF(Cloth_D_Calc_Tier_I=3, 30,IF(Cloth_D_Calc_Tier_I=4, 36,IF(Cloth_D_Calc_Tier_I=5, 44)))))), IF(Cloth_D_Calc_Rarity="epic", (IF(Cloth_D_Calc_Tier_I=1, 26,IF(Cloth_D_Calc_Tier_I=2, 34,IF(Cloth_D_Calc_Tier_I=3, 42,IF(Cloth_D_Calc_Tier_I=4, 50,IF(Cloth_D_Calc_Tier_I=5, 58)))))), IF(Cloth_D_Calc_Rarity="legendary", (IF(Cloth_D_Calc_Tier_I=1, 36,IF(Cloth_D_Calc_Tier_I=2, 46,IF(Cloth_D_Calc_Tier_I=3, 56,IF(Cloth_D_Calc_Tier_I=4, 66,IF(Cloth_D_Calc_Tier_I=5, 78)))))), Error))))</t>
  </si>
  <si>
    <t>'=IF(Cloth_D_Calc_Rarity="common", (IF(Cloth_D_Calc_Tier_F=1, 15,IF(Cloth_D_Calc_Tier_F=2, 18,IF(Cloth_D_Calc_Tier_F=3, 23,IF(Cloth_D_Calc_Tier_F=4, 26,IF(Cloth_D_Calc_Tier_F=5, 30)))))), IF(Cloth_D_Calc_Rarity="rare", (IF(Cloth_D_Calc_Tier_F=1, 18,IF(Cloth_D_Calc_Tier_F=2, 24,IF(Cloth_D_Calc_Tier_F=3, 30,IF(Cloth_D_Calc_Tier_F=4, 36,IF(Cloth_D_Calc_Tier_F=5, 44)))))), IF(Cloth_D_Calc_Rarity="epic", (IF(Cloth_D_Calc_Tier_F=1, 26,IF(Cloth_D_Calc_Tier_F=2, 34,IF(Cloth_D_Calc_Tier_F=3, 42,IF(Cloth_D_Calc_Tier_F=4, 50,IF(Cloth_D_Calc_Tier_F=5, 58)))))), IF(Cloth_D_Calc_Rarity="legendary", (IF(Cloth_D_Calc_Tier_F=1, 36,IF(Cloth_D_Calc_Tier_F=2, 46,IF(Cloth_D_Calc_Tier_F=3, 56,IF(Cloth_D_Calc_Tier_F=4, 66,IF(Cloth_D_Calc_Tier_F=5, 78)))))), Error))))</t>
  </si>
  <si>
    <t>'=IF(Cloth_D_Calc_Rarity="common", (IF(Cloth_D_Calc_Tier_U=1, 15,IF(Cloth_D_Calc_Tier_U=2, 18,IF(Cloth_D_Calc_Tier_U=3, 23,IF(Cloth_D_Calc_Tier_U=4, 26,IF(Cloth_D_Calc_Tier_U=5, 30)))))), IF(Cloth_D_Calc_Rarity="rare", (IF(Cloth_D_Calc_Tier_U=1, 18,IF(Cloth_D_Calc_Tier_U=2, 24,IF(Cloth_D_Calc_Tier_U=3, 30,IF(Cloth_D_Calc_Tier_U=4, 36,IF(Cloth_D_Calc_Tier_U=5, 44)))))), IF(Cloth_D_Calc_Rarity="epic", (IF(Cloth_D_Calc_Tier_U=1, 26,IF(Cloth_D_Calc_Tier_U=2, 34,IF(Cloth_D_Calc_Tier_U=3, 42,IF(Cloth_D_Calc_Tier_U=4, 50,IF(Cloth_D_Calc_Tier_U=5, 58)))))), IF(Cloth_D_Calc_Rarity="legendary", (IF(Cloth_D_Calc_Tier_U=1, 36,IF(Cloth_D_Calc_Tier_U=2, 46,IF(Cloth_D_Calc_Tier_U=3, 56,IF(Cloth_D_Calc_Tier_U=4, 66,IF(Cloth_D_Calc_Tier_U=5, 78)))))), Error))))</t>
  </si>
  <si>
    <t>'=Cloth_D_Calc_Base_Stat_W+((Cloth_D_Calc_Level-1)*Cloth_D_Calc_Progress_Num_W)</t>
  </si>
  <si>
    <t>'=Cloth_D_Calc_Base_Stat_A+((Cloth_D_Calc_Level-1)*Cloth_D_Calc_Progress_Num_A)</t>
  </si>
  <si>
    <t>'=Cloth_D_Calc_Base_Stat_I+((Cloth_D_Calc_Level-1)*Cloth_D_Calc_Progress_Num_I)</t>
  </si>
  <si>
    <t>'=Cloth_D_Calc_Base_Stat_F+((Cloth_D_Calc_Level-1)*Cloth_D_Calc_Progress_Num_F)</t>
  </si>
  <si>
    <t>'=Cloth_D_Calc_Base_Stat_U+((Cloth_D_Calc_Level-1)*Cloth_D_Calc_Progress_Num_U)</t>
  </si>
  <si>
    <t>Mission #
任务 #</t>
  </si>
  <si>
    <t># Rooms
# 房间</t>
  </si>
  <si>
    <t># Combats
# 战斗</t>
  </si>
  <si>
    <t># Enemies
# 敌人</t>
  </si>
  <si>
    <t># Boxes
# 箱子</t>
  </si>
  <si>
    <t>Quick
快速</t>
  </si>
  <si>
    <t>Reward
奖励</t>
  </si>
  <si>
    <t>Reward Type
奖励类型</t>
  </si>
  <si>
    <t xml:space="preserve">评论 刷4-4、4-5、9-7、11-11 </t>
  </si>
  <si>
    <t>Shelter 69 Excel File V7
Shelter 69 Excel 文件 V7</t>
  </si>
  <si>
    <t>also fyi
另外供参考</t>
  </si>
  <si>
    <t>Yes
是的</t>
  </si>
  <si>
    <t>2026-02-05</t>
  </si>
  <si>
    <t>am using an "ancient" version of Office so some formulas could be improved
我正在使用“古老”版本的Office，因此某些公式可以改进</t>
  </si>
  <si>
    <t>By reward I mean Other than Stardard Res and Credits
我所说的奖励是指除标准奖励和积分之外的内容</t>
  </si>
  <si>
    <t>eg using =IFS to simplify the nested If statements
例如，使用=IFS来简化嵌套的If语句</t>
  </si>
  <si>
    <t>All info is as of/ is gathered arround:
所有信息均截至/收集于：</t>
  </si>
  <si>
    <t>take the reward information for 1.01 - 3.12 with a grain of salt as I only did 2 runs each to get the info
对于1.01 - 3.12的奖励信息，请持保留态度，因为我只进行了2次运行来获取这些信息</t>
  </si>
  <si>
    <t>App ID:
应用ID：</t>
  </si>
  <si>
    <t>Build ID:
构建ID：</t>
  </si>
  <si>
    <t>no rewards
无奖励</t>
  </si>
  <si>
    <t>Game Version:
游戏版本：</t>
  </si>
  <si>
    <t>V1.8.179 (2D9737DF)</t>
  </si>
  <si>
    <t>No+</t>
  </si>
  <si>
    <t>No rewards Confirmed via 3-5 Missions with 0 extra aside from base resources
无奖励，已通过3-5个任务确认，除基础资源外无额外奖励</t>
  </si>
  <si>
    <t>Gear
齿轮</t>
  </si>
  <si>
    <t>*</t>
  </si>
  <si>
    <t>Opal can be obtained here
欧泊可以在这里获得</t>
  </si>
  <si>
    <t>Items
物品</t>
  </si>
  <si>
    <t>Upgrade Material, Flirt Items
升级材料，调情物品</t>
  </si>
  <si>
    <t>Items+</t>
  </si>
  <si>
    <t>Upgrade Material, Flirt Items, Nanites, Enhancement Material, Other
升级材料，调情物品，纳米粒子，强化材料，其他</t>
  </si>
  <si>
    <t>Gear
装备</t>
  </si>
  <si>
    <t>Weapon
武器</t>
  </si>
  <si>
    <t>Cloth, Weapons, Trinkets
布甲、武器、饰品</t>
  </si>
  <si>
    <t>Trinket
饰品</t>
  </si>
  <si>
    <t>All
全部</t>
  </si>
  <si>
    <t>All types of items and gear
所有类型的物品和装备</t>
  </si>
  <si>
    <t>started Tracking Materials at 71
71处开始跟踪材料</t>
  </si>
  <si>
    <t>Mission 4.04</t>
  </si>
  <si>
    <t>3, 10, 18, 20, 25</t>
  </si>
  <si>
    <t>3,5,8,10,12,15,18,20,22,25</t>
  </si>
  <si>
    <t>Set #
组号</t>
  </si>
  <si>
    <t>R1</t>
  </si>
  <si>
    <t>R2</t>
  </si>
  <si>
    <t>R3</t>
  </si>
  <si>
    <t>R4</t>
  </si>
  <si>
    <t>R5</t>
  </si>
  <si>
    <t>R6</t>
  </si>
  <si>
    <t>R7</t>
  </si>
  <si>
    <t>R8</t>
  </si>
  <si>
    <t>R9</t>
  </si>
  <si>
    <t>R10</t>
  </si>
  <si>
    <t>Average
平均值</t>
  </si>
  <si>
    <t>Total
总计</t>
  </si>
  <si>
    <t>Legendary Opal
传说蛋白石</t>
  </si>
  <si>
    <t>Epic Amethyst (B)
史诗紫水晶 (B)</t>
  </si>
  <si>
    <t>Rare Sapphire (I)
稀有蓝宝石 (I)</t>
  </si>
  <si>
    <t>Look at Cell Color, Text Color And if Bold/Italics
查看单元格颜色、文本颜色以及是否加粗/斜体</t>
  </si>
  <si>
    <t>Required for Shelter Lvl 3?
庇护所等级3所需？</t>
  </si>
  <si>
    <t>% rate for X amount of Nanites</t>
  </si>
  <si>
    <t>#0</t>
  </si>
  <si>
    <t>% rates for X Gem</t>
  </si>
  <si>
    <t>All?
全部？</t>
  </si>
  <si>
    <t>#3</t>
  </si>
  <si>
    <t>Gem
宝石</t>
  </si>
  <si>
    <t>#</t>
  </si>
  <si>
    <t>% of all Runs</t>
  </si>
  <si>
    <t>#5</t>
  </si>
  <si>
    <t>Blue Sapphire
蓝宝石</t>
  </si>
  <si>
    <t>#15</t>
  </si>
  <si>
    <t>Epic Amethyst
史诗紫水晶</t>
  </si>
  <si>
    <t>#18</t>
  </si>
  <si>
    <t>Legendary Opal
传奇欧泊</t>
  </si>
  <si>
    <t>#20</t>
  </si>
  <si>
    <t>Average per 100 runs
100次运行的平均值</t>
  </si>
  <si>
    <t>Total Nanites after 100 runs
100次运行后的纳米机器人总量</t>
  </si>
  <si>
    <t>Required for Shelter Lvl 8?
庇护所等级8所需？</t>
  </si>
  <si>
    <t>Blue Sapphire
蓝蓝宝石</t>
  </si>
  <si>
    <t>Average per 100 runs
每100次运行的平均值</t>
  </si>
  <si>
    <t>Average per 200 runs
每200次运行的平均值</t>
  </si>
  <si>
    <t>Total Nanites after 200 runs
200次运行后的纳米机器人总量</t>
  </si>
  <si>
    <t>Low Level Nanite Farm?
低级纳米机器人农场？</t>
  </si>
  <si>
    <t>Opals?
欧泊？</t>
  </si>
  <si>
    <t>Mission 4.05</t>
  </si>
  <si>
    <t>Legendary Opal
传奇蛋白石</t>
  </si>
  <si>
    <t>Required for Shelter Lvl 13?
庇护所等级13所需？</t>
  </si>
  <si>
    <t>#10</t>
  </si>
  <si>
    <t>#2</t>
  </si>
  <si>
    <t>NA
不适用</t>
  </si>
  <si>
    <t>Yes?
是吗？</t>
  </si>
  <si>
    <t>Total Nanites after 100 runs
100次运行后的纳米机器人总数</t>
  </si>
  <si>
    <t>Mission 4.09</t>
  </si>
  <si>
    <t>Set #
设置编号</t>
  </si>
  <si>
    <t>Total
总数</t>
  </si>
  <si>
    <t>Required for Shelter Lvl 18?
庇护所18级所需？</t>
  </si>
  <si>
    <t>Yes?
是？</t>
  </si>
  <si>
    <t>#1</t>
  </si>
  <si>
    <t>NA</t>
  </si>
  <si>
    <t>Required for Shelter Lvl 23?
庇护所23级所需？</t>
  </si>
  <si>
    <t>Mission XX.XX
任务 XX.XX</t>
  </si>
  <si>
    <t>Set #
设置 #</t>
  </si>
  <si>
    <t>M</t>
  </si>
  <si>
    <t>#6</t>
  </si>
  <si>
    <t>Required for Shelter Lvl 28?
庇护所等级28所需？</t>
  </si>
  <si>
    <t>Mission 9.07</t>
  </si>
  <si>
    <t>Required for Shelter Lvl 33?
庇护所等级33所需？</t>
  </si>
  <si>
    <t>Started Tracking Opals from Run 100
从第100次运行开始追踪欧泊</t>
  </si>
  <si>
    <t>Nanite*</t>
  </si>
  <si>
    <t>Nanite Farm (credits not guaranteed)
纳米农场（不保证获得积分）</t>
  </si>
  <si>
    <t>Opals
蛋白石</t>
  </si>
  <si>
    <t>Required for Shelter Lvl 38?
庇护所等级38所需？</t>
  </si>
  <si>
    <t>Hit Top Rooms First
优先攻击顶层房间</t>
  </si>
  <si>
    <t>Started Tracking ALL Gems from Run 200
从第200次运行开始追踪所有宝石</t>
  </si>
  <si>
    <t>Hit Top room them go to "anex" anex and hit top + Required for Shelter Lvl 43?
击中顶部房间后前往"anex" anex并击中顶部 + 庇护所等级43所需的条件？</t>
  </si>
  <si>
    <t>Total Nanites after 100 runs
100次运行后的纳米总数量</t>
  </si>
  <si>
    <t>good?
好吗？</t>
  </si>
  <si>
    <t>Required for Shelter Lvl 48
庇护所等级48所需</t>
  </si>
  <si>
    <t>object blocking view
遮挡视线的物体</t>
  </si>
  <si>
    <t>Heck NO
绝对不行</t>
  </si>
  <si>
    <t>All+++</t>
  </si>
  <si>
    <t>Nanite Farm + Very Rare Equipment
Nanite农场 + 非常稀有装备</t>
  </si>
  <si>
    <t>Credits Guaranteed
保证积分</t>
  </si>
  <si>
    <t>#30</t>
  </si>
  <si>
    <t>boxes = mostly keys
箱子 = 主要是钥匙</t>
  </si>
  <si>
    <t>star too
星星也是</t>
  </si>
  <si>
    <t>Total Nanites after 100 runs
100次运行后的纳米粒子总量</t>
  </si>
  <si>
    <t>9+2</t>
  </si>
  <si>
    <t>surprise battle after a box + 1x phantom box?
箱子后遭遇突袭战 + 1x 幻影箱？</t>
  </si>
  <si>
    <t>5+1</t>
  </si>
  <si>
    <t>Required for Shelter Lvl 53
庇护所等级53所需</t>
  </si>
  <si>
    <t>10+1</t>
  </si>
  <si>
    <t>Requires PINK
需要 PINK</t>
  </si>
  <si>
    <t>#35</t>
  </si>
  <si>
    <t>early end at bottom
底部提前结束</t>
  </si>
  <si>
    <t>Required for Shelter Lvl 58
庇护所等级58所需</t>
  </si>
  <si>
    <t>#25</t>
  </si>
  <si>
    <t>Rare Sapphire (I)
稀有蓝宝石（I）</t>
  </si>
  <si>
    <t>Average per 1000 runs
每1000次运行的平均值</t>
  </si>
  <si>
    <t>Total Nanites after 1000 runs
1000次运行后的纳米机器人总数</t>
  </si>
  <si>
    <t>Blue Sapphire
蓝色蓝宝石</t>
  </si>
  <si>
    <t>Total Nanites after 100 runs
100次运行后的总纳米虫数</t>
  </si>
  <si>
    <t>Average per 2000 runs
每2000次运行的平均值</t>
  </si>
  <si>
    <t>Total Nanites after 2000 runs
2000次运行后的纳米机器人总数</t>
  </si>
  <si>
    <t>Mission 11.11</t>
  </si>
  <si>
    <t>Rare Sapphire
稀有蓝宝石</t>
  </si>
  <si>
    <t>Started tracking Gems from Run 300
从第300次运行开始追踪宝石</t>
  </si>
  <si>
    <t>Total Nanites after 100 runs
100次运行后的纳米虫总数</t>
  </si>
  <si>
    <t>% rate for X amount of Nanites (1000 Runs)
X数量纳米粒子的百分比（1000次运行）</t>
  </si>
  <si>
    <t>% rates for X Gem after 700 Runs</t>
  </si>
  <si>
    <t>count filled
填充计数</t>
  </si>
  <si>
    <t>count blank
空白计数</t>
  </si>
  <si>
    <t>Average per 100 runs
每100次运行平均值</t>
  </si>
  <si>
    <t>Average per 1000 runs
每1000次运行平均值</t>
  </si>
  <si>
    <t>Blue Sapphire
蓝宝</t>
  </si>
  <si>
    <t>Epic Amethyst
紫水晶</t>
  </si>
  <si>
    <t>Mission #
任务编号</t>
  </si>
  <si>
    <t># Rooms
房间数量</t>
  </si>
  <si>
    <t># Combats
战斗次数</t>
  </si>
  <si>
    <t># Enemies
敌人数量</t>
  </si>
  <si>
    <t>Comments
备注</t>
  </si>
  <si>
    <t>No rewards Confirmed via 3-5 Missions with 0 extra aside from base resources
无奖励，通过3-5个任务确认，除基础资源外无额外奖励</t>
  </si>
  <si>
    <t>Opal can be obtained here
这里可以获得蛋白石</t>
  </si>
  <si>
    <t>Cloth, Weapons, Trinkets
布料，武器，饰品</t>
  </si>
  <si>
    <t>Items
项目</t>
  </si>
  <si>
    <t>All types of items and gear
所有类型的项目和装备</t>
  </si>
  <si>
    <t>Mission 3.05</t>
  </si>
  <si>
    <t>Set #
套装编号</t>
  </si>
  <si>
    <t>Total Nanites after 100 runs
运行100次后的纳米机器人总数</t>
  </si>
  <si>
    <t>Set #
组 #</t>
  </si>
  <si>
    <t>12?</t>
  </si>
  <si>
    <t>10?</t>
  </si>
  <si>
    <t>13?</t>
  </si>
  <si>
    <t>Mission 9.05</t>
  </si>
  <si>
    <t>Average
平均</t>
  </si>
  <si>
    <t>Good semi consistant Money
良好的半稳定资金</t>
  </si>
  <si>
    <t>Good 15-40k resources?
资源15-40k好吗？</t>
  </si>
  <si>
    <t>Items++</t>
  </si>
  <si>
    <t>Gives Many extra Resources too (much better than the Level 11 Resource Missions)
也能提供大量额外资源（远优于11级资源任务）</t>
  </si>
  <si>
    <t>Gear+</t>
  </si>
  <si>
    <t>Guaranteed Nanites = 1 or 3 ---- 2 epic gear Each time? (2 Weapons Each Time)
保证纳米机器人 = 1 或 3 ---- 每次 2 件史诗装备？（每次 2 把武器）</t>
  </si>
  <si>
    <t>Mission 10.05</t>
  </si>
  <si>
    <t>8?
8？</t>
  </si>
  <si>
    <t>6?</t>
  </si>
  <si>
    <t>39?</t>
  </si>
  <si>
    <t>1x stone 2x metal
1x 石头 2x 金属</t>
  </si>
  <si>
    <t>3x extra resource?
3倍额外资源？</t>
  </si>
  <si>
    <t>2x extra resource?
2倍额外资源？</t>
  </si>
  <si>
    <t>2-3x extra resource?
额外资源2-3倍？</t>
  </si>
  <si>
    <t>Epic Amethyst (B)
史诗紫水晶（B）</t>
  </si>
  <si>
    <t>Mission 12.01</t>
  </si>
  <si>
    <t>Total Nanites after 200 runs
200次运行后的纳米机器人总数</t>
  </si>
  <si>
    <t>当前等级</t>
  </si>
  <si>
    <t>详细任务清单 (Detailed Task List)</t>
  </si>
  <si>
    <t>注意7金色</t>
  </si>
  <si>
    <t>55天45级</t>
  </si>
  <si>
    <t>Lv.23卡等级-3</t>
  </si>
  <si>
    <t>1. 完成主线 6-8 (Campers)</t>
  </si>
  <si>
    <t>2. 完成 20 个每日任务</t>
  </si>
  <si>
    <r>
      <rPr>
        <sz val="11"/>
        <color theme="1"/>
        <rFont val="宋体"/>
        <charset val="134"/>
        <scheme val="minor"/>
      </rPr>
      <t xml:space="preserve">3. </t>
    </r>
    <r>
      <rPr>
        <b/>
        <sz val="11"/>
        <color theme="1"/>
        <rFont val="宋体"/>
        <charset val="134"/>
        <scheme val="minor"/>
      </rPr>
      <t>训练场升至 5 级</t>
    </r>
  </si>
  <si>
    <t>4. 生存 3 次入侵</t>
  </si>
  <si>
    <t>5. [2选1]: 邀请新冠军 / 收集 50 信任</t>
  </si>
  <si>
    <t>Lv.24卡等级-3</t>
  </si>
  <si>
    <t>1. 完成 20 个每日任务</t>
  </si>
  <si>
    <t>2. [2选1]: 升级史诗装备 25 次 / 强化稀有度 5 次</t>
  </si>
  <si>
    <t>3. 5 名冠军信任达到 3 级</t>
  </si>
  <si>
    <t>4. 收集 50 个活动气泡</t>
  </si>
  <si>
    <t>5. [2选1]: 调情 10 次 / 收集 50 信任</t>
  </si>
  <si>
    <t>Lv.25-3</t>
  </si>
  <si>
    <t>1. [2选1]: 升级史诗装备 50 次 / 强化稀有度 10 次</t>
  </si>
  <si>
    <t>2. [3选2]: 10远征 / 15资源任务 / 15信任任务</t>
  </si>
  <si>
    <t>3. 转盘 25 次</t>
  </si>
  <si>
    <t>4. 完成主线 6-12 (Promontory)</t>
  </si>
  <si>
    <t>5. 完成 20 个每日任务</t>
  </si>
  <si>
    <t>Lv.26-3</t>
  </si>
  <si>
    <t>1. 强化稀有度 10 次</t>
  </si>
  <si>
    <r>
      <rPr>
        <sz val="11"/>
        <color theme="1"/>
        <rFont val="宋体"/>
        <charset val="134"/>
        <scheme val="minor"/>
      </rPr>
      <t xml:space="preserve">2. </t>
    </r>
    <r>
      <rPr>
        <b/>
        <sz val="11"/>
        <color theme="1"/>
        <rFont val="宋体"/>
        <charset val="134"/>
        <scheme val="minor"/>
      </rPr>
      <t>打开 18 个稀有或更高等级箱子</t>
    </r>
  </si>
  <si>
    <t>3. [3选2]: 20资源任务 / 消耗 50万金币 / 20每日任务</t>
  </si>
  <si>
    <r>
      <rPr>
        <sz val="11"/>
        <color theme="1"/>
        <rFont val="宋体"/>
        <charset val="134"/>
        <scheme val="minor"/>
      </rPr>
      <t xml:space="preserve">4. </t>
    </r>
    <r>
      <rPr>
        <b/>
        <sz val="11"/>
        <color theme="1"/>
        <rFont val="宋体"/>
        <charset val="134"/>
        <scheme val="minor"/>
      </rPr>
      <t>完成 10 次长途远征 (Long Expeditions)​</t>
    </r>
  </si>
  <si>
    <t>Lv.27-3</t>
  </si>
  <si>
    <t>1. 完成 20 个信任任务</t>
  </si>
  <si>
    <t>2. 收集 50 个活动气泡</t>
  </si>
  <si>
    <r>
      <rPr>
        <sz val="11"/>
        <color theme="1"/>
        <rFont val="宋体"/>
        <charset val="134"/>
        <scheme val="minor"/>
      </rPr>
      <t xml:space="preserve">4. [2选1]: 生存 5 次入侵 / </t>
    </r>
    <r>
      <rPr>
        <b/>
        <sz val="11"/>
        <color theme="1"/>
        <rFont val="宋体"/>
        <charset val="134"/>
        <scheme val="minor"/>
      </rPr>
      <t>强化 2 件武器至传说</t>
    </r>
  </si>
  <si>
    <r>
      <rPr>
        <sz val="11"/>
        <color theme="1"/>
        <rFont val="宋体"/>
        <charset val="134"/>
        <scheme val="minor"/>
      </rPr>
      <t xml:space="preserve">5. </t>
    </r>
    <r>
      <rPr>
        <b/>
        <sz val="11"/>
        <color theme="1"/>
        <rFont val="宋体"/>
        <charset val="134"/>
        <scheme val="minor"/>
      </rPr>
      <t>打开 20 个任意稀有度箱子</t>
    </r>
  </si>
  <si>
    <t>Lv.28-3</t>
  </si>
  <si>
    <r>
      <rPr>
        <sz val="11"/>
        <color theme="1"/>
        <rFont val="宋体"/>
        <charset val="134"/>
        <scheme val="minor"/>
      </rPr>
      <t xml:space="preserve">1. </t>
    </r>
    <r>
      <rPr>
        <b/>
        <sz val="11"/>
        <color theme="1"/>
        <rFont val="宋体"/>
        <charset val="134"/>
        <scheme val="minor"/>
      </rPr>
      <t>分解 25 件物品</t>
    </r>
  </si>
  <si>
    <t>2. 访问 6 个秘密地点 (Secret Locations)</t>
  </si>
  <si>
    <t>3. 主线第 7 章收集 15 颗星</t>
  </si>
  <si>
    <t>4. [4选2]: 招募新冠军 / 招募史诗工人 / 10远征 / 升级史诗装备 20 次</t>
  </si>
  <si>
    <t>Lv.29-3</t>
  </si>
  <si>
    <t>1. 收集 50 个冠军信任</t>
  </si>
  <si>
    <t>2. 完成 20 个资源任务</t>
  </si>
  <si>
    <t>3. 完成 20 个每日任务</t>
  </si>
  <si>
    <t>4. 转盘 25 次</t>
  </si>
  <si>
    <r>
      <rPr>
        <sz val="11"/>
        <color theme="1"/>
        <rFont val="宋体"/>
        <charset val="134"/>
        <scheme val="minor"/>
      </rPr>
      <t xml:space="preserve">5. </t>
    </r>
    <r>
      <rPr>
        <b/>
        <sz val="11"/>
        <color theme="1"/>
        <rFont val="宋体"/>
        <charset val="134"/>
        <scheme val="minor"/>
      </rPr>
      <t>打开 5 个史诗或更高等级箱子</t>
    </r>
  </si>
  <si>
    <t>5紫箱</t>
  </si>
  <si>
    <t>Lv.30-3</t>
  </si>
  <si>
    <r>
      <rPr>
        <sz val="11"/>
        <color theme="1"/>
        <rFont val="宋体"/>
        <charset val="134"/>
        <scheme val="minor"/>
      </rPr>
      <t xml:space="preserve">1. </t>
    </r>
    <r>
      <rPr>
        <b/>
        <sz val="11"/>
        <color theme="1"/>
        <rFont val="宋体"/>
        <charset val="134"/>
        <scheme val="minor"/>
      </rPr>
      <t>分解 5 件史诗物品</t>
    </r>
  </si>
  <si>
    <r>
      <rPr>
        <sz val="11"/>
        <color theme="1"/>
        <rFont val="宋体"/>
        <charset val="134"/>
        <scheme val="minor"/>
      </rPr>
      <t xml:space="preserve">2. </t>
    </r>
    <r>
      <rPr>
        <b/>
        <sz val="11"/>
        <color theme="1"/>
        <rFont val="宋体"/>
        <charset val="134"/>
        <scheme val="minor"/>
      </rPr>
      <t>强化饰品至传说 (Legendary)​</t>
    </r>
  </si>
  <si>
    <t>留升金色</t>
  </si>
  <si>
    <t>3. Emily 达到 15 级</t>
  </si>
  <si>
    <t>4. [3选2]: 50气泡 / 20转盘 / 16每日任务</t>
  </si>
  <si>
    <t>5. 5 名冠军达到 30 级</t>
  </si>
  <si>
    <t>Lv.34-2</t>
  </si>
  <si>
    <t>1. [3选2]: 20转盘 / 使用技能 200 次 / 16每日任务</t>
  </si>
  <si>
    <t>2. Devi 达到 20 级</t>
  </si>
  <si>
    <r>
      <rPr>
        <sz val="11"/>
        <color theme="1"/>
        <rFont val="宋体"/>
        <charset val="134"/>
        <scheme val="minor"/>
      </rPr>
      <t xml:space="preserve">3. </t>
    </r>
    <r>
      <rPr>
        <b/>
        <sz val="11"/>
        <color theme="1"/>
        <rFont val="宋体"/>
        <charset val="134"/>
        <scheme val="minor"/>
      </rPr>
      <t>收集 50 个入场券 (Entry Bands)​</t>
    </r>
  </si>
  <si>
    <t>4. 完成 15 次远征</t>
  </si>
  <si>
    <t>5. [3选2]: 强化饰品 / 上装 / 武器至传说</t>
  </si>
  <si>
    <t>Lv.35-2</t>
  </si>
  <si>
    <r>
      <rPr>
        <sz val="11"/>
        <color theme="1"/>
        <rFont val="宋体"/>
        <charset val="134"/>
        <scheme val="minor"/>
      </rPr>
      <t xml:space="preserve">1. </t>
    </r>
    <r>
      <rPr>
        <b/>
        <sz val="11"/>
        <color theme="1"/>
        <rFont val="宋体"/>
        <charset val="134"/>
        <scheme val="minor"/>
      </rPr>
      <t>强化饰品至传说</t>
    </r>
  </si>
  <si>
    <t>2. [3选2]: 50气泡 / 20转盘 / 16每日任务</t>
  </si>
  <si>
    <t>3. 分解 5 件史诗物品</t>
  </si>
  <si>
    <t>4. Maria 达到 15 级</t>
  </si>
  <si>
    <t>5. 5 名冠军达到 35 级</t>
  </si>
  <si>
    <t>Lv.36-2</t>
  </si>
  <si>
    <t>1. 收集 50 个入场券</t>
  </si>
  <si>
    <r>
      <rPr>
        <sz val="11"/>
        <color theme="1"/>
        <rFont val="宋体"/>
        <charset val="134"/>
        <scheme val="minor"/>
      </rPr>
      <t xml:space="preserve">2. </t>
    </r>
    <r>
      <rPr>
        <b/>
        <sz val="11"/>
        <color theme="1"/>
        <rFont val="宋体"/>
        <charset val="134"/>
        <scheme val="minor"/>
      </rPr>
      <t>打开 5 个史诗或更高等级箱子</t>
    </r>
  </si>
  <si>
    <r>
      <rPr>
        <sz val="11"/>
        <color theme="1"/>
        <rFont val="宋体"/>
        <charset val="134"/>
        <scheme val="minor"/>
      </rPr>
      <t xml:space="preserve">3. </t>
    </r>
    <r>
      <rPr>
        <b/>
        <sz val="11"/>
        <color theme="1"/>
        <rFont val="宋体"/>
        <charset val="134"/>
        <scheme val="minor"/>
      </rPr>
      <t>升级武器 10 次 &amp; 升级服装 10 次</t>
    </r>
  </si>
  <si>
    <t>4. [3选2]: 25信任 / 25资源 / 10远征</t>
  </si>
  <si>
    <t>5. [3选2]: 20转盘 / 10秘密地点 / 16每日任务</t>
  </si>
  <si>
    <t>Lv.37-2</t>
  </si>
  <si>
    <t>1. 收集 100 个避难所硬币 (Vault Coins)</t>
  </si>
  <si>
    <r>
      <rPr>
        <sz val="11"/>
        <color theme="1"/>
        <rFont val="宋体"/>
        <charset val="134"/>
        <scheme val="minor"/>
      </rPr>
      <t xml:space="preserve">2. </t>
    </r>
    <r>
      <rPr>
        <b/>
        <sz val="11"/>
        <color theme="1"/>
        <rFont val="宋体"/>
        <charset val="134"/>
        <scheme val="minor"/>
      </rPr>
      <t>强化武器至传说</t>
    </r>
  </si>
  <si>
    <t>3. 完成任务 "A Little Hint"</t>
  </si>
  <si>
    <t>4. 2 名冠军达到 40 级</t>
  </si>
  <si>
    <t>5. [3选2]: 20转盘 / 10秘密地点 / 300技能</t>
  </si>
  <si>
    <t>Lv.38-2</t>
  </si>
  <si>
    <r>
      <rPr>
        <sz val="11"/>
        <color theme="1"/>
        <rFont val="宋体"/>
        <charset val="134"/>
        <scheme val="minor"/>
      </rPr>
      <t xml:space="preserve">1. </t>
    </r>
    <r>
      <rPr>
        <b/>
        <sz val="11"/>
        <color theme="1"/>
        <rFont val="宋体"/>
        <charset val="134"/>
        <scheme val="minor"/>
      </rPr>
      <t>分解史诗服装 10 次</t>
    </r>
  </si>
  <si>
    <t>2. 升级饰品 10 次</t>
  </si>
  <si>
    <t>3. 访问 15 个秘密地点</t>
  </si>
  <si>
    <t>5. [3选2]: 20转盘 / 5次入侵 / 16每日任务</t>
  </si>
  <si>
    <t>Lv.39-2</t>
  </si>
  <si>
    <t>2. 完成 15 次远征</t>
  </si>
  <si>
    <t>3. Reznor 达到 20 级</t>
  </si>
  <si>
    <t>4. [3选2]: 强化饰品 / 武器 / 服装至传说</t>
  </si>
  <si>
    <t>5. [3选2]: 20转盘 / 300技能 / 16每日任务</t>
  </si>
  <si>
    <t>Lv.40-2</t>
  </si>
  <si>
    <t>1. 分解 5 件史诗物品</t>
  </si>
  <si>
    <r>
      <rPr>
        <sz val="11"/>
        <color theme="1"/>
        <rFont val="宋体"/>
        <charset val="134"/>
        <scheme val="minor"/>
      </rPr>
      <t xml:space="preserve">2. </t>
    </r>
    <r>
      <rPr>
        <b/>
        <sz val="11"/>
        <color theme="1"/>
        <rFont val="宋体"/>
        <charset val="134"/>
        <scheme val="minor"/>
      </rPr>
      <t>强化饰品至传说</t>
    </r>
  </si>
  <si>
    <t>3. Adelaide 达到 15 级</t>
  </si>
  <si>
    <t>5. 5 名冠军达到 40 级</t>
  </si>
  <si>
    <t>Lv.41-3</t>
  </si>
  <si>
    <r>
      <rPr>
        <sz val="11"/>
        <color theme="1"/>
        <rFont val="宋体"/>
        <charset val="134"/>
        <scheme val="minor"/>
      </rPr>
      <t xml:space="preserve">2. </t>
    </r>
    <r>
      <rPr>
        <b/>
        <sz val="11"/>
        <color theme="1"/>
        <rFont val="宋体"/>
        <charset val="134"/>
        <scheme val="minor"/>
      </rPr>
      <t>打开 10 个史诗或更高等级箱子</t>
    </r>
  </si>
  <si>
    <t>4. [3选3]: 15秘密地点 / 30转盘 / 20每日任务</t>
  </si>
  <si>
    <t>5. [3选2]: 30信任 / 30资源 / 15远征</t>
  </si>
  <si>
    <t>Lv.42-3</t>
  </si>
  <si>
    <t>1. 收集 100 个避难所硬币</t>
  </si>
  <si>
    <t>2. 完成任务 "Growing Stronger"</t>
  </si>
  <si>
    <r>
      <rPr>
        <sz val="11"/>
        <color theme="1"/>
        <rFont val="宋体"/>
        <charset val="134"/>
        <scheme val="minor"/>
      </rPr>
      <t xml:space="preserve">3. </t>
    </r>
    <r>
      <rPr>
        <b/>
        <sz val="11"/>
        <color theme="1"/>
        <rFont val="宋体"/>
        <charset val="134"/>
        <scheme val="minor"/>
      </rPr>
      <t>强化武器至传说</t>
    </r>
  </si>
  <si>
    <t>4. 2 名冠军达到 45 级</t>
  </si>
  <si>
    <t>5. [3选2]: 10秘密地点 / 20转盘 / 300技能</t>
  </si>
  <si>
    <t>Lv.43-3</t>
  </si>
  <si>
    <t>1. 访问 20 个秘密地点</t>
  </si>
  <si>
    <t>2. 升级饰品 15 次</t>
  </si>
  <si>
    <r>
      <rPr>
        <sz val="11"/>
        <color theme="1"/>
        <rFont val="宋体"/>
        <charset val="134"/>
        <scheme val="minor"/>
      </rPr>
      <t xml:space="preserve">3. </t>
    </r>
    <r>
      <rPr>
        <b/>
        <sz val="11"/>
        <color theme="1"/>
        <rFont val="宋体"/>
        <charset val="134"/>
        <scheme val="minor"/>
      </rPr>
      <t>分解 15 件史诗服装</t>
    </r>
  </si>
  <si>
    <t>4. [3选2]: 30信任 / 30资源 / 15远征</t>
  </si>
  <si>
    <t>5. [3选2]: 30转盘 / 5次入侵 / 20每日任务</t>
  </si>
  <si>
    <t>Lv.44-3</t>
  </si>
  <si>
    <t>1. Kriss 达到 20 级</t>
  </si>
  <si>
    <t>2. 完成 20 次远征</t>
  </si>
  <si>
    <t>3. 收集 50 个入场券</t>
  </si>
  <si>
    <r>
      <rPr>
        <sz val="11"/>
        <color theme="1"/>
        <rFont val="宋体"/>
        <charset val="134"/>
        <scheme val="minor"/>
      </rPr>
      <t xml:space="preserve">4. [3选3]: </t>
    </r>
    <r>
      <rPr>
        <b/>
        <sz val="11"/>
        <color theme="1"/>
        <rFont val="宋体"/>
        <charset val="134"/>
        <scheme val="minor"/>
      </rPr>
      <t>强化饰品、服装、武器全部至传说</t>
    </r>
  </si>
  <si>
    <t>5. [3选3]: 30转盘 / 350技能 / 20每日任务</t>
  </si>
  <si>
    <t>Lv.45-2</t>
  </si>
  <si>
    <t>3. Makeda 达到 15 级</t>
  </si>
  <si>
    <t>4. 5 名冠军达到 45 级</t>
  </si>
  <si>
    <t>5. [3选2]: 50气泡 / 20转盘 / 16每日任务</t>
  </si>
  <si>
    <t>Mission Name
任务名称</t>
  </si>
  <si>
    <t>Difficulty
难度</t>
  </si>
  <si>
    <t>战次</t>
  </si>
  <si>
    <t>人</t>
  </si>
  <si>
    <t># Boxes
箱子数量</t>
  </si>
  <si>
    <t>Short</t>
  </si>
  <si>
    <t>Medium</t>
  </si>
  <si>
    <t>Long</t>
  </si>
  <si>
    <t>Exp Level
经验等级</t>
  </si>
  <si>
    <t>Abandoned Bunker
废弃地堡</t>
  </si>
  <si>
    <t>Easy
简单</t>
  </si>
  <si>
    <t>Level 11</t>
  </si>
  <si>
    <t>Bandit Boss Hideout
匪徒首领藏身处</t>
  </si>
  <si>
    <t>Dealer's Booth
经销商展位</t>
  </si>
  <si>
    <t>Hard
困难</t>
  </si>
  <si>
    <t>Desert Arena
沙漠竞技场</t>
  </si>
  <si>
    <t>Desert Asylum
沙漠避难所</t>
  </si>
  <si>
    <t>Very Hard
非常困难</t>
  </si>
  <si>
    <t>Desert Fortress
沙漠堡垒</t>
  </si>
  <si>
    <t>Medium
中等</t>
  </si>
  <si>
    <t>Desert Lab
沙漠实验室</t>
  </si>
  <si>
    <t>Desert Oasis
沙漠绿洲</t>
  </si>
  <si>
    <t>Hard</t>
  </si>
  <si>
    <t>1-3</t>
  </si>
  <si>
    <t>meh
一般</t>
  </si>
  <si>
    <t>Deserted Radio Station
废弃的广播电台</t>
  </si>
  <si>
    <t>ok
好的</t>
  </si>
  <si>
    <t>Destroyed Asylum
被摧毁的疗养院</t>
  </si>
  <si>
    <t>Nanite + Gem (Leg)
纳米技术 + 宝石（腿部）</t>
  </si>
  <si>
    <t>Level 12</t>
  </si>
  <si>
    <t>Dildo Factory
假阳具工厂</t>
  </si>
  <si>
    <t>Experimental Facility
实验设施</t>
  </si>
  <si>
    <t>good</t>
  </si>
  <si>
    <t>Star?
星？</t>
  </si>
  <si>
    <t>Forest Prison
森林监狱</t>
  </si>
  <si>
    <t>Level 7</t>
  </si>
  <si>
    <t>Freak Show
怪胎秀</t>
  </si>
  <si>
    <t>Level 9</t>
  </si>
  <si>
    <t>Furniture Department
家具部门</t>
  </si>
  <si>
    <t>Lab Dildo
实验室假阳具</t>
  </si>
  <si>
    <t>Lab on the Peak
山顶实验室</t>
  </si>
  <si>
    <t>Lone Outpost
孤立的前哨</t>
  </si>
  <si>
    <t>Lost House
失落的房子</t>
  </si>
  <si>
    <t>Lost in the Sands
迷失在沙海中</t>
  </si>
  <si>
    <t>Medium
中号</t>
  </si>
  <si>
    <t>Gem?
宝石？</t>
  </si>
  <si>
    <t>yeah
是的</t>
  </si>
  <si>
    <t>Lunatic Asylum
精神病院</t>
  </si>
  <si>
    <t>Moonshiners' Shack
私酿酒者的棚屋</t>
  </si>
  <si>
    <t>Short
简短</t>
  </si>
  <si>
    <t>Mountain Hideout
山间藏身处</t>
  </si>
  <si>
    <t>Mutant's Den
变种人的巢穴</t>
  </si>
  <si>
    <t>Very Hard
极难</t>
  </si>
  <si>
    <t>Old Arsenal
旧军械库</t>
  </si>
  <si>
    <t>Old Clinic
旧诊所</t>
  </si>
  <si>
    <t>Old Server Facility
旧服务器设施</t>
  </si>
  <si>
    <t>meh</t>
  </si>
  <si>
    <t>Porn Factory
色情工厂</t>
  </si>
  <si>
    <t>Very Hard
非常硬</t>
  </si>
  <si>
    <t>Prepper's Shack
预备者的棚屋</t>
  </si>
  <si>
    <t>Prison Break
越狱</t>
  </si>
  <si>
    <t>Radio Tower
无线电塔</t>
  </si>
  <si>
    <t>Raided Village
被袭击的村庄</t>
  </si>
  <si>
    <t>Secret Lab
秘密实验室</t>
  </si>
  <si>
    <t>Security Outpost
安全前哨</t>
  </si>
  <si>
    <t>2?</t>
  </si>
  <si>
    <t>4?</t>
  </si>
  <si>
    <t>Sprawling Asylum
蔓延的疗养院</t>
  </si>
  <si>
    <t>Suspicious Watchtower
可疑瞭望塔</t>
  </si>
  <si>
    <t>The Old Villa
老别墅</t>
  </si>
  <si>
    <t>GOD TIER
神级</t>
  </si>
  <si>
    <t>0-2x legend item
0-2x 传奇物品</t>
  </si>
  <si>
    <t>The Studio
工作室</t>
  </si>
  <si>
    <t>Weapons Factory
武器工厂</t>
  </si>
  <si>
    <t>房间英文名</t>
  </si>
  <si>
    <t>房间中文名</t>
  </si>
  <si>
    <t>房间类型</t>
  </si>
  <si>
    <t>主要吃的属性</t>
  </si>
  <si>
    <t>需求属性</t>
  </si>
  <si>
    <t>说明(简要)</t>
  </si>
  <si>
    <t>Quarry</t>
  </si>
  <si>
    <t>采石场</t>
  </si>
  <si>
    <t>生产房 (Production Room)</t>
  </si>
  <si>
    <t>F (Fortitude)</t>
  </si>
  <si>
    <t>生产石头等建筑资源;F 高的角色在这里工作产量更高。</t>
  </si>
  <si>
    <t>Server Room</t>
  </si>
  <si>
    <t>服务器机房</t>
  </si>
  <si>
    <t>生产房</t>
  </si>
  <si>
    <t>生产训练材料等关键资源;也是很多 Guide 推荐高优先级升级的房间。</t>
  </si>
  <si>
    <t>ELDI Factory</t>
  </si>
  <si>
    <t>ELDI 工厂</t>
  </si>
  <si>
    <t>I (Intelligence)</t>
  </si>
  <si>
    <t>生产装备升级材料等;I 高的角色加速产出。</t>
  </si>
  <si>
    <t>Treasury</t>
  </si>
  <si>
    <t>生产金币等;I 高的人提升产率。</t>
  </si>
  <si>
    <t>Metal Foundry</t>
  </si>
  <si>
    <t>金属工厂</t>
  </si>
  <si>
    <t>A (Agility)</t>
  </si>
  <si>
    <t>生产金属资源;A 高的人在这里工作效率高。</t>
  </si>
  <si>
    <t>Scouting Center</t>
  </si>
  <si>
    <t>侦察中心</t>
  </si>
  <si>
    <t>生成情报/侦察相关资源;A 高提升该房效率。</t>
  </si>
  <si>
    <t>Radio Station</t>
  </si>
  <si>
    <t>广播站</t>
  </si>
  <si>
    <t>特殊房 / 半生产</t>
  </si>
  <si>
    <t>W (Willpower)</t>
  </si>
  <si>
    <t>消耗时间和资源招募新冠军、生成一些任务;W 高提升广播效率。</t>
  </si>
  <si>
    <t>Jewellery Workshop</t>
  </si>
  <si>
    <t>珠宝工作坊 / 珠宝店</t>
  </si>
  <si>
    <t>生产房 / 特殊房</t>
  </si>
  <si>
    <t>制作/处理饰品材料、提供饰品相关资源;W 高的人加速产出。</t>
  </si>
  <si>
    <t>Armory</t>
  </si>
  <si>
    <t>军械库</t>
  </si>
  <si>
    <t>制作房 (Crafting Room)</t>
  </si>
  <si>
    <t>U (Utility)</t>
  </si>
  <si>
    <t>用于武器/装备强化或制作;U 高的角色能缩短强化时间/提高效率。</t>
  </si>
  <si>
    <t>Forge</t>
  </si>
  <si>
    <t>锻造厂</t>
  </si>
  <si>
    <t>制作房</t>
  </si>
  <si>
    <t>用于装备强化、分解装备为材料;U 高提升锻造效率。</t>
  </si>
  <si>
    <t>颜色含义说明：Green: 最强属性Yellow: 中等属性Red: 最弱属性</t>
  </si>
  <si>
    <t>Shelter 69 角色属性全名单Allura: Green, Yellow, Green, Red, RedAmelia: Red, Green, Green, Yellow, YellowAndrea: Red, Yellow, Green, Red, GreenAnn: Red, Yellow, Yellow, Red, GreenAshley: Red, Green, Yellow, Red, GreenAutumn: Red, Yellow, Green, Green, YellowBanka: Red, Yellow, Yellow, Red, GreenBeatrix: Red, Yellow, Yellow, Green, GreenChelsea: Red, Yellow, Yellow, Red, YellowCloe: Red, Yellow, Green, Yellow, YellowCrazy: Red, Yellow, Yellow, Green, RedDiana: Green, Red, Yellow, Yellow, YellowDevi: Green, Red, Green, Yellow, YellowEleanor: Yellow, Red, Green, Red, GreenEmily: Green, Red, Yellow, Red, YellowFoxy: Green, Green, Green, Green, GreenFrozen: Green, Yellow, Red, Green, YellowGaia: Yellow, Green, Yellow, Green, GreenIrma: Green, Yellow, Green, Yellow, GreenJane: Yellow, Green, Green, Red, RedKarin: Green, Green, Red, Yellow, RedKiara: Green, Green, Yellow, Green, RedKim: Red, Yellow, Green, Green, GreenLady Judith: Green, Yellow, Green, Red, RedLane: Green, Yellow, Red, Yellow, YellowLiza: Yellow, Yellow, Green, Green, RedMaria: Green, Red, Yellow, Red, GreenMartha: Red, Yellow, Yellow, Green, GreenMartina: Green, Yellow, Yellow, Red, YellowMomoka: Red, Yellow, Green, Green, YellowOlivia: Green, Red, Yellow, Yellow, YellowPAIN: Yellow, Green, Red, Yellow, RedPamOne: Green, Green, Green, Green, GreenPamTwo: Green, Green, Green, Green, GreenPink: Red, Yellow, Green, Yellow, RedRhode: Green, Red, Yellow, Red, GreenSamantha: Green, Yellow, Yellow, Yellow, RedSara: Yellow, Red, Green, Green, RedSonia: Red, Green, Red, Red, RedSophie: Yellow, Red, Green, Red, RedTess: Red, Green, Red, Yellow, GreenTrixie: Green, Red, Yellow, Yellow, YellowVeneza: Yellow, Yellow, Red, Green, RedXX: Red, Green, Red, Yellow, Yellow</t>
  </si>
  <si>
    <t>Shelter 69 关卡刷取效率指南</t>
  </si>
  <si>
    <t>1. 刷“击杀敌人数量” (Kills)</t>
  </si>
  <si>
    <t>当任务要求你击杀大量敌人（如 200/250 个）时，以下关卡单位体力收益最高：</t>
  </si>
  <si>
    <t>首选推荐： Resource Raid (Chapter 4) —— 14个敌人（全游戏常规关卡最高之一）。</t>
  </si>
  <si>
    <t>初期过渡： * Chapter 1 - 关卡 7 &amp; 8：各有 12个敌人。</t>
  </si>
  <si>
    <t>Chapter 3 - 关卡 6 &amp; 11：各有 15个敌人。</t>
  </si>
  <si>
    <t>后期高效： * Chapter 7 - 关卡 12：约 17个敌人。</t>
  </si>
  <si>
    <t>The Slammer (Ch 7 资源关)：18个敌人（目前最高）。</t>
  </si>
  <si>
    <t>2. 刷“开启宝箱” (Chests)</t>
  </si>
  <si>
    <t>当任务要求“开启 X 个稀有/史诗宝箱”时：</t>
  </si>
  <si>
    <t>最高产出： Kim 的好感任务 (Trust Mission) —— 3个箱子，且流程极短。</t>
  </si>
  <si>
    <t>关卡推荐： * Chapter 1 - 关卡 8：3个箱子。</t>
  </si>
  <si>
    <t>Chapter 4 - 关卡 4：2个箱子（这个关卡金币产出也非常可观）。</t>
  </si>
  <si>
    <t>Abandoned Shacks (Ch 7 资源关)：5个箱子（后期必刷）。</t>
  </si>
  <si>
    <t>3. 刷“特定资源” (Resource Focus)</t>
  </si>
  <si>
    <t>刷金币 (Credits)： 优先打 Chapter 4 - 关卡 4，这关在玩家圈子里被称为“金币小矿山”。</t>
  </si>
  <si>
    <t>刷 eLDi (医药)： * Doing Minor Favors (Ch 2 资源关)：这关的箱子有固定概率产出 eLDi，是初期极缺药时的救命关。</t>
  </si>
  <si>
    <t>4. 刷“好感度/英雄碎片” (Trust Tokens)</t>
  </si>
  <si>
    <r>
      <rPr>
        <b/>
        <sz val="11"/>
        <color theme="1"/>
        <rFont val="宋体"/>
        <charset val="134"/>
        <scheme val="minor"/>
      </rPr>
      <t>Martha 的好感关：</t>
    </r>
    <r>
      <rPr>
        <sz val="11"/>
        <color theme="1"/>
        <rFont val="宋体"/>
        <charset val="134"/>
        <scheme val="minor"/>
      </rPr>
      <t xml:space="preserve"> 虽然是第一章的角色，但她的好感任务里有 </t>
    </r>
    <r>
      <rPr>
        <b/>
        <sz val="11"/>
        <color theme="1"/>
        <rFont val="宋体"/>
        <charset val="134"/>
        <scheme val="minor"/>
      </rPr>
      <t>12个敌人</t>
    </r>
    <r>
      <rPr>
        <sz val="11"/>
        <color theme="1"/>
        <rFont val="宋体"/>
        <charset val="134"/>
        <scheme val="minor"/>
      </rPr>
      <t>，很适合顺便刷击杀数。</t>
    </r>
  </si>
  <si>
    <r>
      <rPr>
        <b/>
        <sz val="11"/>
        <color theme="1"/>
        <rFont val="宋体"/>
        <charset val="134"/>
        <scheme val="minor"/>
      </rPr>
      <t>Veneza 的好感关：</t>
    </r>
    <r>
      <rPr>
        <sz val="11"/>
        <color theme="1"/>
        <rFont val="宋体"/>
        <charset val="134"/>
        <scheme val="minor"/>
      </rPr>
      <t xml:space="preserve"> 提供 </t>
    </r>
    <r>
      <rPr>
        <b/>
        <sz val="11"/>
        <color theme="1"/>
        <rFont val="宋体"/>
        <charset val="134"/>
        <scheme val="minor"/>
      </rPr>
      <t>15个敌人</t>
    </r>
    <r>
      <rPr>
        <sz val="11"/>
        <color theme="1"/>
        <rFont val="宋体"/>
        <charset val="134"/>
        <scheme val="minor"/>
      </rPr>
      <t xml:space="preserve"> 和 </t>
    </r>
    <r>
      <rPr>
        <b/>
        <sz val="11"/>
        <color theme="1"/>
        <rFont val="宋体"/>
        <charset val="134"/>
        <scheme val="minor"/>
      </rPr>
      <t>2个箱子</t>
    </r>
    <r>
      <rPr>
        <sz val="11"/>
        <color theme="1"/>
        <rFont val="宋体"/>
        <charset val="134"/>
        <scheme val="minor"/>
      </rPr>
      <t>，性价比极高。</t>
    </r>
  </si>
  <si>
    <t>《Shelter 69》最佳装备筛选指南：如何快速找到最强神装</t>
  </si>
  <si>
    <r>
      <rPr>
        <sz val="11"/>
        <color rgb="FF000000"/>
        <rFont val="宋体"/>
        <charset val="134"/>
        <scheme val="minor"/>
      </rPr>
      <t>既然您不仅仅需要一个计算器，而是想快速找到“最佳装备”，我们需要从</t>
    </r>
    <r>
      <rPr>
        <b/>
        <sz val="11"/>
        <color rgb="FF000000"/>
        <rFont val="宋体"/>
        <charset val="134"/>
        <scheme val="minor"/>
      </rPr>
      <t>成长梯队 (Tier)​</t>
    </r>
    <r>
      <rPr>
        <sz val="11"/>
        <color rgb="FF000000"/>
        <rFont val="宋体"/>
        <charset val="134"/>
        <scheme val="minor"/>
      </rPr>
      <t xml:space="preserve"> 的逻辑出发。在游戏中，属性的上限是由梯队决定的，</t>
    </r>
    <r>
      <rPr>
        <b/>
        <sz val="11"/>
        <color rgb="FF000000"/>
        <rFont val="宋体"/>
        <charset val="134"/>
        <scheme val="minor"/>
      </rPr>
      <t>Tier 5（5级梯队）​</t>
    </r>
    <r>
      <rPr>
        <sz val="11"/>
        <color rgb="FF000000"/>
        <rFont val="宋体"/>
        <charset val="134"/>
        <scheme val="minor"/>
      </rPr>
      <t xml:space="preserve"> 就是该属性下的最强配置。</t>
    </r>
  </si>
  <si>
    <t>以下是根据网页数据整理出的各属性“最佳装备”筛选清单，以及如何在 WPS 中实现快速对比的方法。</t>
  </si>
  <si>
    <t>1. 各属性“毕业级”神装清单 (Tier 5 属性)​</t>
  </si>
  <si>
    <r>
      <rPr>
        <sz val="11"/>
        <color rgb="FF000000"/>
        <rFont val="宋体"/>
        <charset val="134"/>
        <scheme val="minor"/>
      </rPr>
      <t xml:space="preserve">如果您想堆极限属性，直接在 </t>
    </r>
    <r>
      <rPr>
        <sz val="11"/>
        <color rgb="FF000000"/>
        <rFont val="宋体"/>
        <charset val="134"/>
        <scheme val="minor"/>
      </rPr>
      <t>List</t>
    </r>
    <r>
      <rPr>
        <sz val="11"/>
        <color rgb="FF000000"/>
        <rFont val="宋体"/>
        <charset val="134"/>
        <scheme val="minor"/>
      </rPr>
      <t xml:space="preserve"> 表中寻找对应属性为 </t>
    </r>
    <r>
      <rPr>
        <b/>
        <sz val="11"/>
        <color rgb="FF000000"/>
        <rFont val="宋体"/>
        <charset val="134"/>
        <scheme val="minor"/>
      </rPr>
      <t>5</t>
    </r>
    <r>
      <rPr>
        <sz val="11"/>
        <color rgb="FF000000"/>
        <rFont val="宋体"/>
        <charset val="134"/>
        <scheme val="minor"/>
      </rPr>
      <t xml:space="preserve"> 的装备：</t>
    </r>
  </si>
  <si>
    <t>追求 W (工作/力量) 极致：​</t>
  </si>
  <si>
    <r>
      <rPr>
        <b/>
        <sz val="11"/>
        <color rgb="FF000000"/>
        <rFont val="宋体"/>
        <charset val="134"/>
        <scheme val="minor"/>
      </rPr>
      <t>上装/下装</t>
    </r>
    <r>
      <rPr>
        <sz val="11"/>
        <color rgb="FF000000"/>
        <rFont val="宋体"/>
        <charset val="134"/>
        <scheme val="minor"/>
      </rPr>
      <t>：Army Set (陆军套装)、Gunslinger Top (枪手上衣)、Merc Top (雇佣兵上衣)、XX’s Blessing (XX的祝福)。</t>
    </r>
  </si>
  <si>
    <r>
      <rPr>
        <b/>
        <sz val="11"/>
        <color rgb="FF000000"/>
        <rFont val="宋体"/>
        <charset val="134"/>
        <scheme val="minor"/>
      </rPr>
      <t>连衣裙</t>
    </r>
    <r>
      <rPr>
        <sz val="11"/>
        <color rgb="FF000000"/>
        <rFont val="宋体"/>
        <charset val="134"/>
        <scheme val="minor"/>
      </rPr>
      <t>：Cosmic Attire (宇宙装束)、Frozen’s Attire (冰冻装束)、Harbringers Of Pain (痛苦先驱)。</t>
    </r>
  </si>
  <si>
    <t>追求 A (敏捷/战斗) 极致：​</t>
  </si>
  <si>
    <r>
      <rPr>
        <b/>
        <sz val="11"/>
        <color rgb="FF000000"/>
        <rFont val="宋体"/>
        <charset val="134"/>
        <scheme val="minor"/>
      </rPr>
      <t>武器</t>
    </r>
    <r>
      <rPr>
        <sz val="11"/>
        <color rgb="FF000000"/>
        <rFont val="宋体"/>
        <charset val="134"/>
        <scheme val="minor"/>
      </rPr>
      <t>：Assasin’s Dagger (刺客匕首)。</t>
    </r>
  </si>
  <si>
    <r>
      <rPr>
        <b/>
        <sz val="11"/>
        <color rgb="FF000000"/>
        <rFont val="宋体"/>
        <charset val="134"/>
        <scheme val="minor"/>
      </rPr>
      <t>衣物</t>
    </r>
    <r>
      <rPr>
        <sz val="11"/>
        <color rgb="FF000000"/>
        <rFont val="宋体"/>
        <charset val="134"/>
        <scheme val="minor"/>
      </rPr>
      <t>：Barbarian Set (野蛮人套装)、Road Warrior (公路战士套装)、Prisoners Panties (囚犯内裤)。</t>
    </r>
  </si>
  <si>
    <r>
      <rPr>
        <b/>
        <sz val="11"/>
        <color rgb="FF000000"/>
        <rFont val="宋体"/>
        <charset val="134"/>
        <scheme val="minor"/>
      </rPr>
      <t>连衣裙</t>
    </r>
    <r>
      <rPr>
        <sz val="11"/>
        <color rgb="FF000000"/>
        <rFont val="宋体"/>
        <charset val="134"/>
        <scheme val="minor"/>
      </rPr>
      <t>：Adah’s Cosplays (阿达Cos服)、Liberator Suit (解放者套装)。</t>
    </r>
  </si>
  <si>
    <t>追求 I (智力/生产) 极致：​</t>
  </si>
  <si>
    <r>
      <rPr>
        <b/>
        <sz val="11"/>
        <color rgb="FF000000"/>
        <rFont val="宋体"/>
        <charset val="134"/>
        <scheme val="minor"/>
      </rPr>
      <t>饰品</t>
    </r>
    <r>
      <rPr>
        <sz val="11"/>
        <color rgb="FF000000"/>
        <rFont val="宋体"/>
        <charset val="134"/>
        <scheme val="minor"/>
      </rPr>
      <t>：Birthday Cupcakes (生日纸杯蛋糕)、Lovense Gift (爱诺礼物)、MP6。</t>
    </r>
  </si>
  <si>
    <r>
      <rPr>
        <b/>
        <sz val="11"/>
        <color rgb="FF000000"/>
        <rFont val="宋体"/>
        <charset val="134"/>
        <scheme val="minor"/>
      </rPr>
      <t>衣物</t>
    </r>
    <r>
      <rPr>
        <sz val="11"/>
        <color rgb="FF000000"/>
        <rFont val="宋体"/>
        <charset val="134"/>
        <scheme val="minor"/>
      </rPr>
      <t>：Neon Lights (霓虹灯套装)、Subtle Top (精致上衣)。</t>
    </r>
  </si>
  <si>
    <r>
      <rPr>
        <b/>
        <sz val="11"/>
        <color rgb="FF000000"/>
        <rFont val="宋体"/>
        <charset val="134"/>
        <scheme val="minor"/>
      </rPr>
      <t>连衣裙</t>
    </r>
    <r>
      <rPr>
        <sz val="11"/>
        <color rgb="FF000000"/>
        <rFont val="宋体"/>
        <charset val="134"/>
        <scheme val="minor"/>
      </rPr>
      <t>：Adelaide’s Comfort (阿黛拉伊德的舒适)、Domination (支配)。</t>
    </r>
  </si>
  <si>
    <t>追求 F (韧性/生存) 极致：​</t>
  </si>
  <si>
    <r>
      <rPr>
        <b/>
        <sz val="11"/>
        <color rgb="FF000000"/>
        <rFont val="宋体"/>
        <charset val="134"/>
        <scheme val="minor"/>
      </rPr>
      <t>武器</t>
    </r>
    <r>
      <rPr>
        <sz val="11"/>
        <color rgb="FF000000"/>
        <rFont val="宋体"/>
        <charset val="134"/>
        <scheme val="minor"/>
      </rPr>
      <t>：Giant Wrench (巨型扳手)、Combat Shotgun (战斗霰弹枪)、Shotgun (霰弹枪)。</t>
    </r>
  </si>
  <si>
    <r>
      <rPr>
        <b/>
        <sz val="11"/>
        <color rgb="FF000000"/>
        <rFont val="宋体"/>
        <charset val="134"/>
        <scheme val="minor"/>
      </rPr>
      <t>衣物</t>
    </r>
    <r>
      <rPr>
        <sz val="11"/>
        <color rgb="FF000000"/>
        <rFont val="宋体"/>
        <charset val="134"/>
        <scheme val="minor"/>
      </rPr>
      <t>：Baseball Star (棒球明星套装)、Explorer Top (探险家上衣)、Mechanic’s Top (技工上衣)。</t>
    </r>
  </si>
  <si>
    <r>
      <rPr>
        <b/>
        <sz val="11"/>
        <color rgb="FF000000"/>
        <rFont val="宋体"/>
        <charset val="134"/>
        <scheme val="minor"/>
      </rPr>
      <t>连衣裙</t>
    </r>
    <r>
      <rPr>
        <sz val="11"/>
        <color rgb="FF000000"/>
        <rFont val="宋体"/>
        <charset val="134"/>
        <scheme val="minor"/>
      </rPr>
      <t>：Eleanor Set (埃莉诺套装)、Skalds Poem (吟游诗篇)。</t>
    </r>
  </si>
  <si>
    <t>追求 U (魅力/特殊) 极致：​</t>
  </si>
  <si>
    <r>
      <rPr>
        <b/>
        <sz val="11"/>
        <color rgb="FF000000"/>
        <rFont val="宋体"/>
        <charset val="134"/>
        <scheme val="minor"/>
      </rPr>
      <t>饰品</t>
    </r>
    <r>
      <rPr>
        <sz val="11"/>
        <color rgb="FF000000"/>
        <rFont val="宋体"/>
        <charset val="134"/>
        <scheme val="minor"/>
      </rPr>
      <t>：Handmade Lollipop (手工棒棒糖)。</t>
    </r>
  </si>
  <si>
    <r>
      <rPr>
        <b/>
        <sz val="11"/>
        <color rgb="FF000000"/>
        <rFont val="宋体"/>
        <charset val="134"/>
        <scheme val="minor"/>
      </rPr>
      <t>衣物</t>
    </r>
    <r>
      <rPr>
        <sz val="11"/>
        <color rgb="FF000000"/>
        <rFont val="宋体"/>
        <charset val="134"/>
        <scheme val="minor"/>
      </rPr>
      <t>：Gaia’s Bottom (盖亚下装)、Lace Jeans (蕾丝牛仔裤)、Veneza’s Top (威尼斯上衣)。</t>
    </r>
  </si>
  <si>
    <r>
      <rPr>
        <b/>
        <sz val="11"/>
        <color rgb="FF000000"/>
        <rFont val="宋体"/>
        <charset val="134"/>
        <scheme val="minor"/>
      </rPr>
      <t>连衣裙</t>
    </r>
    <r>
      <rPr>
        <sz val="11"/>
        <color rgb="FF000000"/>
        <rFont val="宋体"/>
        <charset val="134"/>
        <scheme val="minor"/>
      </rPr>
      <t>：Autumn Set (秋季套装)、Chivalry (骑士精神)、Opalescent Set (乳白套装)。</t>
    </r>
  </si>
  <si>
    <t>提升避难所等级不会影响你的箱子掉落（如果奖励增加了，反而会正面影响）。但是，绝对不要在获得所有 10 之前箱子英雄之前开始第 10 章，因为继续前进会降低你获得粉卡等的几率，而且你最终需要每一个非限定英雄（除了多米尼卡）来玩这个游戏。</t>
  </si>
  <si>
    <r>
      <rPr>
        <b/>
        <sz val="11"/>
        <color theme="1"/>
        <rFont val="宋体"/>
        <charset val="134"/>
        <scheme val="minor"/>
      </rPr>
      <t>PamOne (Pam1):</t>
    </r>
    <r>
      <rPr>
        <sz val="11"/>
        <color theme="1"/>
        <rFont val="宋体"/>
        <charset val="134"/>
        <scheme val="minor"/>
      </rPr>
      <t xml:space="preserve"> 核心属性为 </t>
    </r>
    <r>
      <rPr>
        <b/>
        <sz val="11"/>
        <color theme="1"/>
        <rFont val="宋体"/>
        <charset val="134"/>
        <scheme val="minor"/>
      </rPr>
      <t>意志力 (W, Willpower)</t>
    </r>
    <r>
      <rPr>
        <sz val="11"/>
        <color theme="1"/>
        <rFont val="宋体"/>
        <charset val="134"/>
        <scheme val="minor"/>
      </rPr>
      <t>。</t>
    </r>
  </si>
  <si>
    <r>
      <rPr>
        <b/>
        <sz val="11"/>
        <color theme="1"/>
        <rFont val="宋体"/>
        <charset val="134"/>
        <scheme val="minor"/>
      </rPr>
      <t>机制：</t>
    </r>
    <r>
      <rPr>
        <sz val="11"/>
        <color theme="1"/>
        <rFont val="宋体"/>
        <charset val="134"/>
        <scheme val="minor"/>
      </rPr>
      <t xml:space="preserve"> 特殊技能伤害 = 基础伤害 + 20% 的总意志力。</t>
    </r>
  </si>
  <si>
    <r>
      <rPr>
        <b/>
        <sz val="11"/>
        <color theme="1"/>
        <rFont val="宋体"/>
        <charset val="134"/>
        <scheme val="minor"/>
      </rPr>
      <t>PamTwo (Pam2):</t>
    </r>
    <r>
      <rPr>
        <sz val="11"/>
        <color theme="1"/>
        <rFont val="宋体"/>
        <charset val="134"/>
        <scheme val="minor"/>
      </rPr>
      <t xml:space="preserve"> 核心属性为 </t>
    </r>
    <r>
      <rPr>
        <b/>
        <sz val="11"/>
        <color theme="1"/>
        <rFont val="宋体"/>
        <charset val="134"/>
        <scheme val="minor"/>
      </rPr>
      <t>智力 (I, Intelligence)</t>
    </r>
    <r>
      <rPr>
        <sz val="11"/>
        <color theme="1"/>
        <rFont val="宋体"/>
        <charset val="134"/>
        <scheme val="minor"/>
      </rPr>
      <t>。</t>
    </r>
  </si>
  <si>
    <r>
      <rPr>
        <b/>
        <sz val="11"/>
        <color theme="1"/>
        <rFont val="宋体"/>
        <charset val="134"/>
        <scheme val="minor"/>
      </rPr>
      <t>机制：</t>
    </r>
    <r>
      <rPr>
        <sz val="11"/>
        <color theme="1"/>
        <rFont val="宋体"/>
        <charset val="134"/>
        <scheme val="minor"/>
      </rPr>
      <t xml:space="preserve"> 特殊技能伤害 = 基础伤害 + 20% 的总智力。</t>
    </r>
  </si>
  <si>
    <t>伤害真相：</t>
  </si>
  <si>
    <r>
      <rPr>
        <sz val="11"/>
        <color theme="1"/>
        <rFont val="宋体"/>
        <charset val="134"/>
        <scheme val="minor"/>
      </rPr>
      <t>尽管高玩家曾认为属性决定秒杀能力，但测试发现，</t>
    </r>
    <r>
      <rPr>
        <b/>
        <sz val="11"/>
        <color theme="1"/>
        <rFont val="宋体"/>
        <charset val="134"/>
        <scheme val="minor"/>
      </rPr>
      <t>装备的主武器伤害占比更大</t>
    </r>
    <r>
      <rPr>
        <sz val="11"/>
        <color theme="1"/>
        <rFont val="宋体"/>
        <charset val="134"/>
        <scheme val="minor"/>
      </rPr>
      <t>。</t>
    </r>
  </si>
  <si>
    <t>属性加成（W 或 I）虽能微调伤害数值（如提升约 300 点），但在面对 4000+ 血量的对手时，这种增幅不足以达到“质变”的秒杀效果。</t>
  </si>
  <si>
    <r>
      <rPr>
        <b/>
        <sz val="11"/>
        <color theme="1"/>
        <rFont val="宋体"/>
        <charset val="134"/>
        <scheme val="minor"/>
      </rPr>
      <t>结论：</t>
    </r>
    <r>
      <rPr>
        <sz val="11"/>
        <color theme="1"/>
        <rFont val="宋体"/>
        <charset val="134"/>
        <scheme val="minor"/>
      </rPr>
      <t xml:space="preserve"> 堆叠主属性（W 或 I）是为了“锦上添花”，真正的秒杀依然依赖于</t>
    </r>
    <r>
      <rPr>
        <b/>
        <sz val="11"/>
        <color theme="1"/>
        <rFont val="宋体"/>
        <charset val="134"/>
        <scheme val="minor"/>
      </rPr>
      <t>高伤害倍率武器的基础攻击力</t>
    </r>
    <r>
      <rPr>
        <sz val="11"/>
        <color theme="1"/>
        <rFont val="宋体"/>
        <charset val="134"/>
        <scheme val="minor"/>
      </rPr>
      <t>。</t>
    </r>
  </si>
  <si>
    <r>
      <rPr>
        <b/>
        <sz val="14.05"/>
        <color theme="1"/>
        <rFont val="宋体"/>
        <charset val="134"/>
        <scheme val="minor"/>
      </rPr>
      <t xml:space="preserve">一、 关键装备细节（由 </t>
    </r>
    <r>
      <rPr>
        <b/>
        <sz val="14.05"/>
        <color theme="1"/>
        <rFont val="宋体"/>
        <charset val="134"/>
        <scheme val="minor"/>
      </rPr>
      <t>Grief</t>
    </r>
    <r>
      <rPr>
        <b/>
        <sz val="14.05"/>
        <color theme="1"/>
        <rFont val="宋体"/>
        <charset val="134"/>
        <scheme val="minor"/>
      </rPr>
      <t xml:space="preserve"> 和 </t>
    </r>
    <r>
      <rPr>
        <b/>
        <sz val="14.05"/>
        <color theme="1"/>
        <rFont val="宋体"/>
        <charset val="134"/>
        <scheme val="minor"/>
      </rPr>
      <t>Cobalt Giraffe</t>
    </r>
    <r>
      <rPr>
        <b/>
        <sz val="14.05"/>
        <color theme="1"/>
        <rFont val="宋体"/>
        <charset val="134"/>
        <scheme val="minor"/>
      </rPr>
      <t xml:space="preserve"> 确认）</t>
    </r>
  </si>
  <si>
    <t>关于重铸（Reforging）的“视觉欺骗”：</t>
  </si>
  <si>
    <r>
      <rPr>
        <sz val="11"/>
        <color theme="1"/>
        <rFont val="宋体"/>
        <charset val="134"/>
        <scheme val="minor"/>
      </rPr>
      <t>不要被菜单里的数值误导。</t>
    </r>
    <r>
      <rPr>
        <sz val="11"/>
        <color theme="1"/>
        <rFont val="宋体"/>
        <charset val="134"/>
        <scheme val="minor"/>
      </rPr>
      <t>Grief</t>
    </r>
    <r>
      <rPr>
        <sz val="11"/>
        <color theme="1"/>
        <rFont val="宋体"/>
        <charset val="134"/>
        <scheme val="minor"/>
      </rPr>
      <t xml:space="preserve"> 特别指出，虽然有些武器（如 Flamethrower）重铸界面显示闪避可以超过 6，但那是视觉 Bug，实际生效值上限被锁定在 </t>
    </r>
    <r>
      <rPr>
        <b/>
        <sz val="11"/>
        <color theme="1"/>
        <rFont val="宋体"/>
        <charset val="134"/>
        <scheme val="minor"/>
      </rPr>
      <t>4</t>
    </r>
    <r>
      <rPr>
        <sz val="11"/>
        <color theme="1"/>
        <rFont val="宋体"/>
        <charset val="134"/>
        <scheme val="minor"/>
      </rPr>
      <t>。</t>
    </r>
  </si>
  <si>
    <r>
      <rPr>
        <b/>
        <sz val="11"/>
        <color theme="1"/>
        <rFont val="宋体"/>
        <charset val="134"/>
        <scheme val="minor"/>
      </rPr>
      <t>Scorcher (灼烧者)</t>
    </r>
    <r>
      <rPr>
        <sz val="11"/>
        <color theme="1"/>
        <rFont val="宋体"/>
        <charset val="134"/>
        <scheme val="minor"/>
      </rPr>
      <t xml:space="preserve"> 的闪避重铸结果最稳定（最高为 4），是目前高玩最推荐的“防具”类武器。</t>
    </r>
  </si>
  <si>
    <t>为什么一定要用 4x 或 5x 攻击武器？</t>
  </si>
  <si>
    <t>PvP 中的状态（增益/减益）不是按回合计算，而是按“自动攻击尝试次数”计算。</t>
  </si>
  <si>
    <r>
      <rPr>
        <b/>
        <sz val="11"/>
        <color theme="1"/>
        <rFont val="宋体"/>
        <charset val="134"/>
        <scheme val="minor"/>
      </rPr>
      <t>5 连击武器的优势：</t>
    </r>
    <r>
      <rPr>
        <sz val="11"/>
        <color theme="1"/>
        <rFont val="宋体"/>
        <charset val="134"/>
        <scheme val="minor"/>
      </rPr>
      <t xml:space="preserve"> 如果你被眩晕 4 回合，使用 5 连击武器的你在第 1 回合的最后一次攻击就有机会挣脱控制，从而比使用 2 连击武器的对手更早释放出眩晕技能，抢回先手权。</t>
    </r>
  </si>
  <si>
    <t>二、 实战上场策略（为何这么配）</t>
  </si>
  <si>
    <r>
      <rPr>
        <b/>
        <sz val="11"/>
        <color theme="1"/>
        <rFont val="宋体"/>
        <charset val="134"/>
        <scheme val="minor"/>
      </rPr>
      <t>拒绝辅助：</t>
    </r>
    <r>
      <rPr>
        <sz val="11"/>
        <color theme="1"/>
        <rFont val="宋体"/>
        <charset val="134"/>
        <scheme val="minor"/>
      </rPr>
      <t xml:space="preserve"> 频道内一致警告，PvP 中千万</t>
    </r>
    <r>
      <rPr>
        <b/>
        <sz val="11"/>
        <color theme="1"/>
        <rFont val="宋体"/>
        <charset val="134"/>
        <scheme val="minor"/>
      </rPr>
      <t>不要上 Pearl 或其他任何奶妈</t>
    </r>
    <r>
      <rPr>
        <sz val="11"/>
        <color theme="1"/>
        <rFont val="宋体"/>
        <charset val="134"/>
        <scheme val="minor"/>
      </rPr>
      <t>。因为 PvP 有 60% 的治疗削弱，且回复量永远跟不上爆发伤害，属于“送人头”。</t>
    </r>
  </si>
  <si>
    <t>上场阵容构建：</t>
  </si>
  <si>
    <r>
      <rPr>
        <b/>
        <sz val="11"/>
        <color theme="1"/>
        <rFont val="宋体"/>
        <charset val="134"/>
        <scheme val="minor"/>
      </rPr>
      <t>首选（锁死姐妹流）：</t>
    </r>
    <r>
      <rPr>
        <sz val="11"/>
        <color theme="1"/>
        <rFont val="宋体"/>
        <charset val="134"/>
        <scheme val="minor"/>
      </rPr>
      <t xml:space="preserve"> </t>
    </r>
    <r>
      <rPr>
        <sz val="11"/>
        <color theme="1"/>
        <rFont val="宋体"/>
        <charset val="134"/>
        <scheme val="minor"/>
      </rPr>
      <t>Kim</t>
    </r>
    <r>
      <rPr>
        <sz val="11"/>
        <color theme="1"/>
        <rFont val="宋体"/>
        <charset val="134"/>
        <scheme val="minor"/>
      </rPr>
      <t xml:space="preserve"> + </t>
    </r>
    <r>
      <rPr>
        <sz val="11"/>
        <color theme="1"/>
        <rFont val="宋体"/>
        <charset val="134"/>
        <scheme val="minor"/>
      </rPr>
      <t>Sybil</t>
    </r>
    <r>
      <rPr>
        <sz val="11"/>
        <color theme="1"/>
        <rFont val="宋体"/>
        <charset val="134"/>
        <scheme val="minor"/>
      </rPr>
      <t xml:space="preserve"> + </t>
    </r>
    <r>
      <rPr>
        <sz val="11"/>
        <color theme="1"/>
        <rFont val="宋体"/>
        <charset val="134"/>
        <scheme val="minor"/>
      </rPr>
      <t>Judith</t>
    </r>
    <r>
      <rPr>
        <sz val="11"/>
        <color theme="1"/>
        <rFont val="宋体"/>
        <charset val="134"/>
        <scheme val="minor"/>
      </rPr>
      <t xml:space="preserve"> + </t>
    </r>
    <r>
      <rPr>
        <sz val="11"/>
        <color theme="1"/>
        <rFont val="宋体"/>
        <charset val="134"/>
        <scheme val="minor"/>
      </rPr>
      <t>Pink</t>
    </r>
    <r>
      <rPr>
        <sz val="11"/>
        <color theme="1"/>
        <rFont val="宋体"/>
        <charset val="134"/>
        <scheme val="minor"/>
      </rPr>
      <t>。这四人能通过无缝循环眩晕，让对手在战斗结束前根本没有输出机会。</t>
    </r>
  </si>
  <si>
    <r>
      <rPr>
        <b/>
        <sz val="11"/>
        <color theme="1"/>
        <rFont val="宋体"/>
        <charset val="134"/>
        <scheme val="minor"/>
      </rPr>
      <t>次选（Pam 爆发流）：</t>
    </r>
    <r>
      <rPr>
        <sz val="11"/>
        <color theme="1"/>
        <rFont val="宋体"/>
        <charset val="134"/>
        <scheme val="minor"/>
      </rPr>
      <t xml:space="preserve"> </t>
    </r>
    <r>
      <rPr>
        <sz val="11"/>
        <color theme="1"/>
        <rFont val="宋体"/>
        <charset val="134"/>
        <scheme val="minor"/>
      </rPr>
      <t>PamOne</t>
    </r>
    <r>
      <rPr>
        <sz val="11"/>
        <color theme="1"/>
        <rFont val="宋体"/>
        <charset val="134"/>
        <scheme val="minor"/>
      </rPr>
      <t xml:space="preserve"> + </t>
    </r>
    <r>
      <rPr>
        <sz val="11"/>
        <color theme="1"/>
        <rFont val="宋体"/>
        <charset val="134"/>
        <scheme val="minor"/>
      </rPr>
      <t>PamTwo</t>
    </r>
    <r>
      <rPr>
        <sz val="11"/>
        <color theme="1"/>
        <rFont val="宋体"/>
        <charset val="134"/>
        <scheme val="minor"/>
      </rPr>
      <t xml:space="preserve"> + </t>
    </r>
    <r>
      <rPr>
        <sz val="11"/>
        <color theme="1"/>
        <rFont val="宋体"/>
        <charset val="134"/>
        <scheme val="minor"/>
      </rPr>
      <t>Liza</t>
    </r>
    <r>
      <rPr>
        <sz val="11"/>
        <color theme="1"/>
        <rFont val="宋体"/>
        <charset val="134"/>
        <scheme val="minor"/>
      </rPr>
      <t xml:space="preserve"> + </t>
    </r>
    <r>
      <rPr>
        <sz val="11"/>
        <color theme="1"/>
        <rFont val="宋体"/>
        <charset val="134"/>
        <scheme val="minor"/>
      </rPr>
      <t>随意位</t>
    </r>
    <r>
      <rPr>
        <sz val="11"/>
        <color theme="1"/>
        <rFont val="宋体"/>
        <charset val="134"/>
        <scheme val="minor"/>
      </rPr>
      <t>。如果你的目的是追求极速战斗（比如在 Discord 协议要求之外的暴力冲分），这套阵容是唯一选择。</t>
    </r>
  </si>
  <si>
    <t>上场细节（测试方法）：</t>
  </si>
  <si>
    <r>
      <rPr>
        <sz val="11"/>
        <color theme="1"/>
        <rFont val="宋体"/>
        <charset val="134"/>
        <scheme val="minor"/>
      </rPr>
      <t>如果你获得了新角色，</t>
    </r>
    <r>
      <rPr>
        <b/>
        <sz val="11"/>
        <color theme="1"/>
        <rFont val="宋体"/>
        <charset val="134"/>
        <scheme val="minor"/>
      </rPr>
      <t>不要直接上竞技场</t>
    </r>
    <r>
      <rPr>
        <sz val="11"/>
        <color theme="1"/>
        <rFont val="宋体"/>
        <charset val="134"/>
        <scheme val="minor"/>
      </rPr>
      <t>。</t>
    </r>
  </si>
  <si>
    <r>
      <rPr>
        <sz val="11"/>
        <color theme="1"/>
        <rFont val="宋体"/>
        <charset val="134"/>
        <scheme val="minor"/>
      </rPr>
      <t xml:space="preserve">前往游戏内的 </t>
    </r>
    <r>
      <rPr>
        <b/>
        <sz val="11"/>
        <color theme="1"/>
        <rFont val="宋体"/>
        <charset val="134"/>
        <scheme val="minor"/>
      </rPr>
      <t>“信任任务 (Trust Missions)”</t>
    </r>
    <r>
      <rPr>
        <sz val="11"/>
        <color theme="1"/>
        <rFont val="宋体"/>
        <charset val="134"/>
        <scheme val="minor"/>
      </rPr>
      <t>，给角色更换不同武器，手动数出其大招图标亮起时所需的普攻次数。这是高玩们总结出上述配装的唯一来源。</t>
    </r>
  </si>
  <si>
    <t>三、 总结：如果你正在练级</t>
  </si>
  <si>
    <r>
      <rPr>
        <b/>
        <sz val="11"/>
        <color theme="1"/>
        <rFont val="宋体"/>
        <charset val="134"/>
        <scheme val="minor"/>
      </rPr>
      <t>Kim 是你的 MVP：</t>
    </r>
    <r>
      <rPr>
        <sz val="11"/>
        <color theme="1"/>
        <rFont val="宋体"/>
        <charset val="134"/>
        <scheme val="minor"/>
      </rPr>
      <t xml:space="preserve"> 只要她的砍刀配好了，她就是全队的充能启动器。</t>
    </r>
  </si>
  <si>
    <r>
      <rPr>
        <b/>
        <sz val="11"/>
        <color theme="1"/>
        <rFont val="宋体"/>
        <charset val="134"/>
        <scheme val="minor"/>
      </rPr>
      <t>Sybil 是你的后期霸主：</t>
    </r>
    <r>
      <rPr>
        <sz val="11"/>
        <color theme="1"/>
        <rFont val="宋体"/>
        <charset val="134"/>
        <scheme val="minor"/>
      </rPr>
      <t xml:space="preserve"> 即使充能慢，只要她能在 0.5 倍速下放出大招，全体眩晕的效果直接锁死全局。</t>
    </r>
  </si>
  <si>
    <r>
      <rPr>
        <b/>
        <sz val="11"/>
        <color theme="1"/>
        <rFont val="宋体"/>
        <charset val="134"/>
        <scheme val="minor"/>
      </rPr>
      <t>防守即生存：</t>
    </r>
    <r>
      <rPr>
        <sz val="11"/>
        <color theme="1"/>
        <rFont val="宋体"/>
        <charset val="134"/>
        <scheme val="minor"/>
      </rPr>
      <t xml:space="preserve"> 所有的装备重铸，</t>
    </r>
    <r>
      <rPr>
        <b/>
        <sz val="11"/>
        <color theme="1"/>
        <rFont val="宋体"/>
        <charset val="134"/>
        <scheme val="minor"/>
      </rPr>
      <t>唯一的追求就是 4 点闪避</t>
    </r>
    <r>
      <rPr>
        <sz val="11"/>
        <color theme="1"/>
        <rFont val="宋体"/>
        <charset val="134"/>
        <scheme val="minor"/>
      </rPr>
      <t>。如果没有 4 点闪避，你在高分段的生存力会骤降。</t>
    </r>
  </si>
  <si>
    <t>这份详细的清单是否足够清晰？如果你手头有特定的角色等级，我可以帮你直接分配谁拿砍刀，谁拿喷火器。</t>
  </si>
  <si>
    <t>角色位置</t>
  </si>
  <si>
    <t>角色名称</t>
  </si>
  <si>
    <t>推荐武器类型</t>
  </si>
  <si>
    <t>理由与实战细节</t>
  </si>
  <si>
    <t>核心控制</t>
  </si>
  <si>
    <t>锋利砍刀 (Cleaver)</t>
  </si>
  <si>
    <t>4 倍近战武器。充能效率极高，能在 1.5 回合内触发大招，且具备护甲穿透，是平衡伤害与充能的首选。</t>
  </si>
  <si>
    <t>灼烧者 (Scorcher)</t>
  </si>
  <si>
    <t>5 连击武器。目前公认比普通喷火器更稳定。重铸后的闪避属性上限更“真实”（实测最高 4），是目前控制流的标配。</t>
  </si>
  <si>
    <t>Judith / Pink</t>
  </si>
  <si>
    <t>喷火器 (Flamethrower)</t>
  </si>
  <si>
    <t>5 连击武器。虽然面板伤害平庸，但其高频命中能帮助角色在被控时更快消耗掉对方的“眩晕层数”，从而更快解控反打。</t>
  </si>
  <si>
    <t>爆发/输出</t>
  </si>
  <si>
    <t>PamOne / PamTwo</t>
  </si>
  <si>
    <t>太刀 (Katana)</t>
  </si>
  <si>
    <t>4 倍攻击，是 PamSpam 流的核心。旨在利用高穿透在极短时间内完成清场。</t>
  </si>
  <si>
    <t>补位输出</t>
  </si>
  <si>
    <t>作为 Pam 队的第三人，利用高频攻击补齐伤害缺口，缩短战斗节奏。</t>
  </si>
  <si>
    <t>队伍配置 (Team Comps)</t>
  </si>
  <si>
    <t>T0 阵容：Stunlock Sisters（锁死姐妹流）</t>
  </si>
  <si>
    <r>
      <rPr>
        <b/>
        <sz val="11"/>
        <color theme="1"/>
        <rFont val="宋体"/>
        <charset val="134"/>
        <scheme val="minor"/>
      </rPr>
      <t>核心成员：</t>
    </r>
    <r>
      <rPr>
        <sz val="11"/>
        <color theme="1"/>
        <rFont val="宋体"/>
        <charset val="134"/>
        <scheme val="minor"/>
      </rPr>
      <t xml:space="preserve"> Kim, Judith, Pink, Sybil。</t>
    </r>
  </si>
  <si>
    <r>
      <rPr>
        <b/>
        <sz val="11"/>
        <color theme="1"/>
        <rFont val="宋体"/>
        <charset val="134"/>
        <scheme val="minor"/>
      </rPr>
      <t>逻辑：</t>
    </r>
    <r>
      <rPr>
        <sz val="11"/>
        <color theme="1"/>
        <rFont val="宋体"/>
        <charset val="134"/>
        <scheme val="minor"/>
      </rPr>
      <t xml:space="preserve"> 核心在于技能的眩晕覆盖。一旦成型，可以通过连锁控制实现“无限眩晕”，让对手全员在战斗结束前无法释放任何技能。</t>
    </r>
  </si>
  <si>
    <t>进攻流：PamSpam（爆发流）</t>
  </si>
  <si>
    <r>
      <rPr>
        <b/>
        <sz val="11"/>
        <color theme="1"/>
        <rFont val="宋体"/>
        <charset val="134"/>
        <scheme val="minor"/>
      </rPr>
      <t>成员：</t>
    </r>
    <r>
      <rPr>
        <sz val="11"/>
        <color theme="1"/>
        <rFont val="宋体"/>
        <charset val="134"/>
        <scheme val="minor"/>
      </rPr>
      <t xml:space="preserve"> PamOne, PamTwo + Liza/Notlara。</t>
    </r>
  </si>
  <si>
    <r>
      <rPr>
        <b/>
        <sz val="11"/>
        <color theme="1"/>
        <rFont val="宋体"/>
        <charset val="134"/>
        <scheme val="minor"/>
      </rPr>
      <t>逻辑：</t>
    </r>
    <r>
      <rPr>
        <sz val="11"/>
        <color theme="1"/>
        <rFont val="宋体"/>
        <charset val="134"/>
        <scheme val="minor"/>
      </rPr>
      <t xml:space="preserve"> 利用极高的攻击频率与穿甲伤害，试图在对方控制启动前完成秒杀。该流派在高分段表现极其不稳定，极其依赖先手触发。</t>
    </r>
  </si>
  <si>
    <r>
      <rPr>
        <b/>
        <sz val="11"/>
        <color theme="1"/>
        <rFont val="宋体"/>
        <charset val="134"/>
        <scheme val="minor"/>
      </rPr>
      <t>避坑指南：</t>
    </r>
    <r>
      <rPr>
        <sz val="11"/>
        <color theme="1"/>
        <rFont val="宋体"/>
        <charset val="134"/>
        <scheme val="minor"/>
      </rPr>
      <t xml:space="preserve"> 治疗型角色（如 Pearl, Ann）在 PvP 环境下无效。因为竞技场存在 </t>
    </r>
    <r>
      <rPr>
        <b/>
        <sz val="11"/>
        <color theme="1"/>
        <rFont val="宋体"/>
        <charset val="134"/>
        <scheme val="minor"/>
      </rPr>
      <t>60% 的治疗量削弱</t>
    </r>
    <r>
      <rPr>
        <sz val="11"/>
        <color theme="1"/>
        <rFont val="宋体"/>
        <charset val="134"/>
        <scheme val="minor"/>
      </rPr>
      <t>，奶妈不仅无法维持血线，还浪费了宝贵的输出/控制位。</t>
    </r>
  </si>
  <si>
    <t>三、 装备与属性的硬逻辑 (Gear &amp; Stats)</t>
  </si>
  <si>
    <t>武器决定充能（核心技术点）：</t>
  </si>
  <si>
    <t>武器的攻击次数（Attack Counts）直接决定大招的充能效率。</t>
  </si>
  <si>
    <r>
      <rPr>
        <b/>
        <sz val="11"/>
        <color theme="1"/>
        <rFont val="宋体"/>
        <charset val="134"/>
        <scheme val="minor"/>
      </rPr>
      <t>5 连击武器（如 Flamethrower/Scorcher）：</t>
    </r>
    <r>
      <rPr>
        <sz val="11"/>
        <color theme="1"/>
        <rFont val="宋体"/>
        <charset val="134"/>
        <scheme val="minor"/>
      </rPr>
      <t xml:space="preserve"> 被证实不仅充能节奏平滑，而且在“消耗对方眩晕层数”方面有奇效。这是控制流的核心（能让你被控时更快恢复）。</t>
    </r>
  </si>
  <si>
    <r>
      <rPr>
        <b/>
        <sz val="11"/>
        <color theme="1"/>
        <rFont val="宋体"/>
        <charset val="134"/>
        <scheme val="minor"/>
      </rPr>
      <t>4 连击武器（如 Cleaver/Katana）：</t>
    </r>
    <r>
      <rPr>
        <sz val="11"/>
        <color theme="1"/>
        <rFont val="宋体"/>
        <charset val="134"/>
        <scheme val="minor"/>
      </rPr>
      <t xml:space="preserve"> 兼顾伤害、护甲穿透与充能效率。</t>
    </r>
  </si>
  <si>
    <r>
      <rPr>
        <b/>
        <sz val="11"/>
        <color theme="1"/>
        <rFont val="宋体"/>
        <charset val="134"/>
        <scheme val="minor"/>
      </rPr>
      <t>测试方法：</t>
    </r>
    <r>
      <rPr>
        <sz val="11"/>
        <color theme="1"/>
        <rFont val="宋体"/>
        <charset val="134"/>
        <scheme val="minor"/>
      </rPr>
      <t xml:space="preserve"> 社区公认的最佳测试方式是前往 </t>
    </r>
    <r>
      <rPr>
        <b/>
        <sz val="11"/>
        <color theme="1"/>
        <rFont val="宋体"/>
        <charset val="134"/>
        <scheme val="minor"/>
      </rPr>
      <t>信任任务（Trust Missions）</t>
    </r>
    <r>
      <rPr>
        <sz val="11"/>
        <color theme="1"/>
        <rFont val="宋体"/>
        <charset val="134"/>
        <scheme val="minor"/>
      </rPr>
      <t xml:space="preserve"> 手动计数，从而找出特定英雄的最优武器搭配，而不是盲从数值面板。</t>
    </r>
  </si>
  <si>
    <t>属性重铸（Reforging）：</t>
  </si>
  <si>
    <r>
      <rPr>
        <b/>
        <sz val="11"/>
        <color theme="1"/>
        <rFont val="宋体"/>
        <charset val="134"/>
        <scheme val="minor"/>
      </rPr>
      <t>闪避 (Evasion) 和 耐性 (Fortitude)</t>
    </r>
    <r>
      <rPr>
        <sz val="11"/>
        <color theme="1"/>
        <rFont val="宋体"/>
        <charset val="134"/>
        <scheme val="minor"/>
      </rPr>
      <t xml:space="preserve"> 是 PvP 中最重要的两条属性。</t>
    </r>
  </si>
  <si>
    <r>
      <rPr>
        <b/>
        <sz val="11"/>
        <color theme="1"/>
        <rFont val="宋体"/>
        <charset val="134"/>
        <scheme val="minor"/>
      </rPr>
      <t>重铸误区：</t>
    </r>
    <r>
      <rPr>
        <sz val="11"/>
        <color theme="1"/>
        <rFont val="宋体"/>
        <charset val="134"/>
        <scheme val="minor"/>
      </rPr>
      <t xml:space="preserve"> 部分武器在重铸界面显示的闪避数值（如 &gt;6）可能是视觉 Bug，实际应用后会被强制限制在 4 以内。玩家应以应用后的实际属性为准。</t>
    </r>
  </si>
  <si>
    <r>
      <rPr>
        <b/>
        <sz val="11"/>
        <color theme="1"/>
        <rFont val="宋体"/>
        <charset val="134"/>
        <scheme val="minor"/>
      </rPr>
      <t>生存权重：</t>
    </r>
    <r>
      <rPr>
        <sz val="11"/>
        <color theme="1"/>
        <rFont val="宋体"/>
        <charset val="134"/>
        <scheme val="minor"/>
      </rPr>
      <t xml:space="preserve"> 装备带来的闪避数值是唯一的保命底牌，没有闪避的控制手，在面对 PamSpam 的爆发时往往连一次攻击机会都没有。</t>
    </r>
  </si>
  <si>
    <t>四、 PvP 细节要点 (Fine Details)</t>
  </si>
  <si>
    <r>
      <rPr>
        <b/>
        <sz val="11"/>
        <color theme="1"/>
        <rFont val="宋体"/>
        <charset val="134"/>
        <scheme val="minor"/>
      </rPr>
      <t>CR（战力）的欺骗性：</t>
    </r>
    <r>
      <rPr>
        <sz val="11"/>
        <color theme="1"/>
        <rFont val="宋体"/>
        <charset val="134"/>
        <scheme val="minor"/>
      </rPr>
      <t xml:space="preserve"> CR 数值仅代表面板总和，无法体现控制链的稳定性和闪避属性。因此，低 CR 但成型的“锁死流”阵容往往比高 CR 的“混合流”更难对付。</t>
    </r>
  </si>
  <si>
    <r>
      <rPr>
        <b/>
        <sz val="11"/>
        <color theme="1"/>
        <rFont val="宋体"/>
        <charset val="134"/>
        <scheme val="minor"/>
      </rPr>
      <t>攻击优先级：</t>
    </r>
    <r>
      <rPr>
        <sz val="11"/>
        <color theme="1"/>
        <rFont val="宋体"/>
        <charset val="134"/>
        <scheme val="minor"/>
      </rPr>
      <t xml:space="preserve"> 游戏存在一定的攻击优先级机制，控制类技能似乎在 PvP 中比纯粹的爆发技能更早进入逻辑判定。</t>
    </r>
  </si>
  <si>
    <r>
      <rPr>
        <b/>
        <sz val="11"/>
        <color theme="1"/>
        <rFont val="宋体"/>
        <charset val="134"/>
        <scheme val="minor"/>
      </rPr>
      <t>Notlara（Adelaide）的尴尬：</t>
    </r>
    <r>
      <rPr>
        <sz val="11"/>
        <color theme="1"/>
        <rFont val="宋体"/>
        <charset val="134"/>
        <scheme val="minor"/>
      </rPr>
      <t xml:space="preserve"> 虽面板伤害极高，但被戏称为“园丁小矮人”或“慢得像糖浆”。其充能所需的攻击次数过多，导致在高端局的控制流面前，往往尚未出手就被彻底锁死。</t>
    </r>
  </si>
  <si>
    <r>
      <rPr>
        <b/>
        <sz val="11"/>
        <color theme="1"/>
        <rFont val="宋体"/>
        <charset val="134"/>
        <scheme val="minor"/>
      </rPr>
      <t>总结：</t>
    </r>
    <r>
      <rPr>
        <sz val="11"/>
        <color theme="1"/>
        <rFont val="宋体"/>
        <charset val="134"/>
        <scheme val="minor"/>
      </rPr>
      <t xml:space="preserve"> 《Shelter 69》的 PvP 并非单纯比拼谁的数值高，而是一个</t>
    </r>
    <r>
      <rPr>
        <b/>
        <sz val="11"/>
        <color theme="1"/>
        <rFont val="宋体"/>
        <charset val="134"/>
        <scheme val="minor"/>
      </rPr>
      <t>关于“充能循环控制”与“概率规避”的游戏</t>
    </r>
    <r>
      <rPr>
        <sz val="11"/>
        <color theme="1"/>
        <rFont val="宋体"/>
        <charset val="134"/>
        <scheme val="minor"/>
      </rPr>
      <t>。大佬们的核心思路是：</t>
    </r>
    <r>
      <rPr>
        <b/>
        <sz val="11"/>
        <color theme="1"/>
        <rFont val="宋体"/>
        <charset val="134"/>
        <scheme val="minor"/>
      </rPr>
      <t>通过武器选择优化充能速度，通过闪避重铸保命，通过强制重载规避风险，通过低速战术掌控节奏。</t>
    </r>
  </si>
  <si>
    <r>
      <rPr>
        <sz val="12"/>
        <color theme="1"/>
        <rFont val="微软雅黑"/>
        <charset val="134"/>
      </rPr>
      <t>Chimperilur</t>
    </r>
    <r>
      <rPr>
        <sz val="9"/>
        <color theme="1"/>
        <rFont val="微软雅黑"/>
        <charset val="134"/>
      </rPr>
      <t xml:space="preserve"> — </t>
    </r>
    <r>
      <rPr>
        <sz val="9"/>
        <color theme="1"/>
        <rFont val="微软雅黑"/>
        <charset val="134"/>
      </rPr>
      <t>2026/3/5 03:30</t>
    </r>
  </si>
  <si>
    <t>if you use the Grief strat of going for high F + dodge, you want a 2 piece clothing and a teddy bear. flamers have lower max dodge (seems about 7%) you want to get dodge close to 40, can go to 45 if you swap the flamers out for assassin daggers.</t>
  </si>
  <si>
    <t>如果你使用追求高 F+闪避的 Grief 战术，你需要一件两件套装备和一只泰迪熊。火焰系角色的最大闪避值较低（大约 7%），你需要让闪避接近 40，如果换成刺客匕首，可以提到 45。</t>
  </si>
  <si>
    <t>杰克</t>
  </si>
  <si>
    <r>
      <rPr>
        <sz val="9"/>
        <color theme="1"/>
        <rFont val="微软雅黑"/>
        <charset val="134"/>
      </rPr>
      <t xml:space="preserve">— </t>
    </r>
    <r>
      <rPr>
        <sz val="9"/>
        <color theme="1"/>
        <rFont val="微软雅黑"/>
        <charset val="134"/>
      </rPr>
      <t>2025/11/28 05:56</t>
    </r>
    <r>
      <rPr>
        <sz val="9"/>
        <color theme="1"/>
        <rFont val="微软雅黑"/>
        <charset val="134"/>
      </rPr>
      <t>2025年11月28日星期五 05:56</t>
    </r>
  </si>
  <si>
    <t>Upgraded my Expedition Center to its max level, and was surprised to gain a sixth slot. I've been using Karin, Diana, Beatrix, Tess, and Martha for expeditions, since their specials are the best defensively. Who would you tap for the sixth slot? I have all of the non-exclusive champions, aside from Dominica (still 3 trust away), but Kim, Judith, and XX are earmarked for pvp.</t>
  </si>
  <si>
    <t>我将探险中心提升到了最高等级，意外地获得了第六个槽位。我一直是用卡琳、黛安娜、贝亚特丽克丝、泰丝和玛莎去探险，因为她们的技能在防御方面最好。第六个槽位你会选择谁？除了多米妮卡（还差 3 点信赖值），我拥有所有非限定英雄，但金、朱迪斯和 XX 已经分配给 PVP 了。</t>
  </si>
  <si>
    <t>Karin, Diana, Beatrix, Tess, and Martha</t>
  </si>
  <si>
    <t>眩晕者（Kim/Judith/Pink/XX/CB69 等），治疗者（Andrea/Maria/Ann/Foxy/Dahia 等），坦克（Tess/Beatrix/Karin/Diana 等），以及狂轰滥炸者（Adelaide/PamOne/PamTwo）。</t>
  </si>
  <si>
    <t>max a gear is assassin dagger+sugarbomb+chelsea dress, tho they shat the bed with sugarbombs too and made them vibroeggs</t>
  </si>
  <si>
    <t>一个装备的最高配置是刺客匕首+糖炸弹+切尔西连衣裙，不过他们在糖炸弹上搞砸了，把它们变成了震动蛋</t>
  </si>
  <si>
    <t>so 3 sets of those maxed out is, while not the greatest possible equips, are good enough to push through many chapters</t>
  </si>
  <si>
    <t>所以三套这些满级的装备，虽然不是最好的配置，但足以推进很多章节</t>
  </si>
  <si>
    <t>alright then, a change in light of this:</t>
  </si>
  <si>
    <t xml:space="preserve">upgrade to maximum and use 3 assassin dagger+vibroegg with max agility+chelsea dress for mission teams </t>
  </si>
  <si>
    <t>那么，鉴于这一点，有所改变：</t>
  </si>
  <si>
    <t>升级到最高级，使用 3 把刺客匕首+振动蛋，搭配最大敏捷+切尔西连衣裙，用于任务队伍</t>
  </si>
  <si>
    <r>
      <rPr>
        <sz val="11"/>
        <color theme="1"/>
        <rFont val="宋体"/>
        <charset val="134"/>
        <scheme val="minor"/>
      </rPr>
      <t>Bogus Potatoes</t>
    </r>
    <r>
      <rPr>
        <sz val="9"/>
        <color theme="1"/>
        <rFont val="微软雅黑"/>
        <charset val="134"/>
      </rPr>
      <t xml:space="preserve"> — </t>
    </r>
    <r>
      <rPr>
        <sz val="9"/>
        <color theme="1"/>
        <rFont val="微软雅黑"/>
        <charset val="134"/>
      </rPr>
      <t>2025/9/18 03:09</t>
    </r>
  </si>
  <si>
    <t>所以，这里有个新手问题，但我 CR 刚刚超过 2k，我居然输给比我还低 4-5 百 CR，甚至 900CR 的玩家。我有珍珠、金姆和艾尔玛，她们现在都装备了满级的传奇装备（等级 50），两个远程，一个近战，但我还是输了。有什么秘诀吗？</t>
  </si>
  <si>
    <r>
      <rPr>
        <sz val="11"/>
        <color theme="1"/>
        <rFont val="宋体"/>
        <charset val="134"/>
        <scheme val="minor"/>
      </rPr>
      <t>Jack</t>
    </r>
    <r>
      <rPr>
        <sz val="9"/>
        <color theme="1"/>
        <rFont val="微软雅黑"/>
        <charset val="134"/>
      </rPr>
      <t xml:space="preserve"> — </t>
    </r>
    <r>
      <rPr>
        <sz val="9"/>
        <color theme="1"/>
        <rFont val="微软雅黑"/>
        <charset val="134"/>
      </rPr>
      <t>2025/9/18 03:19</t>
    </r>
  </si>
  <si>
    <t>最简单的解决方法就是，你拥有两个远程和一个近战，这意味着你没有集中火力攻击任何特定对手。目标是获胜，一个方法就是击倒你的敌人，而分散攻击会让这更难实现。</t>
  </si>
  <si>
    <r>
      <rPr>
        <sz val="11"/>
        <color theme="1"/>
        <rFont val="宋体"/>
        <charset val="134"/>
        <scheme val="minor"/>
      </rPr>
      <t>Chimperilur</t>
    </r>
    <r>
      <rPr>
        <sz val="9"/>
        <color theme="1"/>
        <rFont val="微软雅黑"/>
        <charset val="134"/>
      </rPr>
      <t xml:space="preserve"> — </t>
    </r>
    <r>
      <rPr>
        <sz val="9"/>
        <color theme="1"/>
        <rFont val="微软雅黑"/>
        <charset val="134"/>
      </rPr>
      <t>2025/9/18 03:22</t>
    </r>
  </si>
  <si>
    <t>另一种方法是阻止对手行动，你可以使用由金姆、淑女朱迪斯和粉红组成的控制团队... 只要你拖得够久，游戏就会给你胜利。</t>
  </si>
  <si>
    <r>
      <rPr>
        <sz val="11"/>
        <color theme="1"/>
        <rFont val="宋体"/>
        <charset val="134"/>
        <scheme val="minor"/>
      </rPr>
      <t>Bogus Potatoes</t>
    </r>
    <r>
      <rPr>
        <sz val="9"/>
        <color theme="1"/>
        <rFont val="微软雅黑"/>
        <charset val="134"/>
      </rPr>
      <t xml:space="preserve"> — </t>
    </r>
    <r>
      <rPr>
        <sz val="9"/>
        <color theme="1"/>
        <rFont val="微软雅黑"/>
        <charset val="134"/>
      </rPr>
      <t>2025/9/18 03:24</t>
    </r>
  </si>
  <si>
    <t>这很有道理。我为什么没想到呢？远程攻击会从彼此不同的目标进行攻击吗？</t>
  </si>
  <si>
    <r>
      <rPr>
        <sz val="11"/>
        <color theme="1"/>
        <rFont val="宋体"/>
        <charset val="134"/>
        <scheme val="minor"/>
      </rPr>
      <t>Tatsumaki, the Mocking One</t>
    </r>
    <r>
      <rPr>
        <sz val="12"/>
        <color rgb="FFFFFFFF"/>
        <rFont val="微软雅黑"/>
        <charset val="134"/>
      </rPr>
      <t>APP</t>
    </r>
    <r>
      <rPr>
        <sz val="9"/>
        <color theme="1"/>
        <rFont val="微软雅黑"/>
        <charset val="134"/>
      </rPr>
      <t xml:space="preserve"> — </t>
    </r>
    <r>
      <rPr>
        <sz val="9"/>
        <color theme="1"/>
        <rFont val="微软雅黑"/>
        <charset val="134"/>
      </rPr>
      <t>2025/9/18 03:24</t>
    </r>
  </si>
  <si>
    <t>@土豆土豆已经升级了！（0 ➜ 1）</t>
  </si>
  <si>
    <r>
      <rPr>
        <sz val="11"/>
        <color theme="1"/>
        <rFont val="宋体"/>
        <charset val="134"/>
        <scheme val="minor"/>
      </rPr>
      <t>Chimperilur</t>
    </r>
    <r>
      <rPr>
        <sz val="9"/>
        <color theme="1"/>
        <rFont val="微软雅黑"/>
        <charset val="134"/>
      </rPr>
      <t xml:space="preserve"> — </t>
    </r>
    <r>
      <rPr>
        <sz val="9"/>
        <color theme="1"/>
        <rFont val="微软雅黑"/>
        <charset val="134"/>
      </rPr>
      <t>2025/9/18 03:26</t>
    </r>
  </si>
  <si>
    <t>他们往往会先集火最后一个位置，然后是中间位置，最后是第一个位置。</t>
  </si>
  <si>
    <t>近战往另一边走</t>
  </si>
  <si>
    <r>
      <rPr>
        <sz val="11"/>
        <color theme="1"/>
        <rFont val="宋体"/>
        <charset val="134"/>
        <scheme val="minor"/>
      </rPr>
      <t>Bogus Potatoes</t>
    </r>
    <r>
      <rPr>
        <sz val="9"/>
        <color theme="1"/>
        <rFont val="微软雅黑"/>
        <charset val="134"/>
      </rPr>
      <t xml:space="preserve"> — </t>
    </r>
    <r>
      <rPr>
        <sz val="9"/>
        <color theme="1"/>
        <rFont val="微软雅黑"/>
        <charset val="134"/>
      </rPr>
      <t>2025/9/18 03:27</t>
    </r>
  </si>
  <si>
    <t>好的，很酷，谢谢你的建议！</t>
  </si>
  <si>
    <r>
      <rPr>
        <sz val="11"/>
        <color theme="1"/>
        <rFont val="宋体"/>
        <charset val="134"/>
        <scheme val="minor"/>
      </rPr>
      <t>Jack</t>
    </r>
    <r>
      <rPr>
        <sz val="9"/>
        <color theme="1"/>
        <rFont val="微软雅黑"/>
        <charset val="134"/>
      </rPr>
      <t xml:space="preserve"> — </t>
    </r>
    <r>
      <rPr>
        <sz val="9"/>
        <color theme="1"/>
        <rFont val="微软雅黑"/>
        <charset val="134"/>
      </rPr>
      <t>2025/9/18 03:29</t>
    </r>
  </si>
  <si>
    <t>这取决于武器，鱼叉枪先攻击后排，但霰弹枪从中间排开始，例如。</t>
  </si>
  <si>
    <r>
      <rPr>
        <sz val="11"/>
        <color theme="1"/>
        <rFont val="宋体"/>
        <charset val="134"/>
        <scheme val="minor"/>
      </rPr>
      <t>Bogus Potatoes</t>
    </r>
    <r>
      <rPr>
        <sz val="9"/>
        <color theme="1"/>
        <rFont val="微软雅黑"/>
        <charset val="134"/>
      </rPr>
      <t xml:space="preserve"> — </t>
    </r>
    <r>
      <rPr>
        <sz val="9"/>
        <color theme="1"/>
        <rFont val="微软雅黑"/>
        <charset val="134"/>
      </rPr>
      <t>2025/9/18 03:32</t>
    </r>
  </si>
  <si>
    <t>除了在这里询问，我还能在哪里找到这些信息？游戏里会有吗？</t>
  </si>
  <si>
    <r>
      <rPr>
        <sz val="11"/>
        <color theme="1"/>
        <rFont val="宋体"/>
        <charset val="134"/>
        <scheme val="minor"/>
      </rPr>
      <t>Chimperilur</t>
    </r>
    <r>
      <rPr>
        <sz val="9"/>
        <color theme="1"/>
        <rFont val="微软雅黑"/>
        <charset val="134"/>
      </rPr>
      <t xml:space="preserve"> — </t>
    </r>
    <r>
      <rPr>
        <sz val="9"/>
        <color theme="1"/>
        <rFont val="微软雅黑"/>
        <charset val="134"/>
      </rPr>
      <t>2025/9/18 06:16</t>
    </r>
  </si>
  <si>
    <t>是的，你看到在英雄选择屏幕上的战斗信息按钮。</t>
  </si>
  <si>
    <r>
      <rPr>
        <sz val="11"/>
        <color theme="1"/>
        <rFont val="宋体"/>
        <charset val="134"/>
        <scheme val="minor"/>
      </rPr>
      <t>Valheru</t>
    </r>
    <r>
      <rPr>
        <sz val="9"/>
        <color theme="1"/>
        <rFont val="微软雅黑"/>
        <charset val="134"/>
      </rPr>
      <t xml:space="preserve"> — </t>
    </r>
    <r>
      <rPr>
        <sz val="9"/>
        <color theme="1"/>
        <rFont val="微软雅黑"/>
        <charset val="134"/>
      </rPr>
      <t>2025/9/19 14:58</t>
    </r>
  </si>
  <si>
    <t>那不像你刚发的那个评论那么详细，我学到了霰弹枪更适合中距离，游戏中没有那种详细的解释</t>
  </si>
  <si>
    <r>
      <rPr>
        <sz val="11"/>
        <color theme="1"/>
        <rFont val="宋体"/>
        <charset val="134"/>
        <scheme val="minor"/>
      </rPr>
      <t>Jack</t>
    </r>
    <r>
      <rPr>
        <sz val="9"/>
        <color theme="1"/>
        <rFont val="微软雅黑"/>
        <charset val="134"/>
      </rPr>
      <t xml:space="preserve"> — </t>
    </r>
    <r>
      <rPr>
        <sz val="9"/>
        <color theme="1"/>
        <rFont val="微软雅黑"/>
        <charset val="134"/>
      </rPr>
      <t>2025/9/19 18:10</t>
    </r>
  </si>
  <si>
    <t>通过每天玩这个游戏好几年，你可以积累很多模模糊糊有用的信息。</t>
  </si>
  <si>
    <r>
      <rPr>
        <sz val="11"/>
        <color theme="1"/>
        <rFont val="宋体"/>
        <charset val="134"/>
        <scheme val="minor"/>
      </rPr>
      <t>DoctrDoc</t>
    </r>
    <r>
      <rPr>
        <sz val="9"/>
        <color theme="1"/>
        <rFont val="微软雅黑"/>
        <charset val="134"/>
      </rPr>
      <t xml:space="preserve"> — </t>
    </r>
    <r>
      <rPr>
        <sz val="9"/>
        <color theme="1"/>
        <rFont val="微软雅黑"/>
        <charset val="134"/>
      </rPr>
      <t>2025/9/23 01:36</t>
    </r>
  </si>
  <si>
    <t>正在寻找关于你第一个专属英雄（1000 宝库金币的那些）的建议。PvE 真的不需要它们。它们在 PvP 环境中重要吗？</t>
  </si>
  <si>
    <r>
      <rPr>
        <sz val="11"/>
        <color theme="1"/>
        <rFont val="宋体"/>
        <charset val="134"/>
        <scheme val="minor"/>
      </rPr>
      <t>cougarshamn</t>
    </r>
    <r>
      <rPr>
        <sz val="9"/>
        <color theme="1"/>
        <rFont val="微软雅黑"/>
        <charset val="134"/>
      </rPr>
      <t xml:space="preserve"> — </t>
    </r>
    <r>
      <rPr>
        <sz val="9"/>
        <color theme="1"/>
        <rFont val="微软雅黑"/>
        <charset val="134"/>
      </rPr>
      <t>2025/9/23 09:05</t>
    </r>
  </si>
  <si>
    <t>据我所知，这些独占内容在 PvP 中都没有什么用</t>
  </si>
  <si>
    <r>
      <rPr>
        <sz val="11"/>
        <color theme="1"/>
        <rFont val="宋体"/>
        <charset val="134"/>
        <scheme val="minor"/>
      </rPr>
      <t> [GW], </t>
    </r>
    <r>
      <rPr>
        <sz val="9"/>
        <color theme="1"/>
        <rFont val="微软雅黑"/>
        <charset val="134"/>
      </rPr>
      <t xml:space="preserve"> — </t>
    </r>
    <r>
      <rPr>
        <sz val="9"/>
        <color theme="1"/>
        <rFont val="微软雅黑"/>
        <charset val="134"/>
      </rPr>
      <t>2025/9/23 14:04</t>
    </r>
  </si>
  <si>
    <t>使用金、朱迪斯女士和粉红使用喷火器是赢得比赛最简单的方法，具有良好的闪避率。除了强大的 PAM 核弹外，对任何东西都有效。</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</si>
  <si>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2025/9/23 14:40</t>
    </r>
  </si>
  <si>
    <t>"元老"已经稳定为纯粹的垃圾堆： 步骤 1：使用 PAM 和一个眩晕器（粉红最耐打，但任何都可以）并获胜 步骤 2：如果你不小心没有获胜，重新加载游戏，以最低速度与金+朱迪斯女士+粉红对战，并获胜 第 3 步：获取更多票数，每周占据第一位置，让每个人都能获得最大奖励 第 4 步：盈利！！！</t>
  </si>
  <si>
    <t>整件事都是愚蠢的废话……但至少它给了很多 vbucks</t>
  </si>
  <si>
    <r>
      <rPr>
        <sz val="11"/>
        <color theme="1"/>
        <rFont val="宋体"/>
        <charset val="134"/>
        <scheme val="minor"/>
      </rPr>
      <t>Shadow</t>
    </r>
    <r>
      <rPr>
        <sz val="9"/>
        <color theme="1"/>
        <rFont val="微软雅黑"/>
        <charset val="134"/>
      </rPr>
      <t xml:space="preserve"> — </t>
    </r>
    <r>
      <rPr>
        <sz val="9"/>
        <color theme="1"/>
        <rFont val="微软雅黑"/>
        <charset val="134"/>
      </rPr>
      <t>2025/10/31 22:17</t>
    </r>
  </si>
  <si>
    <t>有文章或有人能清晰地解释竞技场中的积分制度吗 似乎第一场战斗（如果获胜）总是+40 分，其余的都是+10 分 我认为如果对手的 CR/积分更高，也是 40 分，但不确定 输分也是一样，有时是-6 分，有时是-26 分</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</si>
  <si>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2025/10/31 22:27</t>
    </r>
  </si>
  <si>
    <t>击败得分相等或更高的人可获得 40 分，击败得分领先 500 分以上的人可获得 80 分，击败得分较低的人可获得 10 分</t>
  </si>
  <si>
    <t>你每天第一次战斗总是得到 40 分，因为 PVP 系统有 bug，垃圾，而且游戏会在每天第一次运行时将你的分数设置为 1000 分（除非你在每日重置期间登录）。</t>
  </si>
  <si>
    <t>如果你被打败会损失一些分数，但我们从未被打败。</t>
  </si>
  <si>
    <t>输掉比赛时关闭游戏，而且你没有输</t>
  </si>
  <si>
    <r>
      <rPr>
        <sz val="11"/>
        <color theme="1"/>
        <rFont val="宋体"/>
        <charset val="134"/>
        <scheme val="minor"/>
      </rPr>
      <t>Shadow</t>
    </r>
    <r>
      <rPr>
        <sz val="9"/>
        <color theme="1"/>
        <rFont val="微软雅黑"/>
        <charset val="134"/>
      </rPr>
      <t xml:space="preserve"> — </t>
    </r>
    <r>
      <rPr>
        <sz val="9"/>
        <color theme="1"/>
        <rFont val="微软雅黑"/>
        <charset val="134"/>
      </rPr>
      <t>2025/10/31 23:28</t>
    </r>
  </si>
  <si>
    <r>
      <rPr>
        <sz val="11"/>
        <color theme="1"/>
        <rFont val="宋体"/>
        <charset val="134"/>
        <scheme val="minor"/>
      </rPr>
      <t>Shadow</t>
    </r>
    <r>
      <rPr>
        <sz val="9"/>
        <color theme="1"/>
        <rFont val="微软雅黑"/>
        <charset val="134"/>
      </rPr>
      <t xml:space="preserve"> — </t>
    </r>
    <r>
      <rPr>
        <sz val="9"/>
        <color theme="1"/>
        <rFont val="微软雅黑"/>
        <charset val="134"/>
      </rPr>
      <t>2025/11/1 01:56</t>
    </r>
  </si>
  <si>
    <t>请对我的阵容评分/吐槽（不包括装备） - 珍珠（最好的治疗者（给所有英雄最大生命值的百分比治疗）） - 金（最好的眩晕敌方英雄之一） - 凯瑟琳（很快就会变成艾莉诺尔） 即将进行的改动： -西比尔（将替代金姆，金姆=眩晕“最高 4 次”持续 2 回合，而西比尔=全体眩晕持续 2 回合+自我伤害加成持续 3 回合）（目前正在提升她的等级，准备替换上场） -伊丽莎白（将替代凯瑟琳，对 3 个敌人造成固定伤害，而对盟友施加增益，对敌人施加减益似乎更好（尚未测试，刚刚获得她，等她等级提升一段时间后几天内会尝试使用她））</t>
  </si>
  <si>
    <t>假设可能不正确，因为某些技能可能具有更短的装填时间，但是找不到任何与技能冷却/技能充能要求相关的信息</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</si>
  <si>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2025/11/1 02:21</t>
    </r>
  </si>
  <si>
    <t>这个新来的女孩是另一个金吗？该死，他们知道我们在这里做什么了</t>
  </si>
  <si>
    <t>作为某种回答：PVP 首先是一项针对终结者的利用和操纵的练习</t>
  </si>
  <si>
    <t>所有同等级的人最后获得相同的奖励，所以我们都在第一名并列</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</si>
  <si>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2025/11/1 02:30</t>
    </r>
  </si>
  <si>
    <t>对于队伍来说，只有两种：锁死姐妹和 PAMspam 锁死姐妹是 Kim Judith Pink 搭配火焰武器拖延直到时间结束（不过新来的女孩可能会取代 Judith），而 PAMspam 是 Pamone、Pamtwo 和一个随机角色（通常是眩晕者，但有时是 Liza 或 Notlara）搭配武士刀/冲锋枪迅速烧毁敌方队伍。如果足够强的 PAMspam 在眩晕开始前无法击倒她们，锁死姐妹总是赢，至少在 1%玩家所在的顶尖水平是这样的。</t>
  </si>
  <si>
    <t>我们所有人都讨厌 PAMspam，因为它让操纵比分变得困难</t>
  </si>
  <si>
    <t>如果每个人都用锁死姐妹，那么每个人都会在每一场战斗中获胜</t>
  </si>
  <si>
    <t>其他队伍都只是炮灰</t>
  </si>
  <si>
    <t>tldr 是 pvp 很垃圾</t>
  </si>
  <si>
    <t>但在顶端非常赚钱</t>
  </si>
  <si>
    <r>
      <rPr>
        <sz val="11"/>
        <color theme="1"/>
        <rFont val="宋体"/>
        <charset val="134"/>
        <scheme val="minor"/>
      </rPr>
      <t>3132-fuck your numbers, jnt</t>
    </r>
    <r>
      <rPr>
        <sz val="9"/>
        <color theme="1"/>
        <rFont val="微软雅黑"/>
        <charset val="134"/>
      </rPr>
      <t xml:space="preserve"> — 2025/11/1 02:39</t>
    </r>
  </si>
  <si>
    <t>而且，即使是 strongest pamspams 也可以通过足够的重置来击败，直到他们错过足够多的攻击来启动眩晕列车，但这通常不值得花时间或精力</t>
  </si>
  <si>
    <t>is there an article/someone that can clearly explain the point system in the arena seems the first battle (if won) is always +40 Points then the rest are +10 points I think if the CR/Points of the opponnent are higher its also 40 Points but unsure same with loosing points sometimes its -6 points others its -26 points</t>
  </si>
  <si>
    <t>you get 40 points when defeating someone with equal or higher score, 80 points when defeating someone 500+ points ahead, 10 points when defeating someone with lower score</t>
  </si>
  <si>
    <t>you always get 40 on first battle of the day cos the pvp is buggy trash and game sets your score to 1000 on first running of the day (unless you're on during daily reset)</t>
  </si>
  <si>
    <t>you'd lose some points if defeated but we're never defeated</t>
  </si>
  <si>
    <t>close game when you lose and you didn't lose</t>
  </si>
  <si>
    <t>Pls rate/Roast my team comp (Not Including Items) -Pearl (best Healer (give % of max health heals to ALL champs) -Kim (one of best Stun enemy champ) -Catherine (will be Eleanor Soon) changes to be made soon: -Sybil (to replace Kim as Kim = Stun "up to 4" for 2 Turn vs sybils = Stun All for 2 turns + self damage boost for 3T) (Currently leveling her up before rotating her in) -Eleanor (will replace Catherine as a flat damage to 3 enemy vs Buf to allies + debuff to enemy seems better (not tested yet, Literally just got her (will try her in a few days once she has been leveled up a bunch)</t>
  </si>
  <si>
    <t>assumptions could be wrong due to some skill maybe having shorter reload however cannot find any info relating to Skill cooldown/skill charge up requirements</t>
  </si>
  <si>
    <t>the new girl is another kim? dang, they know what we're doing in here</t>
  </si>
  <si>
    <t>as an answer of sorts: pvp is first and foremost an exercise in exploiting and rigging for endgamers</t>
  </si>
  <si>
    <t>everyone at same rank gets same rewards at the end, so we all tie up on first spot</t>
  </si>
  <si>
    <t>for teams, there's only two: stunlock sisters and pamspam stunlock sisters is kim judith pink with flamers to stall until timeout (though new girl will probably replace judith) and pamspam is pamone pamtwo and some rando (usually a stunner but sometimes liza or notlara) with katanas/smgs to burn down enemy team asap. stunlock sisters always win if a strong enough pamspam can't drop them before the stuns start rolling, at least at the top where 1%ers live.</t>
  </si>
  <si>
    <t>also we all hate pamspam cos it makes rigging the scores difficult</t>
  </si>
  <si>
    <t>if everyone had stunlock sisters everyone would always win every fight</t>
  </si>
  <si>
    <t>any other teams are just fodder</t>
  </si>
  <si>
    <t>tldr is that pvp is lame trash</t>
  </si>
  <si>
    <t>but very lucrative at the top</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</si>
  <si>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2025/11/1 02:39</t>
    </r>
  </si>
  <si>
    <t>also, even strongest pamspams can be beaten with enough restarts until they miss enough attacks to get the stun train going but it's usually not worth the time or effort</t>
  </si>
  <si>
    <r>
      <rPr>
        <sz val="11"/>
        <color theme="1"/>
        <rFont val="宋体"/>
        <charset val="134"/>
        <scheme val="minor"/>
      </rPr>
      <t>Nobody</t>
    </r>
    <r>
      <rPr>
        <b/>
        <sz val="0"/>
        <color theme="1"/>
        <rFont val="微软雅黑"/>
        <charset val="134"/>
      </rPr>
      <t> [ﬂame], </t>
    </r>
    <r>
      <rPr>
        <sz val="9"/>
        <color theme="1"/>
        <rFont val="微软雅黑"/>
        <charset val="134"/>
      </rPr>
      <t xml:space="preserve"> — </t>
    </r>
    <r>
      <rPr>
        <sz val="9"/>
        <color theme="1"/>
        <rFont val="微软雅黑"/>
        <charset val="134"/>
      </rPr>
      <t>2025/11/1 02:52</t>
    </r>
  </si>
  <si>
    <r>
      <rPr>
        <sz val="11"/>
        <color theme="1"/>
        <rFont val="宋体"/>
        <charset val="134"/>
        <scheme val="minor"/>
      </rPr>
      <t xml:space="preserve">I admire </t>
    </r>
    <r>
      <rPr>
        <sz val="12"/>
        <color theme="1"/>
        <rFont val="微软雅黑"/>
        <charset val="134"/>
      </rPr>
      <t>@Shadow</t>
    </r>
    <r>
      <rPr>
        <sz val="12"/>
        <color theme="1"/>
        <rFont val="微软雅黑"/>
        <charset val="134"/>
      </rPr>
      <t xml:space="preserve"> to break from the pvp norms</t>
    </r>
  </si>
  <si>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2025/11/1 02:55</t>
    </r>
  </si>
  <si>
    <t>yea, like ^ this guy here isn't worth the effort to beat. i did it once, it took more than 40 minutes of refreshing the game until his pams missed enough</t>
  </si>
  <si>
    <t>i've not bothered since</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</si>
  <si>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2025/12/21 17:16</t>
    </r>
  </si>
  <si>
    <t>tfw game gives you a higher scored pamspammer</t>
  </si>
  <si>
    <t>(hopefully this face will become a thing)</t>
  </si>
  <si>
    <r>
      <rPr>
        <sz val="11"/>
        <color theme="1"/>
        <rFont val="宋体"/>
        <charset val="134"/>
        <scheme val="minor"/>
      </rPr>
      <t>Dick</t>
    </r>
    <r>
      <rPr>
        <sz val="9"/>
        <color theme="1"/>
        <rFont val="微软雅黑"/>
        <charset val="134"/>
      </rPr>
      <t xml:space="preserve"> — </t>
    </r>
    <r>
      <rPr>
        <sz val="9"/>
        <color theme="1"/>
        <rFont val="微软雅黑"/>
        <charset val="134"/>
      </rPr>
      <t>2025/12/21 18:59</t>
    </r>
  </si>
  <si>
    <t>is that cloe or liza</t>
  </si>
  <si>
    <r>
      <rPr>
        <sz val="11"/>
        <color theme="1"/>
        <rFont val="宋体"/>
        <charset val="134"/>
        <scheme val="minor"/>
      </rPr>
      <t>Ya dad's dad</t>
    </r>
    <r>
      <rPr>
        <sz val="9"/>
        <color theme="1"/>
        <rFont val="微软雅黑"/>
        <charset val="134"/>
      </rPr>
      <t xml:space="preserve"> — </t>
    </r>
    <r>
      <rPr>
        <sz val="9"/>
        <color theme="1"/>
        <rFont val="微软雅黑"/>
        <charset val="134"/>
      </rPr>
      <t>2025/12/21 22:36</t>
    </r>
  </si>
  <si>
    <t>Liza, her eyes are gray and she's got freckles</t>
  </si>
  <si>
    <t>That must be a relic from when characters had different facial animations</t>
  </si>
  <si>
    <r>
      <rPr>
        <sz val="11"/>
        <color theme="1"/>
        <rFont val="宋体"/>
        <charset val="134"/>
        <scheme val="minor"/>
      </rPr>
      <t>Mastersolum</t>
    </r>
    <r>
      <rPr>
        <sz val="9"/>
        <color theme="1"/>
        <rFont val="微软雅黑"/>
        <charset val="134"/>
      </rPr>
      <t xml:space="preserve"> — </t>
    </r>
    <r>
      <rPr>
        <sz val="9"/>
        <color theme="1"/>
        <rFont val="微软雅黑"/>
        <charset val="134"/>
      </rPr>
      <t>2025/12/22 02:02</t>
    </r>
  </si>
  <si>
    <t>umm guys I just moved up to major league and im getting dunked onby teams that are 200-300 cr below mine, what am I doing wrong?</t>
  </si>
  <si>
    <t>also what determines moving to a different league?</t>
  </si>
  <si>
    <r>
      <rPr>
        <sz val="11"/>
        <color theme="1"/>
        <rFont val="宋体"/>
        <charset val="134"/>
        <scheme val="minor"/>
      </rPr>
      <t>Ya dad's dad</t>
    </r>
    <r>
      <rPr>
        <sz val="9"/>
        <color theme="1"/>
        <rFont val="微软雅黑"/>
        <charset val="134"/>
      </rPr>
      <t xml:space="preserve"> — </t>
    </r>
    <r>
      <rPr>
        <sz val="9"/>
        <color theme="1"/>
        <rFont val="微软雅黑"/>
        <charset val="134"/>
      </rPr>
      <t>2025/12/22 02:04</t>
    </r>
  </si>
  <si>
    <t>Shelter Level determines your league. Getting surprise-murderized over this is a rite of passage for players. Post your regular team in here so people might give you some tips;</t>
  </si>
  <si>
    <r>
      <rPr>
        <sz val="11"/>
        <color theme="1"/>
        <rFont val="宋体"/>
        <charset val="134"/>
        <scheme val="minor"/>
      </rPr>
      <t>Mastersolum</t>
    </r>
    <r>
      <rPr>
        <sz val="9"/>
        <color theme="1"/>
        <rFont val="微软雅黑"/>
        <charset val="134"/>
      </rPr>
      <t xml:space="preserve"> — </t>
    </r>
    <r>
      <rPr>
        <sz val="9"/>
        <color theme="1"/>
        <rFont val="微软雅黑"/>
        <charset val="134"/>
      </rPr>
      <t>2025/12/22 02:08</t>
    </r>
  </si>
  <si>
    <t>how would I post the team like just the champions?</t>
  </si>
  <si>
    <r>
      <rPr>
        <sz val="11"/>
        <color theme="1"/>
        <rFont val="宋体"/>
        <charset val="134"/>
        <scheme val="minor"/>
      </rPr>
      <t>Dick</t>
    </r>
    <r>
      <rPr>
        <sz val="9"/>
        <color theme="1"/>
        <rFont val="微软雅黑"/>
        <charset val="134"/>
      </rPr>
      <t xml:space="preserve"> — </t>
    </r>
    <r>
      <rPr>
        <sz val="9"/>
        <color theme="1"/>
        <rFont val="微软雅黑"/>
        <charset val="134"/>
      </rPr>
      <t>2025/12/22 02:13</t>
    </r>
  </si>
  <si>
    <t>use champions who can stun multiple enemies, like Kim/Judith/Pink/Sybil</t>
  </si>
  <si>
    <r>
      <rPr>
        <sz val="11"/>
        <color theme="1"/>
        <rFont val="宋体"/>
        <charset val="134"/>
        <scheme val="minor"/>
      </rPr>
      <t>3132-fuck your numbers, jnt</t>
    </r>
    <r>
      <rPr>
        <sz val="9"/>
        <color theme="1"/>
        <rFont val="微软雅黑"/>
        <charset val="134"/>
      </rPr>
      <t xml:space="preserve"> — </t>
    </r>
    <r>
      <rPr>
        <sz val="9"/>
        <color theme="1"/>
        <rFont val="微软雅黑"/>
        <charset val="134"/>
      </rPr>
      <t>2025/12/22 02:31</t>
    </r>
  </si>
  <si>
    <t>only two teams actually work at high end: pamspam and stunlock sisters</t>
  </si>
  <si>
    <t>but everyone hates pamspam</t>
  </si>
  <si>
    <t>use kim+judith+pink with flamethrowers</t>
  </si>
  <si>
    <t>if you care about pvp, those are the priority champs</t>
  </si>
  <si>
    <t>admittedly, pamspam doesn't need luck to get, so there may be an argument to use that if you're a newer player</t>
  </si>
  <si>
    <r>
      <rPr>
        <sz val="11"/>
        <color theme="1"/>
        <rFont val="宋体"/>
        <charset val="134"/>
        <scheme val="minor"/>
      </rPr>
      <t>cougarshamn</t>
    </r>
    <r>
      <rPr>
        <sz val="9"/>
        <color theme="1"/>
        <rFont val="微软雅黑"/>
        <charset val="134"/>
      </rPr>
      <t xml:space="preserve"> — </t>
    </r>
    <r>
      <rPr>
        <sz val="9"/>
        <color theme="1"/>
        <rFont val="微软雅黑"/>
        <charset val="134"/>
      </rPr>
      <t>2025/12/22 03:19</t>
    </r>
  </si>
  <si>
    <t>Sybil is also a viable option on a stun team. Pretty much the only useful VC character PvPwise</t>
  </si>
  <si>
    <r>
      <rPr>
        <sz val="11"/>
        <color theme="1"/>
        <rFont val="宋体"/>
        <charset val="134"/>
        <scheme val="minor"/>
      </rPr>
      <t>Jack</t>
    </r>
    <r>
      <rPr>
        <sz val="9"/>
        <color theme="1"/>
        <rFont val="微软雅黑"/>
        <charset val="134"/>
      </rPr>
      <t xml:space="preserve"> — </t>
    </r>
    <r>
      <rPr>
        <sz val="9"/>
        <color theme="1"/>
        <rFont val="微软雅黑"/>
        <charset val="134"/>
      </rPr>
      <t>2025/12/22 04:32</t>
    </r>
  </si>
  <si>
    <t>Specifically looking at your current squad, you're unfortunately splitting your attack, with two melee weapons aiming for the front line enemy and the harpoon gun hitting the back line. As for your special skills, XX can be useful in pvp (only stuns one enemy, but does so quickly), but Ann's healing effect is nerfed in arena and Trixie's special does nothing at all... ever...</t>
  </si>
  <si>
    <r>
      <rPr>
        <sz val="11"/>
        <color theme="1"/>
        <rFont val="宋体"/>
        <charset val="134"/>
        <scheme val="minor"/>
      </rPr>
      <t>Mastersolum</t>
    </r>
    <r>
      <rPr>
        <sz val="9"/>
        <color theme="1"/>
        <rFont val="微软雅黑"/>
        <charset val="134"/>
      </rPr>
      <t xml:space="preserve"> — </t>
    </r>
    <r>
      <rPr>
        <sz val="9"/>
        <color theme="1"/>
        <rFont val="微软雅黑"/>
        <charset val="134"/>
      </rPr>
      <t>2025/12/22 04:33</t>
    </r>
  </si>
  <si>
    <t>oh is it better to go all melee or all range?</t>
  </si>
  <si>
    <t>also I just use ann for the teamwide defense buff</t>
  </si>
  <si>
    <t>would replace ann if I get a better team def buffer</t>
  </si>
  <si>
    <t>btw what does the specials of trixie/momoka/sara/kiara/veneza even do? Trixie was my max level so I was using her but I might replace her now</t>
  </si>
  <si>
    <r>
      <rPr>
        <sz val="11"/>
        <color theme="1"/>
        <rFont val="宋体"/>
        <charset val="134"/>
        <scheme val="minor"/>
      </rPr>
      <t>Jack</t>
    </r>
    <r>
      <rPr>
        <sz val="9"/>
        <color theme="1"/>
        <rFont val="微软雅黑"/>
        <charset val="134"/>
      </rPr>
      <t xml:space="preserve"> — </t>
    </r>
    <r>
      <rPr>
        <sz val="9"/>
        <color theme="1"/>
        <rFont val="微软雅黑"/>
        <charset val="134"/>
      </rPr>
      <t>2025/12/22 04:41</t>
    </r>
  </si>
  <si>
    <t>Yes, all melee or all range is wiser, but be careful with the ranged weapon targets: for example, harpoons always aim for the back line, but shotguns hit the middle line first.</t>
  </si>
  <si>
    <r>
      <rPr>
        <sz val="11"/>
        <color theme="1"/>
        <rFont val="宋体"/>
        <charset val="134"/>
        <scheme val="minor"/>
      </rPr>
      <t>Chimperilur</t>
    </r>
    <r>
      <rPr>
        <sz val="9"/>
        <color theme="1"/>
        <rFont val="微软雅黑"/>
        <charset val="134"/>
      </rPr>
      <t xml:space="preserve"> — </t>
    </r>
    <r>
      <rPr>
        <sz val="9"/>
        <color theme="1"/>
        <rFont val="微软雅黑"/>
        <charset val="134"/>
      </rPr>
      <t>2025/12/22 18:18</t>
    </r>
  </si>
  <si>
    <t>此外，爱慕之弓在属性方面非常糟糕</t>
  </si>
  <si>
    <r>
      <rPr>
        <sz val="11"/>
        <color theme="1"/>
        <rFont val="宋体"/>
        <charset val="134"/>
        <scheme val="minor"/>
      </rPr>
      <t>Mastersolum</t>
    </r>
    <r>
      <rPr>
        <sz val="9"/>
        <color theme="1"/>
        <rFont val="微软雅黑"/>
        <charset val="134"/>
      </rPr>
      <t xml:space="preserve"> — </t>
    </r>
    <r>
      <rPr>
        <sz val="9"/>
        <color theme="1"/>
        <rFont val="微软雅黑"/>
        <charset val="134"/>
      </rPr>
      <t>2025/12/22 19:11</t>
    </r>
  </si>
  <si>
    <t>谢谢你的建议，不过谁能解释一下为什么喷火器和太刀被认为这么强？</t>
  </si>
  <si>
    <t>火焰喷射器的伤害对我来说似乎相当平庸，而且太刀的 F 属性较低，导致生命值较低？我目前使用匕首和鱼叉枪作为更好的武器，我错了吗？</t>
  </si>
  <si>
    <r>
      <rPr>
        <sz val="11"/>
        <color theme="1"/>
        <rFont val="宋体"/>
        <charset val="134"/>
        <scheme val="minor"/>
      </rPr>
      <t>Dick</t>
    </r>
    <r>
      <rPr>
        <sz val="9"/>
        <color theme="1"/>
        <rFont val="微软雅黑"/>
        <charset val="134"/>
      </rPr>
      <t xml:space="preserve"> — </t>
    </r>
    <r>
      <rPr>
        <sz val="9"/>
        <color theme="1"/>
        <rFont val="微软雅黑"/>
        <charset val="134"/>
      </rPr>
      <t>2025/12/22 19:17</t>
    </r>
  </si>
  <si>
    <t>秘密在于以极慢的速度造成伤害，同时以 0.5 倍速度进行游戏，直到 PVP 计时器结束并自动获胜</t>
  </si>
  <si>
    <t>你并不是在砍他们的头，你是在用千刀万剐的战术</t>
  </si>
  <si>
    <t>大约切了 50 次后，竞技场会感到无聊，然后说：“去他的，你们俩都赢吧”。每天用这个战术 5 次，你就能跟着我们一起升级了</t>
  </si>
  <si>
    <r>
      <rPr>
        <sz val="11"/>
        <color theme="1"/>
        <rFont val="宋体"/>
        <charset val="134"/>
        <scheme val="minor"/>
      </rPr>
      <t>Mastersolum</t>
    </r>
    <r>
      <rPr>
        <sz val="9"/>
        <color theme="1"/>
        <rFont val="微软雅黑"/>
        <charset val="134"/>
      </rPr>
      <t xml:space="preserve"> — </t>
    </r>
    <r>
      <rPr>
        <sz val="9"/>
        <color theme="1"/>
        <rFont val="微软雅黑"/>
        <charset val="134"/>
      </rPr>
      <t>2025/12/22 19:25</t>
    </r>
  </si>
  <si>
    <t>等一下，你想让 PVP 计时器结束？那你喜欢用低等级武器，伤害也很小吗？这是为什么火焰喷射器和武士刀被认为很好用的原因吗？</t>
  </si>
  <si>
    <r>
      <rPr>
        <sz val="11"/>
        <color theme="1"/>
        <rFont val="宋体"/>
        <charset val="134"/>
        <scheme val="minor"/>
      </rPr>
      <t>Dick</t>
    </r>
    <r>
      <rPr>
        <sz val="9"/>
        <color theme="1"/>
        <rFont val="微软雅黑"/>
        <charset val="134"/>
      </rPr>
      <t xml:space="preserve"> — </t>
    </r>
    <r>
      <rPr>
        <sz val="9"/>
        <color theme="1"/>
        <rFont val="微软雅黑"/>
        <charset val="134"/>
      </rPr>
      <t>2025/12/22 19:27</t>
    </r>
  </si>
  <si>
    <t>是的，Kim/Judith/Pink 是最佳选择。他们的特殊技能可以使全体敌人一个回合内眩晕。这样敌方队伍在 1-3 回合内无法攻击，有助于你的队伍躲避伤害。</t>
  </si>
  <si>
    <t>只要你的三个英雄不全都死了，你就会赢。并且始终记住，0.5 倍速度是最慢的攻击速度。</t>
  </si>
  <si>
    <r>
      <rPr>
        <sz val="11"/>
        <color theme="1"/>
        <rFont val="宋体"/>
        <charset val="134"/>
        <scheme val="minor"/>
      </rPr>
      <t>Mastersolum</t>
    </r>
    <r>
      <rPr>
        <sz val="9"/>
        <color theme="1"/>
        <rFont val="微软雅黑"/>
        <charset val="134"/>
      </rPr>
      <t xml:space="preserve"> — </t>
    </r>
    <r>
      <rPr>
        <sz val="9"/>
        <color theme="1"/>
        <rFont val="微软雅黑"/>
        <charset val="134"/>
      </rPr>
      <t>2025/12/22 19:31</t>
    </r>
  </si>
  <si>
    <t>明白了，但你能解释一下为什么要这样做吗？而不是直接打败对方？</t>
  </si>
  <si>
    <r>
      <rPr>
        <sz val="11"/>
        <color theme="1"/>
        <rFont val="宋体"/>
        <charset val="134"/>
        <scheme val="minor"/>
      </rPr>
      <t>Dick</t>
    </r>
    <r>
      <rPr>
        <sz val="9"/>
        <color theme="1"/>
        <rFont val="微软雅黑"/>
        <charset val="134"/>
      </rPr>
      <t xml:space="preserve"> — </t>
    </r>
    <r>
      <rPr>
        <sz val="9"/>
        <color theme="1"/>
        <rFont val="微软雅黑"/>
        <charset val="134"/>
      </rPr>
      <t>2025/12/22 19:32</t>
    </r>
  </si>
  <si>
    <t>如果每个人都互相战斗，分数只会不断上升，直到有人停止购买更多纳米机器人票</t>
  </si>
  <si>
    <t>但是...如果我们都同意每周达到相同的分数，每个人都会并列第一名。并且每个人都能获得自己的奖励</t>
  </si>
  <si>
    <t>这才是我们所有人暗中合谋的真正目标</t>
  </si>
  <si>
    <r>
      <rPr>
        <sz val="11"/>
        <color theme="1"/>
        <rFont val="宋体"/>
        <charset val="134"/>
        <scheme val="minor"/>
      </rPr>
      <t>Mastersolum</t>
    </r>
    <r>
      <rPr>
        <sz val="9"/>
        <color theme="1"/>
        <rFont val="微软雅黑"/>
        <charset val="134"/>
      </rPr>
      <t xml:space="preserve"> — </t>
    </r>
    <r>
      <rPr>
        <sz val="9"/>
        <color theme="1"/>
        <rFont val="微软雅黑"/>
        <charset val="134"/>
      </rPr>
      <t>2025/12/22 19:35</t>
    </r>
  </si>
  <si>
    <t>哇哦，我明白了，但不幸的是，这在小联赛是不会发生的</t>
  </si>
  <si>
    <r>
      <rPr>
        <sz val="11"/>
        <color theme="1"/>
        <rFont val="宋体"/>
        <charset val="134"/>
        <scheme val="minor"/>
      </rPr>
      <t>Dick</t>
    </r>
    <r>
      <rPr>
        <sz val="9"/>
        <color theme="1"/>
        <rFont val="微软雅黑"/>
        <charset val="134"/>
      </rPr>
      <t xml:space="preserve"> — </t>
    </r>
    <r>
      <rPr>
        <sz val="9"/>
        <color theme="1"/>
        <rFont val="微软雅黑"/>
        <charset val="134"/>
      </rPr>
      <t>2025/12/22 19:35</t>
    </r>
  </si>
  <si>
    <t>欢迎，兄弟</t>
  </si>
  <si>
    <t>此时此刻，似乎才显得难以触及。 你可能会跌倒，可能会失败，但最终你将和我们所有人一起沐浴在阳光下。</t>
  </si>
  <si>
    <r>
      <rPr>
        <sz val="11"/>
        <color theme="1"/>
        <rFont val="宋体"/>
        <charset val="134"/>
        <scheme val="minor"/>
      </rPr>
      <t>Mastersolum</t>
    </r>
    <r>
      <rPr>
        <sz val="9"/>
        <color theme="1"/>
        <rFont val="微软雅黑"/>
        <charset val="134"/>
      </rPr>
      <t xml:space="preserve"> — </t>
    </r>
    <r>
      <rPr>
        <sz val="9"/>
        <color theme="1"/>
        <rFont val="微软雅黑"/>
        <charset val="134"/>
      </rPr>
      <t>2025/12/22 19:36</t>
    </r>
  </si>
  <si>
    <t>假设你要击败对方队伍，你会使用哪些武器？（与此同时，据我所知，我得找低伤害的武器，对吧？）</t>
  </si>
  <si>
    <r>
      <rPr>
        <sz val="11"/>
        <color theme="1"/>
        <rFont val="宋体"/>
        <charset val="134"/>
        <scheme val="minor"/>
      </rPr>
      <t>Dick</t>
    </r>
    <r>
      <rPr>
        <sz val="9"/>
        <color theme="1"/>
        <rFont val="微软雅黑"/>
        <charset val="134"/>
      </rPr>
      <t xml:space="preserve"> — </t>
    </r>
    <r>
      <rPr>
        <sz val="9"/>
        <color theme="1"/>
        <rFont val="微软雅黑"/>
        <charset val="134"/>
      </rPr>
      <t>2025/12/22 19:37</t>
    </r>
  </si>
  <si>
    <t>好问题，有一个方法可以一直击败对方队伍，这样只有你才能得分。因此，只有你和你能获得第一名</t>
  </si>
  <si>
    <t>不是我们每个人每周都得到 300 个保险库金币，只有你会得到 300</t>
  </si>
  <si>
    <r>
      <rPr>
        <sz val="11"/>
        <color theme="1"/>
        <rFont val="宋体"/>
        <charset val="134"/>
        <scheme val="minor"/>
      </rPr>
      <t>Mastersolum</t>
    </r>
    <r>
      <rPr>
        <sz val="9"/>
        <color theme="1"/>
        <rFont val="微软雅黑"/>
        <charset val="134"/>
      </rPr>
      <t xml:space="preserve"> — </t>
    </r>
    <r>
      <rPr>
        <sz val="9"/>
        <color theme="1"/>
        <rFont val="微软雅黑"/>
        <charset val="134"/>
      </rPr>
      <t>2025/12/22 19:38</t>
    </r>
  </si>
  <si>
    <t>说实话，我现在只想冲进前 20，因为我刚刚升到了甲级联赛</t>
  </si>
  <si>
    <r>
      <rPr>
        <sz val="11"/>
        <color theme="1"/>
        <rFont val="宋体"/>
        <charset val="134"/>
        <scheme val="minor"/>
      </rPr>
      <t>Tatsumaki, the Mocking One</t>
    </r>
    <r>
      <rPr>
        <sz val="12"/>
        <color rgb="FFFFFFFF"/>
        <rFont val="微软雅黑"/>
        <charset val="134"/>
      </rPr>
      <t>APP</t>
    </r>
    <r>
      <rPr>
        <sz val="9"/>
        <color theme="1"/>
        <rFont val="微软雅黑"/>
        <charset val="134"/>
      </rPr>
      <t xml:space="preserve"> — </t>
    </r>
    <r>
      <rPr>
        <sz val="9"/>
        <color theme="1"/>
        <rFont val="微软雅黑"/>
        <charset val="134"/>
      </rPr>
      <t>2025/12/22 19:38</t>
    </r>
  </si>
  <si>
    <t>@Mastersolum 等级提升了！(2 ➜ 3)</t>
  </si>
  <si>
    <r>
      <rPr>
        <sz val="11"/>
        <color theme="1"/>
        <rFont val="宋体"/>
        <charset val="134"/>
        <scheme val="minor"/>
      </rPr>
      <t>Dick</t>
    </r>
    <r>
      <rPr>
        <sz val="9"/>
        <color theme="1"/>
        <rFont val="微软雅黑"/>
        <charset val="134"/>
      </rPr>
      <t xml:space="preserve"> — </t>
    </r>
    <r>
      <rPr>
        <sz val="9"/>
        <color theme="1"/>
        <rFont val="微软雅黑"/>
        <charset val="134"/>
      </rPr>
      <t>2025/12/22 19:38</t>
    </r>
  </si>
  <si>
    <t>战胜他们的诀窍很简单</t>
  </si>
  <si>
    <t>(保密)</t>
  </si>
  <si>
    <t>但现在先别用，好好提升你的英雄的武器和护甲，为最强英雄做准备。而且如果你死了，还有另一种方法可以作弊逃命</t>
  </si>
  <si>
    <r>
      <rPr>
        <sz val="11"/>
        <color theme="1"/>
        <rFont val="宋体"/>
        <charset val="134"/>
        <scheme val="minor"/>
      </rPr>
      <t>Dick</t>
    </r>
    <r>
      <rPr>
        <sz val="9"/>
        <color theme="1"/>
        <rFont val="微软雅黑"/>
        <charset val="134"/>
      </rPr>
      <t xml:space="preserve"> — </t>
    </r>
    <r>
      <rPr>
        <sz val="9"/>
        <color theme="1"/>
        <rFont val="微软雅黑"/>
        <charset val="134"/>
      </rPr>
      <t>2025/12/22 19:46</t>
    </r>
  </si>
  <si>
    <t>如果你战败了，别点“领取”按钮。直接重启游戏，你的战票就回来了，就像那场失败从未发生过一样</t>
  </si>
  <si>
    <r>
      <rPr>
        <sz val="11"/>
        <color theme="1"/>
        <rFont val="宋体"/>
        <charset val="134"/>
        <scheme val="minor"/>
      </rPr>
      <t>Dick</t>
    </r>
    <r>
      <rPr>
        <sz val="9"/>
        <color theme="1"/>
        <rFont val="微软雅黑"/>
        <charset val="134"/>
      </rPr>
      <t xml:space="preserve"> — </t>
    </r>
    <r>
      <rPr>
        <sz val="9"/>
        <color theme="1"/>
        <rFont val="微软雅黑"/>
        <charset val="134"/>
      </rPr>
      <t>2025/12/22 20:16</t>
    </r>
  </si>
  <si>
    <t>你实际上永远不可能失去积分，你只能获得负积分。而且你不可能获得那些负积分，如果 shelter69.exe 突然停止工作怎么办？哎呀，怎么会发生这种事？</t>
  </si>
  <si>
    <r>
      <rPr>
        <sz val="11"/>
        <color theme="1"/>
        <rFont val="宋体"/>
        <charset val="134"/>
        <scheme val="minor"/>
      </rPr>
      <t>cougarshamn</t>
    </r>
    <r>
      <rPr>
        <sz val="9"/>
        <color theme="1"/>
        <rFont val="微软雅黑"/>
        <charset val="134"/>
      </rPr>
      <t xml:space="preserve"> — </t>
    </r>
    <r>
      <rPr>
        <sz val="9"/>
        <color theme="1"/>
        <rFont val="微软雅黑"/>
        <charset val="134"/>
      </rPr>
      <t>2025/12/22 21:08</t>
    </r>
  </si>
  <si>
    <t>实际上，这并不重要。如果你被眩晕控制住了，你就无法攻击；如果你面对的是 Pamspam，你被秒杀了，也无法攻击。PvP 系统真的很破败，你正在寻找的深度根本就不存在。</t>
  </si>
  <si>
    <r>
      <rPr>
        <sz val="11"/>
        <color theme="1"/>
        <rFont val="宋体"/>
        <charset val="134"/>
        <scheme val="minor"/>
      </rPr>
      <t>Cobalt Giraffe ☠ Cumming Crusade</t>
    </r>
    <r>
      <rPr>
        <sz val="9"/>
        <color theme="1"/>
        <rFont val="微软雅黑"/>
        <charset val="134"/>
      </rPr>
      <t xml:space="preserve"> — </t>
    </r>
    <r>
      <rPr>
        <sz val="9"/>
        <color theme="1"/>
        <rFont val="微软雅黑"/>
        <charset val="134"/>
      </rPr>
      <t>2025/12/22 21:33</t>
    </r>
  </si>
  <si>
    <t>低伤害武器的作用不是故意不杀死对手，而是帮助你生存。无论通过消灭敌队还是拖垮时间来获胜，胜利的效果都是一样的（获胜者获得积分，失败者完全不受影响）。喷火器特别用于眩晕队，因为 1）它们提供不错的生存能力属性（耐力用于生命值，实用技能用于防御），2）它们每回合战斗命中 5 次。 命中 5 次的事情有两个好处。第一是，不知出于什么原因，它们似乎技能充能速度稍快（理论上，2 次、3 次、4 次和 5 次命中的武器每回合战斗都应该充能相同，只是将充能分配到命中次数上，但我们过去进行了一些粗略测试后，5 次命中者似乎充能稍快）。如果你在充能一个攻击技能，这自然伴随着较低伤害的代价，因为喷火器不怎么会造成巨大伤害，但对于一个减益/眩晕技能来说，这完全是积极的，让你能够更快、更频繁地眩晕，帮助你活得更久。 第二个原因是它可以帮助你的队伍更快地从敌人的眩晕效果中恢复。增益效果和减益效果声称持续 X 回合，但这真正意味着的是它们持续受影响单位 X 次自动攻击尝试，而不是战斗回合（战斗被分为回合，每个英雄在每个回合中根据武器指定释放多次自动攻击，攻击顺序取决于属性）。所以一个 2 回合的增益效果会在一轮战斗中增强武士刀的两个强力攻击，但同样的增益效果在喷火器上只会增强喷火器在相同时间内进行的 5 次小攻击中的前两次。减益效果也是如此：一个 4 回合的眩晕效果会使使用 2 回合武器（武士刀、大锤等）的玩家在两轮完整的战斗中无法行动（每轮有 2 次攻击尝试，共 4 次攻击尝试），但同样的眩晕效果在喷火器使用者身上甚至无法阻止他们一个完整的回合（这一回合的前四次攻击会被眩晕效果抵消，但眩晕效果结束后第五次攻击会正常进行，下一回合也完全可用）。 火焰喷射器能帮助己方的眩晕者更快摆脱敌人的眩晕，以便重新开始执行自己的任务。 当面对纯输出队（没有眩晕）或纯眩晕队（通常在你被击杀前眩晕时间不够长）时，这一点影响较小，但在混合队中（眩晕者与输出爆发者混合，如 Pams 或 Adelaide）会起到关键作用，因为混合队能长时间眩晕你的队伍，为输出者充能爆发提供时间，因为对手队伍似乎会获得攻击优先级的提升，所以通常会优先眩晕你。</t>
  </si>
  <si>
    <r>
      <rPr>
        <sz val="11"/>
        <color theme="1"/>
        <rFont val="宋体"/>
        <charset val="134"/>
        <scheme val="minor"/>
      </rPr>
      <t>Huh</t>
    </r>
    <r>
      <rPr>
        <sz val="9"/>
        <color theme="1"/>
        <rFont val="微软雅黑"/>
        <charset val="134"/>
      </rPr>
      <t xml:space="preserve"> — </t>
    </r>
    <r>
      <rPr>
        <sz val="9"/>
        <color theme="1"/>
        <rFont val="微软雅黑"/>
        <charset val="134"/>
      </rPr>
      <t>2025/12/22 21:53</t>
    </r>
  </si>
  <si>
    <r>
      <rPr>
        <sz val="11"/>
        <color theme="1"/>
        <rFont val="宋体"/>
        <charset val="134"/>
        <scheme val="minor"/>
      </rPr>
      <t>Cobalt Giraffe ☠ Cumming Crusade</t>
    </r>
    <r>
      <rPr>
        <sz val="9"/>
        <color theme="1"/>
        <rFont val="微软雅黑"/>
        <charset val="134"/>
      </rPr>
      <t xml:space="preserve"> — 2025/12/22 21:54</t>
    </r>
  </si>
  <si>
    <t>1) 它有效 2) 它的效果和替代方案（用 Pamspam 击杀）差不多，而那些可能击败你的事情也会因为对手在攻击优先级上获得优势而击败 Pamspam 3) 这是“合作”选项。 如果你使用一个眩晕队伍：进攻时，你跑完计时器，你就赢了。你得分，对手什么都没失去。防守时，你跑完计时器，进攻者赢了。进攻者得分，你什么都没失去。每个人都赢了。 如果你使用击杀小队：攻击时，你击杀，你就赢。你得分，对手什么也得不到。防守时，你击杀攻击者，攻击者失去。攻击者失分，你什么也得不到。任何和你战斗并输掉的人现在处境更糟，但如果你运行眩晕小队或输掉，你也不会更好。 有些 folks 使用 Pamspam 的原因： 1) 如果你极度赶时间，以至于连倒计时剩余的一分钟都舍不得花，那么这样做会更快。 2) 单位更容易获得（Pams 是 2 稀有度保证的故事单位，stunlock 核心涉及史诗+宝箱冠军被 RNG 锁定） 3) 有些人可能真的想杀戮，或者也许故意想让其他人爬得更加困难。</t>
  </si>
  <si>
    <r>
      <rPr>
        <sz val="11"/>
        <color theme="1"/>
        <rFont val="宋体"/>
        <charset val="134"/>
        <scheme val="minor"/>
      </rPr>
      <t>Ya dad's dad</t>
    </r>
    <r>
      <rPr>
        <sz val="9"/>
        <color theme="1"/>
        <rFont val="微软雅黑"/>
        <charset val="134"/>
      </rPr>
      <t xml:space="preserve"> — </t>
    </r>
    <r>
      <rPr>
        <sz val="9"/>
        <color theme="1"/>
        <rFont val="微软雅黑"/>
        <charset val="134"/>
      </rPr>
      <t>2025/12/22 22:26</t>
    </r>
  </si>
  <si>
    <t>既然我们聊到这个话题，@Zathras 和可能还有 @Zathras 这周要打平手吗？</t>
  </si>
  <si>
    <r>
      <rPr>
        <sz val="11"/>
        <color theme="1"/>
        <rFont val="宋体"/>
        <charset val="134"/>
        <scheme val="minor"/>
      </rPr>
      <t>Mastersolum</t>
    </r>
    <r>
      <rPr>
        <sz val="9"/>
        <color theme="1"/>
        <rFont val="微软雅黑"/>
        <charset val="134"/>
      </rPr>
      <t xml:space="preserve"> — </t>
    </r>
    <r>
      <rPr>
        <sz val="9"/>
        <color theme="1"/>
        <rFont val="微软雅黑"/>
        <charset val="134"/>
      </rPr>
      <t>2025/12/22 23:15</t>
    </r>
  </si>
  <si>
    <t>哇，好的，感谢你的深入解释，很感谢！</t>
  </si>
  <si>
    <r>
      <rPr>
        <sz val="11"/>
        <color theme="1"/>
        <rFont val="宋体"/>
        <charset val="134"/>
        <scheme val="minor"/>
      </rPr>
      <t>Mastersolum</t>
    </r>
    <r>
      <rPr>
        <sz val="9"/>
        <color theme="1"/>
        <rFont val="微软雅黑"/>
        <charset val="134"/>
      </rPr>
      <t xml:space="preserve"> — </t>
    </r>
    <r>
      <rPr>
        <sz val="9"/>
        <color theme="1"/>
        <rFont val="微软雅黑"/>
        <charset val="134"/>
      </rPr>
      <t>2025/12/23 01:41</t>
    </r>
  </si>
  <si>
    <t>伙计们，我又有一个问题</t>
  </si>
  <si>
    <t>: 金适合用什么武器？</t>
  </si>
  <si>
    <t>在一个眩晕队中</t>
  </si>
  <si>
    <r>
      <rPr>
        <sz val="11"/>
        <color theme="1"/>
        <rFont val="宋体"/>
        <charset val="134"/>
        <scheme val="minor"/>
      </rPr>
      <t>Xtense | I paint with words</t>
    </r>
    <r>
      <rPr>
        <sz val="9"/>
        <color theme="1"/>
        <rFont val="微软雅黑"/>
        <charset val="134"/>
      </rPr>
      <t xml:space="preserve"> — </t>
    </r>
    <r>
      <rPr>
        <sz val="9"/>
        <color theme="1"/>
        <rFont val="微软雅黑"/>
        <charset val="134"/>
      </rPr>
      <t>2025/12/23 02:17</t>
    </r>
  </si>
  <si>
    <t>&gt;金适合用什么武器？</t>
  </si>
  <si>
    <r>
      <rPr>
        <sz val="11"/>
        <color theme="1"/>
        <rFont val="宋体"/>
        <charset val="134"/>
        <scheme val="minor"/>
      </rPr>
      <t>Nobody</t>
    </r>
    <r>
      <rPr>
        <b/>
        <sz val="0"/>
        <color theme="1"/>
        <rFont val="微软雅黑"/>
        <charset val="134"/>
      </rPr>
      <t> [ﬂame], </t>
    </r>
    <r>
      <rPr>
        <sz val="9"/>
        <color theme="1"/>
        <rFont val="微软雅黑"/>
        <charset val="134"/>
      </rPr>
      <t xml:space="preserve"> — </t>
    </r>
    <r>
      <rPr>
        <sz val="9"/>
        <color theme="1"/>
        <rFont val="微软雅黑"/>
        <charset val="134"/>
      </rPr>
      <t>2025/12/23 02:40</t>
    </r>
  </si>
  <si>
    <t>我使用弓箭，但我有一个混合队伍</t>
  </si>
  <si>
    <r>
      <rPr>
        <sz val="11"/>
        <color theme="1"/>
        <rFont val="宋体"/>
        <charset val="134"/>
        <scheme val="minor"/>
      </rPr>
      <t>Chimperilur</t>
    </r>
    <r>
      <rPr>
        <sz val="9"/>
        <color theme="1"/>
        <rFont val="微软雅黑"/>
        <charset val="134"/>
      </rPr>
      <t xml:space="preserve"> — </t>
    </r>
    <r>
      <rPr>
        <sz val="9"/>
        <color theme="1"/>
        <rFont val="微软雅黑"/>
        <charset val="134"/>
      </rPr>
      <t>2025/12/23 03:15</t>
    </r>
  </si>
  <si>
    <t>而且……游戏里真的有这种武器吗？</t>
  </si>
  <si>
    <t>@Jack @</t>
  </si>
  <si>
    <t>also...perfect timing on getting these opponents, game.</t>
  </si>
  <si>
    <r>
      <rPr>
        <sz val="11"/>
        <color theme="1"/>
        <rFont val="宋体"/>
        <charset val="134"/>
        <scheme val="minor"/>
      </rPr>
      <t>Ya dad's dad</t>
    </r>
    <r>
      <rPr>
        <sz val="9"/>
        <color theme="1"/>
        <rFont val="微软雅黑"/>
        <charset val="134"/>
      </rPr>
      <t xml:space="preserve"> — </t>
    </r>
    <r>
      <rPr>
        <sz val="9"/>
        <color theme="1"/>
        <rFont val="微软雅黑"/>
        <charset val="134"/>
      </rPr>
      <t>2025/12/23 03:57</t>
    </r>
  </si>
  <si>
    <t>对我来说没问题，只要破碎乐队的扎特拉斯也能好好玩（他们不会）</t>
  </si>
  <si>
    <r>
      <rPr>
        <sz val="11"/>
        <color theme="1"/>
        <rFont val="宋体"/>
        <charset val="134"/>
        <scheme val="minor"/>
      </rPr>
      <t>Jack</t>
    </r>
    <r>
      <rPr>
        <sz val="9"/>
        <color theme="1"/>
        <rFont val="微软雅黑"/>
        <charset val="134"/>
      </rPr>
      <t xml:space="preserve"> — </t>
    </r>
    <r>
      <rPr>
        <sz val="9"/>
        <color theme="1"/>
        <rFont val="微软雅黑"/>
        <charset val="134"/>
      </rPr>
      <t>2025/12/23 04:44</t>
    </r>
  </si>
  <si>
    <t>在 PVP 中，我给 Kim 装备一把锋利的砍刀。在 4 倍近战武器中，锋利的砍刀每攻击的伤害最高，并且护甲穿透力最佳。要激活她的特殊技能，Kim 需要七次 4 倍近战攻击（即在 1.5 个战斗回合的开始），这与她需要四次 2 倍近战攻击的时刻相同，因此无论选择哪种方式，速度都是一样的，但选择 4 倍攻击能让你更快地从眩晕中恢复。</t>
  </si>
  <si>
    <t>每当我执行高难度任务时，我的配置通常是黛安娜在前排，金在中间，玛利亚在后排。黛安娜是顶尖的坦克之一，金的眩晕能力最强，而玛利亚是最佳治疗者</t>
  </si>
  <si>
    <t>Based on the initial arena announcement, Minor League is shelter levels 6-15, Major League is 16-25, and Veteran League is everyone 26 and over. Once you cross one of those thresholds, you are immediately bumped up into the higher league, even if this occurs mid-arena season.</t>
  </si>
  <si>
    <t>根據最初的競技場公告，小聯盟的庇護等級為 6-15，大聯盟的庇護等級為 16-25，老兵聯盟的庇護等級為 26 歲及以上。一旦你跨過其中一個門檻，你就會立即晉升到更高的聯賽，即使這發生在競技場賽季中期。</t>
  </si>
  <si>
    <r>
      <rPr>
        <sz val="12"/>
        <color theme="1"/>
        <rFont val="微软雅黑"/>
        <charset val="134"/>
      </rPr>
      <t>Ya dad's dad</t>
    </r>
    <r>
      <rPr>
        <sz val="9"/>
        <color theme="1"/>
        <rFont val="微软雅黑"/>
        <charset val="134"/>
      </rPr>
      <t xml:space="preserve"> — </t>
    </r>
    <r>
      <rPr>
        <sz val="9"/>
        <color theme="1"/>
        <rFont val="微软雅黑"/>
        <charset val="134"/>
      </rPr>
      <t>2025/12/29 00:14</t>
    </r>
  </si>
  <si>
    <t>Single-target champs were never a match for the multi-hitters, but I believe this is due to dev oversight. In theory, we should be getting several weaker attacks distributed among the enemies, but in practice those attacks get massively buffed due to... something. So the meta gets borked.</t>
  </si>
  <si>
    <t>单体英雄从来不是多重攻击的对手，但我相信这是由于开发者的疏忽。理论上，我们应该在敌人身上分散几个较弱的攻击，但在实践中，由于某种原因，这些攻击被大幅强化。所以玩法模式变得混乱。</t>
  </si>
  <si>
    <r>
      <rPr>
        <sz val="12"/>
        <color theme="1"/>
        <rFont val="微软雅黑"/>
        <charset val="134"/>
      </rPr>
      <t>3132-fuck your numbers, jnt</t>
    </r>
    <r>
      <rPr>
        <sz val="9"/>
        <color theme="1"/>
        <rFont val="微软雅黑"/>
        <charset val="134"/>
      </rPr>
      <t xml:space="preserve"> — </t>
    </r>
    <r>
      <rPr>
        <sz val="9"/>
        <color theme="1"/>
        <rFont val="微软雅黑"/>
        <charset val="134"/>
      </rPr>
      <t>2025/12/29 01:08</t>
    </r>
  </si>
  <si>
    <t>it's the pierce nonsense</t>
  </si>
  <si>
    <t>这是穿透的胡闹</t>
  </si>
  <si>
    <t>it may have been fine back on chapter whatever when pams first came in but the higher the goddamn numbers go in the game, the stronger they become</t>
  </si>
  <si>
    <t>可能在某个章节刚开始，当 Pams 刚进来的时候还好，但是游戏里的数字越高，它们就越强</t>
  </si>
  <si>
    <t>champ damage and defense numbers have gone bonkers but are able to balance out</t>
  </si>
  <si>
    <t>英雄的攻防数值已经乱套了，但是能够平衡</t>
  </si>
  <si>
    <t>then when one of those numbers stop activating, everything goes to shit</t>
  </si>
  <si>
    <t>然后当其中一个数字停止生效时，一切都毁了</t>
  </si>
  <si>
    <r>
      <rPr>
        <sz val="12"/>
        <color rgb="FFF47FFF"/>
        <rFont val="微软雅黑"/>
        <charset val="134"/>
      </rPr>
      <t>Dick</t>
    </r>
    <r>
      <rPr>
        <sz val="9"/>
        <color theme="1"/>
        <rFont val="微软雅黑"/>
        <charset val="134"/>
      </rPr>
      <t xml:space="preserve"> — </t>
    </r>
    <r>
      <rPr>
        <sz val="9"/>
        <color theme="1"/>
        <rFont val="微软雅黑"/>
        <charset val="134"/>
      </rPr>
      <t>2025/12/29 01:17</t>
    </r>
  </si>
  <si>
    <t>What do you get in math when the denominator of a transfer function goes to zero?</t>
  </si>
  <si>
    <t>当传递函数的分母趋于零时，数学上会得到什么？</t>
  </si>
  <si>
    <t>You get the cause and explanation of every numerical error in the games thus far</t>
  </si>
  <si>
    <t>你获得了迄今为止游戏中所有数值错误的原因和解释</t>
  </si>
  <si>
    <r>
      <rPr>
        <sz val="12"/>
        <color theme="1"/>
        <rFont val="微软雅黑"/>
        <charset val="134"/>
      </rPr>
      <t>Jack</t>
    </r>
    <r>
      <rPr>
        <sz val="9"/>
        <color theme="1"/>
        <rFont val="微软雅黑"/>
        <charset val="134"/>
      </rPr>
      <t xml:space="preserve"> — </t>
    </r>
    <r>
      <rPr>
        <sz val="9"/>
        <color theme="1"/>
        <rFont val="微软雅黑"/>
        <charset val="134"/>
      </rPr>
      <t>2025/12/29 05:17</t>
    </r>
  </si>
  <si>
    <t>Slightly disagree. Emily/Gaia/Martina do far more damage with their single-target specials than Irma/Crazy/Pain/Liza/Sonia/Cloe/Rhode/etc can collectively muster with their multi-targeted wastes of time. Of course, the exceptions are Adelaide and the Pams, but the rest do follow the pattern you'd want.</t>
  </si>
  <si>
    <t>略有不同意。Emily/Gaia/Martina 的单体技能造成的伤害远大于 Irma/Crazy/Pain/Liza/Sonia/Cloe/Rhode 等人的多目标技能所能集合起来的时间浪费。当然，阿德莱德和帕姆们是例外，但其余的确实符合你期望的模式。</t>
  </si>
  <si>
    <r>
      <rPr>
        <sz val="12"/>
        <color theme="1"/>
        <rFont val="微软雅黑"/>
        <charset val="134"/>
      </rPr>
      <t>Shadow</t>
    </r>
    <r>
      <rPr>
        <sz val="9"/>
        <color theme="1"/>
        <rFont val="微软雅黑"/>
        <charset val="134"/>
      </rPr>
      <t xml:space="preserve"> — </t>
    </r>
    <r>
      <rPr>
        <sz val="9"/>
        <color theme="1"/>
        <rFont val="微软雅黑"/>
        <charset val="134"/>
      </rPr>
      <t>2025/12/31 23:10</t>
    </r>
  </si>
  <si>
    <r>
      <rPr>
        <sz val="12"/>
        <color theme="1"/>
        <rFont val="微软雅黑"/>
        <charset val="134"/>
      </rPr>
      <t xml:space="preserve">btw for Stunlock sisters you Guys mentioned that Flamethrower is the best weapon as it triggers the Skill faster for the Stun Champs does the </t>
    </r>
    <r>
      <rPr>
        <b/>
        <sz val="12"/>
        <color theme="1"/>
        <rFont val="微软雅黑"/>
        <charset val="134"/>
      </rPr>
      <t>Scorcher</t>
    </r>
    <r>
      <rPr>
        <sz val="12"/>
        <color theme="1"/>
        <rFont val="微软雅黑"/>
        <charset val="134"/>
      </rPr>
      <t xml:space="preserve"> Work too or only the Base</t>
    </r>
    <r>
      <rPr>
        <b/>
        <sz val="12"/>
        <color theme="1"/>
        <rFont val="微软雅黑"/>
        <charset val="134"/>
      </rPr>
      <t xml:space="preserve"> Flamethrower</t>
    </r>
  </si>
  <si>
    <t>顺便说一下，你们提到锁死姐妹中，火焰喷射器是最好的武器，因为它能更快地触发技能，对眩晕 Boss 更有效 Scorcher 也行吗，还是只有基础火焰喷射器</t>
  </si>
  <si>
    <r>
      <rPr>
        <sz val="12"/>
        <color theme="1"/>
        <rFont val="微软雅黑"/>
        <charset val="134"/>
      </rPr>
      <t>Chimperilur</t>
    </r>
    <r>
      <rPr>
        <sz val="9"/>
        <color theme="1"/>
        <rFont val="微软雅黑"/>
        <charset val="134"/>
      </rPr>
      <t xml:space="preserve"> — </t>
    </r>
    <r>
      <rPr>
        <sz val="9"/>
        <color theme="1"/>
        <rFont val="微软雅黑"/>
        <charset val="134"/>
      </rPr>
      <t>2025/12/31 23:34</t>
    </r>
  </si>
  <si>
    <t>we're doing 2260 this week on steam.</t>
  </si>
  <si>
    <t>我们这周在 Steam 上做 2260 分</t>
  </si>
  <si>
    <r>
      <rPr>
        <sz val="12"/>
        <color theme="1"/>
        <rFont val="微软雅黑"/>
        <charset val="134"/>
      </rPr>
      <t>Chimperilur</t>
    </r>
    <r>
      <rPr>
        <sz val="9"/>
        <color theme="1"/>
        <rFont val="微软雅黑"/>
        <charset val="134"/>
      </rPr>
      <t xml:space="preserve"> — </t>
    </r>
    <r>
      <rPr>
        <sz val="9"/>
        <color theme="1"/>
        <rFont val="微软雅黑"/>
        <charset val="134"/>
      </rPr>
      <t>2025/12/31 23:36</t>
    </r>
  </si>
  <si>
    <t>u gonna change nick to grief.vs.panzer.war?</t>
  </si>
  <si>
    <t>你 gonna 把昵称改成 grief.vs.panzer.war 吗？</t>
  </si>
  <si>
    <r>
      <rPr>
        <sz val="12"/>
        <color theme="1"/>
        <rFont val="微软雅黑"/>
        <charset val="134"/>
      </rPr>
      <t>Wang_Gor</t>
    </r>
    <r>
      <rPr>
        <sz val="9"/>
        <color theme="1"/>
        <rFont val="微软雅黑"/>
        <charset val="134"/>
      </rPr>
      <t xml:space="preserve"> — </t>
    </r>
    <r>
      <rPr>
        <sz val="9"/>
        <color theme="1"/>
        <rFont val="微软雅黑"/>
        <charset val="134"/>
      </rPr>
      <t>2026/1/1 00:07</t>
    </r>
  </si>
  <si>
    <t>im pretty sure u can figure out the answer</t>
  </si>
  <si>
    <t>我相当确定你能想出答案</t>
  </si>
  <si>
    <r>
      <rPr>
        <sz val="12"/>
        <color theme="1"/>
        <rFont val="微软雅黑"/>
        <charset val="134"/>
      </rPr>
      <t xml:space="preserve">NUTAKU PING LIST: </t>
    </r>
    <r>
      <rPr>
        <sz val="12"/>
        <color theme="1"/>
        <rFont val="微软雅黑"/>
        <charset val="134"/>
      </rPr>
      <t>@Nobody</t>
    </r>
    <r>
      <rPr>
        <sz val="12"/>
        <color theme="1"/>
        <rFont val="微软雅黑"/>
        <charset val="134"/>
      </rPr>
      <t xml:space="preserve"> </t>
    </r>
    <r>
      <rPr>
        <sz val="12"/>
        <color theme="1"/>
        <rFont val="微软雅黑"/>
        <charset val="134"/>
      </rPr>
      <t>@Pepe</t>
    </r>
    <r>
      <rPr>
        <sz val="12"/>
        <color theme="1"/>
        <rFont val="微软雅黑"/>
        <charset val="134"/>
      </rPr>
      <t xml:space="preserve"> </t>
    </r>
    <r>
      <rPr>
        <sz val="12"/>
        <color theme="1"/>
        <rFont val="微软雅黑"/>
        <charset val="134"/>
      </rPr>
      <t>@Taishigi</t>
    </r>
    <r>
      <rPr>
        <sz val="12"/>
        <color theme="1"/>
        <rFont val="微软雅黑"/>
        <charset val="134"/>
      </rPr>
      <t xml:space="preserve"> </t>
    </r>
    <r>
      <rPr>
        <sz val="12"/>
        <color theme="1"/>
        <rFont val="微软雅黑"/>
        <charset val="134"/>
      </rPr>
      <t>@Lewisito</t>
    </r>
    <r>
      <rPr>
        <sz val="12"/>
        <color theme="1"/>
        <rFont val="微软雅黑"/>
        <charset val="134"/>
      </rPr>
      <t xml:space="preserve"> </t>
    </r>
    <r>
      <rPr>
        <sz val="12"/>
        <color theme="1"/>
        <rFont val="微软雅黑"/>
        <charset val="134"/>
      </rPr>
      <t>@Cobalt Giraffe ☠ Cumming Crusade</t>
    </r>
    <r>
      <rPr>
        <sz val="12"/>
        <color theme="1"/>
        <rFont val="微软雅黑"/>
        <charset val="134"/>
      </rPr>
      <t xml:space="preserve"> </t>
    </r>
    <r>
      <rPr>
        <sz val="12"/>
        <color theme="1"/>
        <rFont val="微软雅黑"/>
        <charset val="134"/>
      </rPr>
      <t>@3132-fuck your numbers, jnt</t>
    </r>
    <r>
      <rPr>
        <sz val="12"/>
        <color theme="1"/>
        <rFont val="微软雅黑"/>
        <charset val="134"/>
      </rPr>
      <t xml:space="preserve"> </t>
    </r>
    <r>
      <rPr>
        <sz val="12"/>
        <color theme="1"/>
        <rFont val="微软雅黑"/>
        <charset val="134"/>
      </rPr>
      <t>@Wang_Gor</t>
    </r>
  </si>
  <si>
    <t>NUTAKU 排名列表：@Nobody @Pepe @Taishigi @Lewisito @Cobalt Giraffe ☠ Cumming Crusade @3132-fuck your numbers, jnt @Wang_Gor</t>
  </si>
  <si>
    <t>if anyone else needs adding to this tell me</t>
  </si>
  <si>
    <t>如果还有其他人需要添加到这个列表里，告诉我</t>
  </si>
  <si>
    <t>pretty sure the last few incidents of new ppl to the leaderboard are ppl coming up from lower brackets as their shelters finally upgraded</t>
  </si>
  <si>
    <t>我 pretty sure 最近几个新加入排行榜的人是来自低分段的人，因为他们的庇护所终于升级了</t>
  </si>
  <si>
    <r>
      <rPr>
        <sz val="12"/>
        <color theme="1"/>
        <rFont val="微软雅黑"/>
        <charset val="134"/>
      </rPr>
      <t>Mastersolum</t>
    </r>
    <r>
      <rPr>
        <sz val="9"/>
        <color theme="1"/>
        <rFont val="微软雅黑"/>
        <charset val="134"/>
      </rPr>
      <t xml:space="preserve"> — </t>
    </r>
    <r>
      <rPr>
        <sz val="9"/>
        <color theme="1"/>
        <rFont val="微软雅黑"/>
        <charset val="134"/>
      </rPr>
      <t>2026/1/6 04:57</t>
    </r>
  </si>
  <si>
    <t>Which weapons are better to put on the Pams? Scaling off A or W?</t>
  </si>
  <si>
    <t>哪些武器更适合放在 Pams 上？是 A 还是 W 的属性更好？</t>
  </si>
  <si>
    <r>
      <rPr>
        <sz val="12"/>
        <color theme="1"/>
        <rFont val="微软雅黑"/>
        <charset val="134"/>
      </rPr>
      <t>Jack</t>
    </r>
    <r>
      <rPr>
        <sz val="9"/>
        <color theme="1"/>
        <rFont val="微软雅黑"/>
        <charset val="134"/>
      </rPr>
      <t xml:space="preserve"> — </t>
    </r>
    <r>
      <rPr>
        <sz val="9"/>
        <color theme="1"/>
        <rFont val="微软雅黑"/>
        <charset val="134"/>
      </rPr>
      <t>2026/1/6 07:27</t>
    </r>
  </si>
  <si>
    <t>Pamone scales W, Pamtwo scales I.</t>
  </si>
  <si>
    <t>Pamone 按下 W 键，Pamtwo 按下 I 键。</t>
  </si>
  <si>
    <r>
      <rPr>
        <sz val="12"/>
        <color rgb="FFFF0000"/>
        <rFont val="微软雅黑"/>
        <charset val="134"/>
      </rPr>
      <t>Jack</t>
    </r>
    <r>
      <rPr>
        <sz val="9"/>
        <color rgb="FFFF0000"/>
        <rFont val="微软雅黑"/>
        <charset val="134"/>
      </rPr>
      <t xml:space="preserve"> — 2026/1/11 10:56</t>
    </r>
  </si>
  <si>
    <r>
      <rPr>
        <sz val="12"/>
        <color rgb="FFFF0000"/>
        <rFont val="微软雅黑"/>
        <charset val="134"/>
      </rPr>
      <t>Jack</t>
    </r>
    <r>
      <rPr>
        <sz val="9"/>
        <color rgb="FFFF0000"/>
        <rFont val="微软雅黑"/>
        <charset val="134"/>
      </rPr>
      <t xml:space="preserve"> — 2026/1/11 11:02</t>
    </r>
  </si>
  <si>
    <t>我的竞技场队伍一直是 XX、Kim 和 Judith，所以使用 XX 是个不错的选择（我后来用 CB-69 替换了她，CB 基本上做同样的事情，但更快，属性也更好）。XX/CB 的优势在于他们比 Kim/Judith/Pink 等角色更早释放技能，所以即使敌人有先手优势，你也可以在他们的眩晕效果生效前进行防御。</t>
  </si>
  <si>
    <r>
      <rPr>
        <sz val="12"/>
        <color rgb="FFFF0000"/>
        <rFont val="微软雅黑"/>
        <charset val="134"/>
      </rPr>
      <t>Mastersolum</t>
    </r>
    <r>
      <rPr>
        <sz val="9"/>
        <color rgb="FFFF0000"/>
        <rFont val="微软雅黑"/>
        <charset val="134"/>
      </rPr>
      <t xml:space="preserve"> — 2026/1/11 12:24</t>
    </r>
  </si>
  <si>
    <t>是的，谢谢，我现在意识到了。我从第 6 章跳到第 9 章真的很快，因为我太对故事感兴趣了，想知道接下来会发生什么，但在到达 9-7 之后我就停下来了。</t>
  </si>
  <si>
    <r>
      <rPr>
        <b/>
        <sz val="1"/>
        <color theme="1"/>
        <rFont val="微软雅黑"/>
        <charset val="134"/>
      </rPr>
      <t> [GW], </t>
    </r>
    <r>
      <rPr>
        <sz val="9"/>
        <color theme="1"/>
        <rFont val="微软雅黑"/>
        <charset val="134"/>
      </rPr>
      <t xml:space="preserve"> — </t>
    </r>
    <r>
      <rPr>
        <sz val="9"/>
        <color theme="1"/>
        <rFont val="微软雅黑"/>
        <charset val="134"/>
      </rPr>
      <t>2026/1/13 08:14</t>
    </r>
  </si>
  <si>
    <t>嘿各位，有个好奇的问题：你们角色的闪避率大概有多少？比如我这边是 30%和 33%，我好像有一次达到了 35%，但那是我最高纪录了。</t>
  </si>
  <si>
    <r>
      <rPr>
        <sz val="12"/>
        <color theme="1"/>
        <rFont val="微软雅黑"/>
        <charset val="134"/>
      </rPr>
      <t>Grief</t>
    </r>
    <r>
      <rPr>
        <sz val="9"/>
        <color theme="1"/>
        <rFont val="微软雅黑"/>
        <charset val="134"/>
      </rPr>
      <t xml:space="preserve"> — </t>
    </r>
    <r>
      <rPr>
        <sz val="9"/>
        <color theme="1"/>
        <rFont val="微软雅黑"/>
        <charset val="134"/>
      </rPr>
      <t>2026/1/13 08:34</t>
    </r>
  </si>
  <si>
    <t>45%（11 + 12 + 12 + 10）</t>
  </si>
  <si>
    <r>
      <rPr>
        <sz val="12"/>
        <color theme="1"/>
        <rFont val="微软雅黑"/>
        <charset val="134"/>
      </rPr>
      <t>Jack</t>
    </r>
    <r>
      <rPr>
        <sz val="9"/>
        <color theme="1"/>
        <rFont val="微软雅黑"/>
        <charset val="134"/>
      </rPr>
      <t xml:space="preserve"> — </t>
    </r>
    <r>
      <rPr>
        <sz val="9"/>
        <color theme="1"/>
        <rFont val="微软雅黑"/>
        <charset val="134"/>
      </rPr>
      <t>2026/1/13 08:54</t>
    </r>
  </si>
  <si>
    <t>从前往后：27%，17%，和 20%……显然，我从来没有重铸过……</t>
  </si>
  <si>
    <r>
      <rPr>
        <b/>
        <sz val="1"/>
        <color theme="1"/>
        <rFont val="微软雅黑"/>
        <charset val="134"/>
      </rPr>
      <t> [GW], </t>
    </r>
    <r>
      <rPr>
        <sz val="9"/>
        <color theme="1"/>
        <rFont val="微软雅黑"/>
        <charset val="134"/>
      </rPr>
      <t xml:space="preserve"> — </t>
    </r>
    <r>
      <rPr>
        <sz val="9"/>
        <color theme="1"/>
        <rFont val="微软雅黑"/>
        <charset val="134"/>
      </rPr>
      <t>2026/1/13 09:15</t>
    </r>
  </si>
  <si>
    <t>45 这相当不错，这几乎是 50%的闪避几率</t>
  </si>
  <si>
    <r>
      <rPr>
        <sz val="12"/>
        <color theme="1"/>
        <rFont val="微软雅黑"/>
        <charset val="134"/>
      </rPr>
      <t>Grief</t>
    </r>
    <r>
      <rPr>
        <sz val="9"/>
        <color theme="1"/>
        <rFont val="微软雅黑"/>
        <charset val="134"/>
      </rPr>
      <t xml:space="preserve"> — </t>
    </r>
    <r>
      <rPr>
        <sz val="9"/>
        <color theme="1"/>
        <rFont val="微软雅黑"/>
        <charset val="134"/>
      </rPr>
      <t>2026/1/13 09:23</t>
    </r>
  </si>
  <si>
    <t>我觉得我躲掉了一半以上，但不知道具体细节...</t>
  </si>
  <si>
    <t>我有一套军装底裤和最高级 90 级的上衣（目前能达到的最高等级）。它们看起来很不错。我装备在赛比尔身上，我现在正在用她进行 PVP 并提升她的等级。</t>
  </si>
  <si>
    <r>
      <rPr>
        <sz val="12"/>
        <color rgb="FFFF0000"/>
        <rFont val="微软雅黑"/>
        <charset val="134"/>
      </rPr>
      <t>Jack</t>
    </r>
    <r>
      <rPr>
        <sz val="9"/>
        <color rgb="FFFF0000"/>
        <rFont val="微软雅黑"/>
        <charset val="134"/>
      </rPr>
      <t xml:space="preserve"> — 2026/1/15 05:53</t>
    </r>
  </si>
  <si>
    <t>在我看来，军装底裤对 W 角色来说是最棒的。W 和 DEF 最高，F 和 U 并列第二最高，所以如果你优先考虑 W，那这就是最佳选择。</t>
  </si>
  <si>
    <r>
      <rPr>
        <sz val="12"/>
        <color rgb="FFFF0000"/>
        <rFont val="微软雅黑"/>
        <charset val="134"/>
      </rPr>
      <t>Jack</t>
    </r>
    <r>
      <rPr>
        <sz val="9"/>
        <color rgb="FFFF0000"/>
        <rFont val="微软雅黑"/>
        <charset val="134"/>
      </rPr>
      <t xml:space="preserve"> — 2026/1/15 05:59</t>
    </r>
  </si>
  <si>
    <t>XX 的祈祷是个更难的选择。W 是最好的，U 也是最好的，但它的好处被它处于最低可能的防御等级这一事实所抵消。我会把它稍微排在艾米丽的下属在 W 等级表之上。</t>
  </si>
  <si>
    <t>不过我可能会选择工作/短裤裤而不是 XX 的祈祷，因为裤子的 W 仍然很好，而且 F 和防御都比 XX 的强得多。</t>
  </si>
  <si>
    <t> [GW], </t>
  </si>
  <si>
    <r>
      <rPr>
        <sz val="12"/>
        <color rgb="FFFF0000"/>
        <rFont val="微软雅黑"/>
        <charset val="134"/>
      </rPr>
      <t>Jack</t>
    </r>
    <r>
      <rPr>
        <sz val="9"/>
        <color rgb="FFFF0000"/>
        <rFont val="微软雅黑"/>
        <charset val="134"/>
      </rPr>
      <t xml:space="preserve"> — 2026/1/18 12:12</t>
    </r>
  </si>
  <si>
    <t>大体上，我更倾向于顶装和底装。通过混搭，你可以为某个英雄搭配出比任何套装本身更优化的属性组合。例如，我给 Maria 装备高尔夫顶装和 Momoka 的底装，这两者组合起来防御力与休闲套装/领袖套装相同，但 F 值更高，这对她的治疗特殊技能来说非常重要。</t>
  </si>
  <si>
    <r>
      <rPr>
        <sz val="12"/>
        <color rgb="FFFF0000"/>
        <rFont val="微软雅黑"/>
        <charset val="134"/>
      </rPr>
      <t>Mastersolum</t>
    </r>
    <r>
      <rPr>
        <sz val="9"/>
        <color rgb="FFFF0000"/>
        <rFont val="微软雅黑"/>
        <charset val="134"/>
      </rPr>
      <t xml:space="preserve"> — 2026/1/18 14:14</t>
    </r>
  </si>
  <si>
    <t>玛利亚的治疗效果是否与她的智力属性成正比？</t>
  </si>
  <si>
    <r>
      <rPr>
        <sz val="12"/>
        <color rgb="FFFF0000"/>
        <rFont val="微软雅黑"/>
        <charset val="134"/>
      </rPr>
      <t>Jack</t>
    </r>
    <r>
      <rPr>
        <sz val="9"/>
        <color rgb="FFFF0000"/>
        <rFont val="微软雅黑"/>
        <charset val="134"/>
      </rPr>
      <t xml:space="preserve"> — 2026/1/18 15:09</t>
    </r>
  </si>
  <si>
    <t>严格来说是的，她的基础治疗量是智力值的 20%，但除此之外还会加上她最大生命值的 10%，而最大生命值受韧性属性控制。</t>
  </si>
  <si>
    <r>
      <rPr>
        <sz val="12"/>
        <color rgb="FFFF0000"/>
        <rFont val="微软雅黑"/>
        <charset val="134"/>
      </rPr>
      <t>Chimperilur</t>
    </r>
    <r>
      <rPr>
        <sz val="9"/>
        <color rgb="FFFF0000"/>
        <rFont val="微软雅黑"/>
        <charset val="134"/>
      </rPr>
      <t xml:space="preserve"> — 2026/1/18 16:48</t>
    </r>
  </si>
  <si>
    <t>超时计时器从战斗开始算起，为 1 分钟</t>
  </si>
  <si>
    <t>如果对手得分低于你的得分，则获得 10 分 如果对手得分与你的得分相同或比你高约 500 分，则获得 40 分 如果对手得分比你高 500 分以上，则获得 80 分 CR / 对手队伍的实力无关紧要，重要的是他们的得分，用于排名</t>
  </si>
  <si>
    <t>因为 PvP 的 CR（胜率）仅仅是你的三个英雄的 CR 之和。然而，CR 本身是有偏见的，因为计算过于偏重生命值和闪避率，而忽略了特殊技能和伤害。当然，你几乎不可能造成任何伤害，因为喷火器几乎不造成伤害……这就是我坚持使用武士刀和锋利的砍刀的原因……</t>
  </si>
  <si>
    <r>
      <rPr>
        <sz val="12"/>
        <color theme="1"/>
        <rFont val="微软雅黑"/>
        <charset val="134"/>
      </rPr>
      <t>Ya dad's dad</t>
    </r>
    <r>
      <rPr>
        <sz val="9"/>
        <color theme="1"/>
        <rFont val="微软雅黑"/>
        <charset val="134"/>
      </rPr>
      <t xml:space="preserve"> — </t>
    </r>
    <r>
      <rPr>
        <sz val="9"/>
        <color theme="1"/>
        <rFont val="微软雅黑"/>
        <charset val="134"/>
      </rPr>
      <t>2026/2/3 06:09</t>
    </r>
  </si>
  <si>
    <t>Yeah, I keep meaning to switch my Adelaide with another stunner, currently leveling my CB but can probably fit somebody else in the meantime</t>
  </si>
  <si>
    <t>是的，我一直想把我 Adelaide 换成一个更厉害的角色，目前我在练级我的 CB，但可能到时候能再安排别人</t>
  </si>
  <si>
    <t>Goes to show the better odds the defending team gets compared to when they're attacking</t>
  </si>
  <si>
    <t>这就说明，防守方的胜算比进攻方要大得多</t>
  </si>
  <si>
    <r>
      <rPr>
        <sz val="12"/>
        <color rgb="FFF47FFF"/>
        <rFont val="微软雅黑"/>
        <charset val="134"/>
      </rPr>
      <t>Dick</t>
    </r>
    <r>
      <rPr>
        <sz val="9"/>
        <color theme="1"/>
        <rFont val="微软雅黑"/>
        <charset val="134"/>
      </rPr>
      <t xml:space="preserve"> — </t>
    </r>
    <r>
      <rPr>
        <sz val="9"/>
        <color theme="1"/>
        <rFont val="微软雅黑"/>
        <charset val="134"/>
      </rPr>
      <t>2026/2/3 06:16</t>
    </r>
  </si>
  <si>
    <t>If they have high sword/knife damage it helps to have a lot of HP along with your dodge.</t>
  </si>
  <si>
    <t>如果他们的剑/刀伤害很高，那么你的生命值和闪避都需要很高。</t>
  </si>
  <si>
    <t>The bigger their A the harder you have to F them back</t>
  </si>
  <si>
    <t>他们 A 越大，你就越难把他们 F 回来</t>
  </si>
  <si>
    <r>
      <rPr>
        <sz val="12"/>
        <color theme="1"/>
        <rFont val="微软雅黑"/>
        <charset val="134"/>
      </rPr>
      <t>Wingman_1973</t>
    </r>
    <r>
      <rPr>
        <sz val="9"/>
        <color theme="1"/>
        <rFont val="微软雅黑"/>
        <charset val="134"/>
      </rPr>
      <t xml:space="preserve"> — </t>
    </r>
    <r>
      <rPr>
        <sz val="9"/>
        <color theme="1"/>
        <rFont val="微软雅黑"/>
        <charset val="134"/>
      </rPr>
      <t>2026/2/3 06:20</t>
    </r>
  </si>
  <si>
    <t>I have increased the Dodge stat as much as I can for my team. I can't lvl my team higher than 60 now because i do not have Adelaide yet.</t>
  </si>
  <si>
    <t>我已经为我的队伍尽可能提升了闪避属性。我现在无法将队伍等级提升到 60 级，因为我还没有获得阿德莱德。</t>
  </si>
  <si>
    <r>
      <rPr>
        <sz val="12"/>
        <color theme="1"/>
        <rFont val="微软雅黑"/>
        <charset val="134"/>
      </rPr>
      <t>Tatsumaki, the Mocking One</t>
    </r>
    <r>
      <rPr>
        <sz val="12"/>
        <color rgb="FFFFFFFF"/>
        <rFont val="微软雅黑"/>
        <charset val="134"/>
      </rPr>
      <t>APP</t>
    </r>
    <r>
      <rPr>
        <sz val="9"/>
        <color theme="1"/>
        <rFont val="微软雅黑"/>
        <charset val="134"/>
      </rPr>
      <t xml:space="preserve"> — </t>
    </r>
    <r>
      <rPr>
        <sz val="9"/>
        <color theme="1"/>
        <rFont val="微软雅黑"/>
        <charset val="134"/>
      </rPr>
      <t>2026/2/3 06:20</t>
    </r>
  </si>
  <si>
    <r>
      <rPr>
        <sz val="12"/>
        <color theme="1"/>
        <rFont val="微软雅黑"/>
        <charset val="134"/>
      </rPr>
      <t>@Wingman_1973</t>
    </r>
    <r>
      <rPr>
        <sz val="12"/>
        <color theme="1"/>
        <rFont val="微软雅黑"/>
        <charset val="134"/>
      </rPr>
      <t xml:space="preserve"> has leveled up! </t>
    </r>
    <r>
      <rPr>
        <b/>
        <sz val="12"/>
        <color theme="1"/>
        <rFont val="微软雅黑"/>
        <charset val="134"/>
      </rPr>
      <t>(1 ➜ 2)</t>
    </r>
  </si>
  <si>
    <t>@Wingman_1973 等级提升了！(1 ➜ 2)</t>
  </si>
  <si>
    <t>Feels like pay to win...</t>
  </si>
  <si>
    <t>感觉像是花钱就能赢...</t>
  </si>
  <si>
    <r>
      <rPr>
        <sz val="12"/>
        <color theme="1"/>
        <rFont val="微软雅黑"/>
        <charset val="134"/>
      </rPr>
      <t>Ya dad's dad</t>
    </r>
    <r>
      <rPr>
        <sz val="9"/>
        <color theme="1"/>
        <rFont val="微软雅黑"/>
        <charset val="134"/>
      </rPr>
      <t xml:space="preserve"> — </t>
    </r>
    <r>
      <rPr>
        <sz val="9"/>
        <color theme="1"/>
        <rFont val="微软雅黑"/>
        <charset val="134"/>
      </rPr>
      <t>2026/2/3 06:28</t>
    </r>
  </si>
  <si>
    <t>My team is optimized for production and could really do with a reroll for PVP purposes. U and A-centric Irma with a katana, A-centric Adelaide (metal production) with a katana, and Kim in the back with high U and a Scorcher due to being paired with Irma at the forge.</t>
  </si>
  <si>
    <t>我的队伍是为生产优化的，确实需要为 PVP 重新洗牌。以 U 和 A 为中心的伊尔玛使用武士刀，以 A 为中心的阿德莱德（金属生产）使用武士刀，金在后方，由于在锻造厂与伊尔玛配对，拥有高 U 和一台燃烧者。</t>
  </si>
  <si>
    <t>Sometimes I switch Adel with a F Pink or an I Lady Judith against slower nuking teams</t>
  </si>
  <si>
    <t>有时候我会用阿黛尔替换一个 F 粉红，或者用 I 女 Judith 对抗更慢的爆发队伍</t>
  </si>
  <si>
    <r>
      <rPr>
        <sz val="12"/>
        <color rgb="FFF47FFF"/>
        <rFont val="微软雅黑"/>
        <charset val="134"/>
      </rPr>
      <t>Dick</t>
    </r>
    <r>
      <rPr>
        <sz val="9"/>
        <color theme="1"/>
        <rFont val="微软雅黑"/>
        <charset val="134"/>
      </rPr>
      <t xml:space="preserve"> — </t>
    </r>
    <r>
      <rPr>
        <sz val="9"/>
        <color theme="1"/>
        <rFont val="微软雅黑"/>
        <charset val="134"/>
      </rPr>
      <t>2026/2/3 06:34</t>
    </r>
  </si>
  <si>
    <t>What's the advantage of I again? It seems like Judith's strongest stat is W by nature</t>
  </si>
  <si>
    <t>I 再次有什么优势？Judith 天生最强的属性似乎是 W</t>
  </si>
  <si>
    <r>
      <rPr>
        <sz val="12"/>
        <color theme="1"/>
        <rFont val="微软雅黑"/>
        <charset val="134"/>
      </rPr>
      <t>Ya dad's dad</t>
    </r>
    <r>
      <rPr>
        <sz val="9"/>
        <color theme="1"/>
        <rFont val="微软雅黑"/>
        <charset val="134"/>
      </rPr>
      <t xml:space="preserve"> — </t>
    </r>
    <r>
      <rPr>
        <sz val="9"/>
        <color theme="1"/>
        <rFont val="微软雅黑"/>
        <charset val="134"/>
      </rPr>
      <t>2026/2/3 06:36</t>
    </r>
  </si>
  <si>
    <t>Supposed to be Initiative with ranged weapons, but like I said, they're only optimized for the production rooms. Pink being for stone production, Judith for credits generation</t>
  </si>
  <si>
    <t>本应配备远程武器的先手单位，但正如我所说，它们仅针对生产房间进行了优化。粉色用于石材生产，朱迪斯用于信用点生成</t>
  </si>
  <si>
    <t>Sometimes I see stunlock teams wearing Frozen's outfits plus flamethrowers for high W and F</t>
  </si>
  <si>
    <t>有时候我会看到使用冻结套装和喷火器的锁控队，追求高 W 和 F</t>
  </si>
  <si>
    <r>
      <rPr>
        <sz val="12"/>
        <color rgb="FFF47FFF"/>
        <rFont val="微软雅黑"/>
        <charset val="134"/>
      </rPr>
      <t>Dick</t>
    </r>
    <r>
      <rPr>
        <sz val="9"/>
        <color theme="1"/>
        <rFont val="微软雅黑"/>
        <charset val="134"/>
      </rPr>
      <t xml:space="preserve"> — </t>
    </r>
    <r>
      <rPr>
        <sz val="9"/>
        <color theme="1"/>
        <rFont val="微软雅黑"/>
        <charset val="134"/>
      </rPr>
      <t>2026/2/3 06:40</t>
    </r>
  </si>
  <si>
    <t>I went for that but the flamethrowers lowered my CR too much</t>
  </si>
  <si>
    <t>我选了那个，但喷火器把我的 CR 降得太低了</t>
  </si>
  <si>
    <t>trade in a tiny bit of stunlock for a much greater intimitation factor</t>
  </si>
  <si>
    <t>用一点锁控换取极大的亲密因素</t>
  </si>
  <si>
    <t>Plus isn't flamethrowers increasing stun charge speed just a theory?</t>
  </si>
  <si>
    <t>难道加特林机枪增加眩晕充能速度只是个理论吗？</t>
  </si>
  <si>
    <r>
      <rPr>
        <sz val="12"/>
        <color theme="1"/>
        <rFont val="微软雅黑"/>
        <charset val="134"/>
      </rPr>
      <t>Jack</t>
    </r>
    <r>
      <rPr>
        <sz val="9"/>
        <color theme="1"/>
        <rFont val="微软雅黑"/>
        <charset val="134"/>
      </rPr>
      <t xml:space="preserve"> — </t>
    </r>
    <r>
      <rPr>
        <sz val="9"/>
        <color theme="1"/>
        <rFont val="微软雅黑"/>
        <charset val="134"/>
      </rPr>
      <t>2026/2/3 07:01</t>
    </r>
  </si>
  <si>
    <t>Judith's W and I are equal, and obviously neither impacts her special.</t>
  </si>
  <si>
    <t>Judith 的 W 和 I 是相等的，显然两者都不会影响她的特殊技能。</t>
  </si>
  <si>
    <r>
      <rPr>
        <sz val="12"/>
        <color rgb="FFF47FFF"/>
        <rFont val="微软雅黑"/>
        <charset val="134"/>
      </rPr>
      <t>Dick</t>
    </r>
    <r>
      <rPr>
        <sz val="9"/>
        <color theme="1"/>
        <rFont val="微软雅黑"/>
        <charset val="134"/>
      </rPr>
      <t xml:space="preserve"> — </t>
    </r>
    <r>
      <rPr>
        <sz val="9"/>
        <color theme="1"/>
        <rFont val="微软雅黑"/>
        <charset val="134"/>
      </rPr>
      <t>2026/2/3 07:02</t>
    </r>
  </si>
  <si>
    <t>what if her weapon uses W?</t>
  </si>
  <si>
    <t>如果她的武器使用 W 会怎样？</t>
  </si>
  <si>
    <r>
      <rPr>
        <sz val="12"/>
        <color theme="1"/>
        <rFont val="微软雅黑"/>
        <charset val="134"/>
      </rPr>
      <t>Jack</t>
    </r>
    <r>
      <rPr>
        <sz val="9"/>
        <color theme="1"/>
        <rFont val="微软雅黑"/>
        <charset val="134"/>
      </rPr>
      <t xml:space="preserve"> — </t>
    </r>
    <r>
      <rPr>
        <sz val="9"/>
        <color theme="1"/>
        <rFont val="微软雅黑"/>
        <charset val="134"/>
      </rPr>
      <t>2026/2/3 07:03</t>
    </r>
  </si>
  <si>
    <t>... then you should gear her around W to maximize damage, but her base stats for W and I are always going to be identical, so you could go either way.</t>
  </si>
  <si>
    <t>...那么你应该围绕 W 为她配置装备以最大化伤害，但她的 W 和 I 的基础属性始终是相同的，所以你可以选择任何一种方式。</t>
  </si>
  <si>
    <r>
      <rPr>
        <sz val="12"/>
        <color rgb="FFF47FFF"/>
        <rFont val="微软雅黑"/>
        <charset val="134"/>
      </rPr>
      <t>Dick</t>
    </r>
    <r>
      <rPr>
        <sz val="9"/>
        <color theme="1"/>
        <rFont val="微软雅黑"/>
        <charset val="134"/>
      </rPr>
      <t xml:space="preserve"> — </t>
    </r>
    <r>
      <rPr>
        <sz val="9"/>
        <color theme="1"/>
        <rFont val="微软雅黑"/>
        <charset val="134"/>
      </rPr>
      <t>2026/2/3 07:09</t>
    </r>
  </si>
  <si>
    <t>Lady W-death</t>
  </si>
  <si>
    <t>女士 W 死亡</t>
  </si>
  <si>
    <t>She is lacking in HP, even for an epic champ. Should she be in the backlines behind Kim and Sybil? Or does position not matter?</t>
  </si>
  <si>
    <t>她血量不足，即使是史诗级英雄也如此。她应该放在 Kim 和 Sybil 后面作为后排吗？还是位置不重要？</t>
  </si>
  <si>
    <r>
      <rPr>
        <sz val="12"/>
        <color theme="1"/>
        <rFont val="微软雅黑"/>
        <charset val="134"/>
      </rPr>
      <t>Jack</t>
    </r>
    <r>
      <rPr>
        <sz val="9"/>
        <color theme="1"/>
        <rFont val="微软雅黑"/>
        <charset val="134"/>
      </rPr>
      <t xml:space="preserve"> — </t>
    </r>
    <r>
      <rPr>
        <sz val="9"/>
        <color theme="1"/>
        <rFont val="微软雅黑"/>
        <charset val="134"/>
      </rPr>
      <t>2026/2/3 07:14</t>
    </r>
  </si>
  <si>
    <t>The champions have differing charge rates for specials, and those also load differently based on weapon type. For example, Kim needs seven 4x melee attacks to charge, but eight 4x ranged attacks. With either 2x melee or 2x ranged, she needs four hits, which is usually the equivalent of the seven 4x melee, but faster than the eight 4x ranged. With a 5x flamethrower, she needs eight bursts, which will slightly beat the other methods mentioned here under most circumstances, depending on initiative.</t>
  </si>
  <si>
    <t>英雄们的特殊技能充能速度不同，而且根据武器类型也不同。例如，Kim 需要七次 4 倍近战攻击来充能，但需要八次 4 倍远程攻击。无论是 2 倍近战还是 2 倍远程，她需要四次攻击，这通常相当于七次 4 倍近战，但比八次 4 倍远程更快。使用 5 倍喷火器时，她需要八次爆发，在大多数情况下，这会略胜于这里提到的其他方法，具体取决于先手权。</t>
  </si>
  <si>
    <t>That being said, I would never equip Kim with a flamethrower, since W is her worst stat and I like actually dealing damage.</t>
  </si>
  <si>
    <t>话虽如此，我永远不会给 Kim 装备喷火器，因为 W 是她最差的属性，而且我喜欢实际造成伤害。</t>
  </si>
  <si>
    <r>
      <rPr>
        <sz val="12"/>
        <color theme="1"/>
        <rFont val="微软雅黑"/>
        <charset val="134"/>
      </rPr>
      <t>Jack</t>
    </r>
    <r>
      <rPr>
        <sz val="9"/>
        <color theme="1"/>
        <rFont val="微软雅黑"/>
        <charset val="134"/>
      </rPr>
      <t xml:space="preserve"> — </t>
    </r>
    <r>
      <rPr>
        <sz val="9"/>
        <color theme="1"/>
        <rFont val="微软雅黑"/>
        <charset val="134"/>
      </rPr>
      <t>2026/2/3 07:18</t>
    </r>
  </si>
  <si>
    <t>Position matters when considering the weapons of the enemy. As long as all three of your fighters are still standing, melee weapons will always (and only) hit the champion in front, shotguns will hit the middle champion, and harpoon guns along with most of the other ranged weapons will only hit the rear girl.</t>
  </si>
  <si>
    <t>考虑敌人的武器时，位置很重要。只要你的三个战士都还站着，近战武器总是会（也只会）击中前面的英雄，霰弹枪会击中中间的英雄，而鱼叉枪和大多数其他远程武器只会击中后面的女孩。</t>
  </si>
  <si>
    <r>
      <rPr>
        <sz val="12"/>
        <color rgb="FFF47FFF"/>
        <rFont val="微软雅黑"/>
        <charset val="134"/>
      </rPr>
      <t>Dick</t>
    </r>
    <r>
      <rPr>
        <sz val="9"/>
        <color theme="1"/>
        <rFont val="微软雅黑"/>
        <charset val="134"/>
      </rPr>
      <t xml:space="preserve"> — </t>
    </r>
    <r>
      <rPr>
        <sz val="9"/>
        <color theme="1"/>
        <rFont val="微软雅黑"/>
        <charset val="134"/>
      </rPr>
      <t>2026/2/3 07:26</t>
    </r>
  </si>
  <si>
    <t>do flamethrowers hit all 3?</t>
  </si>
  <si>
    <t>喷火器能命中所有 3 个吗？</t>
  </si>
  <si>
    <r>
      <rPr>
        <sz val="12"/>
        <color theme="1"/>
        <rFont val="微软雅黑"/>
        <charset val="134"/>
      </rPr>
      <t>Jack</t>
    </r>
    <r>
      <rPr>
        <sz val="9"/>
        <color theme="1"/>
        <rFont val="微软雅黑"/>
        <charset val="134"/>
      </rPr>
      <t xml:space="preserve"> — </t>
    </r>
    <r>
      <rPr>
        <sz val="9"/>
        <color theme="1"/>
        <rFont val="微软雅黑"/>
        <charset val="134"/>
      </rPr>
      <t>2026/2/3 07:34</t>
    </r>
  </si>
  <si>
    <t>Just the front... had to run an experiment to remind myself, since it's been so long since I used a flamethrower...</t>
  </si>
  <si>
    <t>只有前面...因为很久没用喷火器了，不得不做个实验来提醒自己..</t>
  </si>
  <si>
    <r>
      <rPr>
        <sz val="12"/>
        <color rgb="FFFF0000"/>
        <rFont val="微软雅黑"/>
        <charset val="134"/>
      </rPr>
      <t>Tomas</t>
    </r>
    <r>
      <rPr>
        <sz val="9"/>
        <color rgb="FFFF0000"/>
        <rFont val="微软雅黑"/>
        <charset val="134"/>
      </rPr>
      <t xml:space="preserve"> — 2026/3/8 04:47</t>
    </r>
  </si>
  <si>
    <t>Hello I wanted to ask fho is the best healer in the game I ment best healing skill. Is it Perl?</t>
  </si>
  <si>
    <t>你好，我想问一下游戏中最好的治疗职业是谁，我指的是治疗能力最强的。是珀尔吗？</t>
  </si>
  <si>
    <r>
      <rPr>
        <sz val="12"/>
        <color rgb="FFFF0000"/>
        <rFont val="微软雅黑"/>
        <charset val="134"/>
      </rPr>
      <t>ObsidianNovadragon780</t>
    </r>
    <r>
      <rPr>
        <sz val="9"/>
        <color rgb="FFFF0000"/>
        <rFont val="微软雅黑"/>
        <charset val="134"/>
      </rPr>
      <t xml:space="preserve"> — 2026/3/8 05:08</t>
    </r>
  </si>
  <si>
    <t>Dunno, all of them are useful, they just have different utilities stacked with it. Andrea is good for strong amounts of healing, while other healers apply different buffs and different amounts of healing.</t>
  </si>
  <si>
    <t>不知道，它们都有用，只是附加的用途不同。Andrea 擅长强力治疗，而其他治疗者则提供不同的增益效果和不同量的治疗。</t>
  </si>
  <si>
    <t>It'd most likely be best to simply try them out and see which ones work best with the team setups you use.</t>
  </si>
  <si>
    <t>最好的办法还是亲自试试，看看哪种与你的团队配置最搭配。</t>
  </si>
  <si>
    <t>Granted in the PvP arena it is a bit different since all forms of healing get severely nerfed.</t>
  </si>
  <si>
    <t>当然，在 PvP 竞技场中情况有所不同，因为所有形式的治疗都会被大幅削弱。</t>
  </si>
  <si>
    <r>
      <rPr>
        <sz val="12"/>
        <color rgb="FFFF0000"/>
        <rFont val="微软雅黑"/>
        <charset val="134"/>
      </rPr>
      <t>wandmaster69</t>
    </r>
    <r>
      <rPr>
        <sz val="9"/>
        <color rgb="FFFF0000"/>
        <rFont val="微软雅黑"/>
        <charset val="134"/>
      </rPr>
      <t xml:space="preserve"> — 2026/3/8 07:11</t>
    </r>
  </si>
  <si>
    <t>Healing wise Andrea is great till you get much higher and considering you get her at the start, I'd say she is the "best". For all my time playing, I used her the most. But if you want a good healer later on for missions higher up, I took Maria as replacement for Andrea.</t>
  </si>
  <si>
    <t>在治疗方面，Andrea 非常出色，直到你达到很高的等级。考虑到你一开始就能获得她，我认为她是“最佳”的。在我玩的所有时间里，我使用她最多。但如果你想在后期任务中需要一个好的治疗者，我选择了 Maria 来替代 Andrea。</t>
  </si>
  <si>
    <t>But now looking at Pearl, she might be best stat wise, I just didn't have her at that point.</t>
  </si>
  <si>
    <t>但现在看看珍珠，她可能在属性上最好，我只是那时没有她。</t>
  </si>
  <si>
    <r>
      <rPr>
        <sz val="12"/>
        <color rgb="FFFF0000"/>
        <rFont val="微软雅黑"/>
        <charset val="134"/>
      </rPr>
      <t>cougarshamn</t>
    </r>
    <r>
      <rPr>
        <sz val="9"/>
        <color rgb="FFFF0000"/>
        <rFont val="微软雅黑"/>
        <charset val="134"/>
      </rPr>
      <t xml:space="preserve"> — 2026/3/8 10:49</t>
    </r>
  </si>
  <si>
    <t>the best healer is You, with a stockpile of 5k ELDI</t>
  </si>
  <si>
    <t>最好的治疗者是您，拥有 5000 ELDI 的储备</t>
  </si>
  <si>
    <r>
      <rPr>
        <sz val="12"/>
        <color rgb="FFFF0000"/>
        <rFont val="微软雅黑"/>
        <charset val="134"/>
      </rPr>
      <t>cougarshamn</t>
    </r>
    <r>
      <rPr>
        <sz val="9"/>
        <color rgb="FFFF0000"/>
        <rFont val="微软雅黑"/>
        <charset val="134"/>
      </rPr>
      <t xml:space="preserve"> — 2026/3/8 10:57</t>
    </r>
  </si>
  <si>
    <t>and, since you're asking in the PVP channel, healers are useless in PVP. Anything other than direct damage skills or stuns are useless.</t>
  </si>
  <si>
    <t>而且，既然你在 PVP 频道提问，治疗者在 PVP 中是无用的。除了直接伤害技能或眩晕技能之外，其他都是无用的。</t>
  </si>
  <si>
    <r>
      <rPr>
        <sz val="12"/>
        <color rgb="FFFF0000"/>
        <rFont val="微软雅黑"/>
        <charset val="134"/>
      </rPr>
      <t>ObsidianNovadragon780</t>
    </r>
    <r>
      <rPr>
        <sz val="9"/>
        <color rgb="FFFF0000"/>
        <rFont val="微软雅黑"/>
        <charset val="134"/>
      </rPr>
      <t xml:space="preserve"> — 2026/3/8 11:03</t>
    </r>
  </si>
  <si>
    <t>Healing is not entirely useless, remember that some champions have skills that heal them by default while still dealing damage or stunning targets.</t>
  </si>
  <si>
    <t>治疗并非完全无用，记住有些英雄拥有默认能治疗自身同时还能对目标造成伤害或眩晕的技能。</t>
  </si>
  <si>
    <t>Guinevere, Milena and Carmilla are examples, there are other characters as well.</t>
  </si>
  <si>
    <t>吉妮薇儿、米莱娜和卡米拉是例子，还有其他角色。</t>
  </si>
  <si>
    <t>Either way stuns could use a bit of work when it comes to PvP since it is to easy to make a stun-lock build making any other team virtually useless.</t>
  </si>
  <si>
    <t>无论如何，在 PvP 中眩晕机制确实需要改进，因为很容易就能做出一个眩晕锁定的构建，使得任何其他队伍几乎毫无作用。</t>
  </si>
  <si>
    <r>
      <rPr>
        <sz val="12"/>
        <color rgb="FFFF0000"/>
        <rFont val="微软雅黑"/>
        <charset val="134"/>
      </rPr>
      <t>cougarshamn</t>
    </r>
    <r>
      <rPr>
        <sz val="9"/>
        <color rgb="FFFF0000"/>
        <rFont val="微软雅黑"/>
        <charset val="134"/>
      </rPr>
      <t xml:space="preserve"> — 2026/3/8 11:15</t>
    </r>
  </si>
  <si>
    <t>girls that are stunned don't heal... girls that have been obliterated by pamspam don't heal...</t>
  </si>
  <si>
    <t>被眩晕的女孩不会治疗...被帕姆爆发流摧毁的女孩不会治疗...</t>
  </si>
  <si>
    <r>
      <rPr>
        <sz val="12"/>
        <color rgb="FFFF0000"/>
        <rFont val="微软雅黑"/>
        <charset val="134"/>
      </rPr>
      <t>Ya dad's dad</t>
    </r>
    <r>
      <rPr>
        <sz val="9"/>
        <color rgb="FFFF0000"/>
        <rFont val="微软雅黑"/>
        <charset val="134"/>
      </rPr>
      <t xml:space="preserve"> — 2026/3/8 11:29</t>
    </r>
  </si>
  <si>
    <t>There's been a few times where downed enemy champions still somehow managed to squeeze out one last skill before hitting the ground. Haven't lost a match over zombieskilling yet, but who knows</t>
  </si>
  <si>
    <t>有几次，倒地的敌方英雄仍然设法在落地前挤出一个技能。到目前为止还没有因为僵尸杀（Zombie Kill）输掉比赛，但谁知道呢。</t>
  </si>
  <si>
    <r>
      <rPr>
        <sz val="12"/>
        <color rgb="FFFF0000"/>
        <rFont val="微软雅黑"/>
        <charset val="134"/>
      </rPr>
      <t>ObsidianNovadragon780</t>
    </r>
    <r>
      <rPr>
        <sz val="9"/>
        <color rgb="FFFF0000"/>
        <rFont val="微软雅黑"/>
        <charset val="134"/>
      </rPr>
      <t xml:space="preserve"> — 2026/3/8 11:43</t>
    </r>
  </si>
  <si>
    <t>For one thing, the Pam clones are broken so it is an unfair comparison. Second that is inaccurate, being stunned does not prevent them from being healed, they just can't heal themselves if their skill allows them to heal themselves since they can't use it while they are stunned. Also keep in mind that some skills activate much faster than others. For example the skills from Trixxie, XX and Guinevere are some of the fastest in the game, whereas Eleanor's ability is one of the slowest.</t>
  </si>
  <si>
    <t>首先，Pam 的克隆体是有问题的，所以这并不是一个公平的比较。其次，这个说法不准确，被眩晕并不能阻止他们被治疗，只是如果他们的技能允许他们自我治疗，那么在眩晕状态下他们无法使用该技能进行自我治疗。 另外也要记住，有些技能的激活速度比其他技能快得多。例如，Trixxie、XX 和 Guinevere 的技能是游戏中速度最快的之一，而 Eleanor 的能力则是速度最慢的之一。</t>
  </si>
  <si>
    <r>
      <rPr>
        <sz val="12"/>
        <color rgb="FFFF0000"/>
        <rFont val="微软雅黑"/>
        <charset val="134"/>
      </rPr>
      <t>cougarshamn</t>
    </r>
    <r>
      <rPr>
        <sz val="9"/>
        <color rgb="FFFF0000"/>
        <rFont val="微软雅黑"/>
        <charset val="134"/>
      </rPr>
      <t xml:space="preserve"> — 2026/3/8 11:54</t>
    </r>
  </si>
  <si>
    <t>that the pamspam is broken is irrelevant. It's the way the game currently works, right or wrong. Until the devs choose to change it, it's the way things are. The only way to combat it is to stunlock them so they never fire off their skill. And.. it's hard to ignore the fact that if everyone used stunlock, everyone would win all the time. Stunlock and Pamspam are the only really effective strategies in PvP as things are currently.</t>
  </si>
  <si>
    <t>帕姆爆发流出问题无关紧要。这是游戏当前运作的方式，对错不论。直到开发者决定改变它，这就是现状。对抗它的唯一方法就是用定身让他们无法释放技能。而且...很难忽视的事实是，如果每个人都用定身，那么所有人都会一直赢。在当前 PvP 环境下，定身和帕姆爆发流是唯一真正有效的策略。</t>
  </si>
  <si>
    <r>
      <rPr>
        <sz val="12"/>
        <color rgb="FFFF0000"/>
        <rFont val="微软雅黑"/>
        <charset val="134"/>
      </rPr>
      <t>cougarshamn</t>
    </r>
    <r>
      <rPr>
        <sz val="9"/>
        <color rgb="FFFF0000"/>
        <rFont val="微软雅黑"/>
        <charset val="134"/>
      </rPr>
      <t xml:space="preserve"> — 2026/3/8 12:05</t>
    </r>
  </si>
  <si>
    <t>as things are now, there are really only 3 outcomes when I fight. 1 my Kim fires off before your girls. My Jessica fires off before your stun wears off, and my Sybil fires off her stun. This repeats until the fight times out, giving me a win. 2 Your Kim fires off before mine, and your other stunners keep me locked down until the fight times out, or I get off a stun and lock you down and the fight times out, giving me a win. 3 Your Kim fires off before mine, stunning me until your Adelaide one shots my whole team, giving me a defeat. No other skill from any other girl has any noticeable impact to change these results.</t>
  </si>
  <si>
    <t>目前情况下，我战斗时真的只有三种结果。 1 我的 Kim 在你们的女孩之前先出手。我的 Jessica 在你们的眩晕效果消失之前先出手，然后我的 Sybil 施放眩晕。如此循环直到战斗时间结束，我获胜。 2 你们的 Kim 在我之前先出手，你们其他的眩晕者一直压制我直到战斗时间结束，或者我成功施放眩晕并将你们压制住直到战斗时间结束，我获胜。 3 你们的 Kim 在我之前先出手，眩晕了我直到你们的 Adelaide 一击秒杀我的整个队伍，我战败。 其他任何女孩的技能都没有明显的影响来改变这些结果。</t>
  </si>
  <si>
    <r>
      <rPr>
        <sz val="12"/>
        <color rgb="FFFF0000"/>
        <rFont val="微软雅黑"/>
        <charset val="134"/>
      </rPr>
      <t>ObsidianNovadragon780</t>
    </r>
    <r>
      <rPr>
        <sz val="9"/>
        <color rgb="FFFF0000"/>
        <rFont val="微软雅黑"/>
        <charset val="134"/>
      </rPr>
      <t xml:space="preserve"> — 2026/3/8 12:37</t>
    </r>
  </si>
  <si>
    <t>Generic meta teams are really boring regardless.</t>
  </si>
  <si>
    <t>通用的元团队真的很无聊。</t>
  </si>
  <si>
    <t>至于卡琳，她的治疗能力基于坚韧，所以你想要用所有装备给她堆高坚韧，如果你想把她当坦克用的话，还需要堆高实用性和防御力……而你应该这么做。她的 A 技能和 W 技能是相同的，所以我围绕 A 技能来构建她，因为那条分支上通常有更多高坚韧和高实用性的选择。我特意给她装备了重管，因为它在 A、F 和 U 方面的属性是第二高的</t>
  </si>
  <si>
    <t>据说 W 和 I 能增加先手，应该让你更快眩晕，但在实际中，非同小可的敌人总会先手。你最好还是集中精力在闪避和血量上。</t>
  </si>
  <si>
    <t>主动性显然是 W+A，而不是 I，尽管 I 在一定程度上有影响，但仅限于远程攻击。</t>
  </si>
  <si>
    <t>好吧，赛比尔确实太慢了，无法取代朱迪斯</t>
  </si>
  <si>
    <t>我会尝试用赛比尔替换粉红，因为我不认为粉红施法很快，毕竟她也是一个传奇角色，而赛比尔可以眩晕两回合而不是只有一回合，所以或许值得尝试。此外，赛比尔还能提升自己的伤害，这很棒，但我不确定这是否比粉红降低敌人防御更好，但我对眩晕能力更感兴趣。</t>
  </si>
  <si>
    <t>我使用朱迪斯、金和西比尔。这对我来说似乎有效，因为西比尔在朱迪斯的眩晕效果消失时就会施法。所以一旦她们被控住，就会一直被控住</t>
  </si>
  <si>
    <t>这就是我判断她明显比朱迪慢的原因，而我一直在浪费时间并消耗信任代币在赛比尔身上</t>
  </si>
  <si>
    <t>低伤害武器的作用不是故意不杀死对手，而是帮助你生存。无论通过消灭敌方团队还是拖垮时间来获胜，胜利的效果都是一样的（胜利者获得积分，失败者完全不受影响）。喷火器特别适用于定身团队，因为 1）它们提供了不错的生存能力属性（耐力用于生命值，实用技能用于防御），2）它们每回合战斗命中 5 次。</t>
  </si>
  <si>
    <t>5 次命中的特性有两个好处。第一是，不知出于什么原因，它们似乎技能充能速度稍快（理论上，2、3、4 和 5 次命中武器每回合战斗都应该充能相同数量的技能，只是将充能分配到命中次数上，但我们过去进行了一些粗略测试后，发现 5 次命中者充能速度似乎稍快）。如果你在充能一个进攻技能，这自然伴随着伤害较低的代价，因为喷火器不擅长造成高额伤害，但对于一个减益/定身技能来说，这完全是积极的，允许你更快、更频繁地定身，帮助你更长时间地存活。</t>
  </si>
  <si>
    <t>第二个原因是它可以帮助你的队伍更快地从敌人的眩晕效果中恢复。增益效果和减益效果声称持续 X 回合，但真正意思是它们持续受影响单位 X 次自动攻击尝试，而不是战斗回合（战斗被分为回合，每个英雄在每个回合中根据武器指定释放多次自动攻击，攻击顺序取决于属性）。所以一个 2 回合的增益效果会在一轮战斗中增强武士刀的两个强力攻击，但同样的增益效果在喷火器上只会增强喷火器在相同时间内进行的 5 次小攻击中的前两次。减益效果也是如此：一个 4 回合的眩晕效果会使使用 2 回合武器（武士刀、大锤等）的玩家在两轮完整的战斗中无法行动（每轮有 2 次攻击尝试，共 4 次攻击尝试），但同样的眩晕效果在喷火器使用者身上甚至无法阻止他们一个完整的回合（这一回合的前四次攻击会被眩晕效果抵消，但眩晕效果结束后第五次攻击会正常进行，下一回合也完全可用）。  火焰喷射器能帮助己方的眩晕者更快摆脱敌人的眩晕，以便重新开始执行自己的任务。  当面对纯输出队（没有眩晕）或纯眩晕队（通常在你被击杀前眩晕时间不够长）时，这一点影响较小，但在混合队中（眩晕者与输出爆发者混合，如帕姆爆发流或阿德莱德）会起到关键作用，因为混合队能长时间眩晕你的队伍，以便输出者充能释放爆发技能，因为对手队伍似乎会获得攻击优先级的提升，所以通常会优先眩晕你</t>
  </si>
  <si>
    <t>只有两个队伍实际上在高水平运作：帕姆爆发流和锁死姐妹</t>
  </si>
  <si>
    <t>但每个人都讨厌帕姆爆发流</t>
  </si>
  <si>
    <t>如果你在乎 PvP，这些是优先的英雄</t>
  </si>
  <si>
    <t>诚然，帕姆爆发流不需要运气就能获得，所以如果你是新手玩家，或许有理由使用那个</t>
  </si>
  <si>
    <t>我通常在远征任务中使用绿色和蓝色的多重伤害装备。所以除了 GOAT 卡琳，我的帕姆爆发流、丽莎、索尼亚和凯瑟琳（目前）都在远征。</t>
  </si>
  <si>
    <t>我通常在探险时使用 XX、安、索菲、安德拉，以及装备等级最高的人，这样我就不会消耗太多 eldi他们越能通过技能自我治疗，你就越不需要带着他们</t>
  </si>
  <si>
    <t xml:space="preserve">可顺利刷取的任务有 4-4、4-5、9-7、11-11 </t>
  </si>
  <si>
    <t>PamSpam = PAMone &amp; PAMtwo</t>
  </si>
  <si>
    <t>notlaura = adelaine</t>
  </si>
  <si>
    <t>notchell = Chelsea?</t>
  </si>
  <si>
    <t>kim and judith has flamers, pink has an axe cos she works at treasury</t>
  </si>
  <si>
    <t>版本答案已经稳定为纯粹的垃圾堆：</t>
  </si>
  <si>
    <t>步骤 3：获得更多票数，每周让所有人都获得第一名的最大奖励</t>
  </si>
  <si>
    <t>步骤 4：盈利！！！</t>
  </si>
  <si>
    <t>不同的英雄有不同的技能加载速度，而武器类型则进一步复杂化了问题。例如，Tess 在用近战 x4 武器攻击 5 次后会释放她的特殊技能，而 Lady Judith 则需要用同样的近战 x4 武器攻击 8 次来充能。然而，如果装备了远程 x4 武器，Judith 就需要 9 次攻击。</t>
  </si>
  <si>
    <t>stunlock sisters team is kim, judith, pink with flamethrowers for fastest skill uses. spike team is the pams and liza or notlaracroft with katanas for max deeps</t>
  </si>
  <si>
    <t>锁死姐妹队是 kim，judith，pink，使用火焰喷射器以最快技能使用速度。尖刺队是帕姆爆发流和 liza 或 notlaracroft，使用武士刀以最大化深度</t>
  </si>
  <si>
    <t>El Patito（黄色名字）的防御力比普通鸭（白色名字）更强，敏捷/坚韧/暴击/闪避都相同，所以总体胜出。生日蛋糕（黄色）是智力型英雄的最佳装备</t>
  </si>
  <si>
    <t>另外也要记住，有些技能的激活速度比其他技能快得多。例如，Trixxie、XX 和 Guinevere 的技能是游戏中速度最快的之一，而 Eleanor 的能力则是速度最慢的之一</t>
  </si>
  <si>
    <t>SMGs/Blaster 等都是黄色命名的限定道具。这些道具主要只能通过付费购买获得，但偶尔会在商店的免费奖励中看到。有些其他黄色道具（如 El Patito/Amorous Bow 等）会频繁地出现在特定任务的掉落中（抱歉，没记录是哪些任务）。然后还有那些极其稀有的白色命名道具（Deepcut Top、Deepcut Skirt、Fringed Top、Stripped Vest、Dress to Rugs、Unknown's Favor 等很多很多）这些道具永远不会在宝箱中出现，但可以通过探险或任务获得。</t>
  </si>
  <si>
    <r>
      <rPr>
        <b/>
        <sz val="11"/>
        <color rgb="FF1F1F1F"/>
        <rFont val="Arial"/>
        <charset val="134"/>
      </rPr>
      <t>意志组</t>
    </r>
    <r>
      <rPr>
        <sz val="11"/>
        <color rgb="FF1F1F1F"/>
        <rFont val="Arial"/>
        <charset val="134"/>
      </rPr>
      <t xml:space="preserve"> (Olivia, Allura, Emily, Diana, Karin, Martina, Devi, Samantha, Lane, Trixie)</t>
    </r>
  </si>
  <si>
    <r>
      <rPr>
        <b/>
        <sz val="11"/>
        <color rgb="FF1F1F1F"/>
        <rFont val="宋体"/>
        <charset val="134"/>
      </rPr>
      <t>精巧上衣</t>
    </r>
    <r>
      <rPr>
        <b/>
        <sz val="11"/>
        <color rgb="FF1F1F1F"/>
        <rFont val="Arial"/>
        <charset val="134"/>
      </rPr>
      <t xml:space="preserve"> (Exquisite Top)</t>
    </r>
    <r>
      <rPr>
        <sz val="11"/>
        <color rgb="FF1F1F1F"/>
        <rFont val="Arial"/>
        <charset val="134"/>
      </rPr>
      <t xml:space="preserve"> &amp; </t>
    </r>
    <r>
      <rPr>
        <b/>
        <sz val="11"/>
        <color rgb="FF1F1F1F"/>
        <rFont val="宋体"/>
        <charset val="134"/>
      </rPr>
      <t>霓虹灯底部</t>
    </r>
    <r>
      <rPr>
        <b/>
        <sz val="11"/>
        <color rgb="FF1F1F1F"/>
        <rFont val="Arial"/>
        <charset val="134"/>
      </rPr>
      <t xml:space="preserve"> (Neon Bottom)</t>
    </r>
  </si>
  <si>
    <t>装备类型</t>
  </si>
  <si>
    <t>装备名称 (CN/EN)</t>
  </si>
  <si>
    <t>5级属性 (Grade 5 Stats)</t>
  </si>
  <si>
    <t>推荐理由</t>
  </si>
  <si>
    <t>武器</t>
  </si>
  <si>
    <t>刺客型角色毕业武器</t>
  </si>
  <si>
    <t>F (坚韧), U (实用)</t>
  </si>
  <si>
    <t>坦克位唯一选择，双5级生存属性</t>
  </si>
  <si>
    <t>连衣裙</t>
  </si>
  <si>
    <t>埃莉诺·塞特 (Eleanor Set)</t>
  </si>
  <si>
    <t>坦克毕业服饰，单件提供极高防御</t>
  </si>
  <si>
    <t>阿德莱德的舒适 (Adelaide's Comfort)</t>
  </si>
  <si>
    <t>I (智力), U (实用)</t>
  </si>
  <si>
    <t>治疗位/研究室工人最佳选择</t>
  </si>
  <si>
    <t>上衣</t>
  </si>
  <si>
    <t>野蛮人上衣 (Barbarian Top)</t>
  </si>
  <si>
    <t>A (敏捷), F (坚韧)</t>
  </si>
  <si>
    <t>兼顾输出与生存的近战神装</t>
  </si>
  <si>
    <t>底部</t>
  </si>
  <si>
    <t>霓虹灯底部 (Neon Bottom)</t>
  </si>
  <si>
    <t>纯智力输出/技能缩放核心</t>
  </si>
  <si>
    <t>饰品</t>
  </si>
  <si>
    <t>5级敏捷成长，极限堆A必备</t>
  </si>
  <si>
    <t>远程DPS的核心饰品</t>
  </si>
  <si>
    <t>对于拥有两个以上“最佳属性”的角色（如 Lady Judith W, I），建议优先选择 连衣裙 (Dresses)，因为其单一属性在传奇等级最高可达 78点，比分开升级上衣和裤子更省资源。</t>
  </si>
  <si>
    <t>Army Colonel</t>
  </si>
  <si>
    <t>Exquisite Top</t>
  </si>
  <si>
    <t>Neon Bottom</t>
  </si>
  <si>
    <t>Mechanic Top</t>
  </si>
  <si>
    <t>Mechanic Skirt</t>
  </si>
  <si>
    <t>Dominance</t>
  </si>
  <si>
    <t>角色</t>
  </si>
  <si>
    <t>阶段</t>
  </si>
  <si>
    <t>最优解</t>
  </si>
  <si>
    <r>
      <rPr>
        <sz val="11"/>
        <color rgb="FF1F1F1F"/>
        <rFont val="Arial"/>
        <charset val="134"/>
      </rPr>
      <t xml:space="preserve">1 </t>
    </r>
    <r>
      <rPr>
        <sz val="11"/>
        <color rgb="FF1F1F1F"/>
        <rFont val="宋体"/>
        <charset val="134"/>
      </rPr>
      <t>个肛塞</t>
    </r>
    <r>
      <rPr>
        <sz val="11"/>
        <color rgb="FF1F1F1F"/>
        <rFont val="Arial"/>
        <charset val="134"/>
      </rPr>
      <t xml:space="preserve"> + 1 </t>
    </r>
    <r>
      <rPr>
        <sz val="11"/>
        <color rgb="FF1F1F1F"/>
        <rFont val="宋体"/>
        <charset val="134"/>
      </rPr>
      <t>个拉珠</t>
    </r>
  </si>
  <si>
    <t>成功避开稀缺的巧克力。</t>
  </si>
  <si>
    <t>建议开始顺序： 按照表中的 TRIXIE -&gt; MARTINA -&gt; ASHLEY 顺序点，这三个人的场景最丰富，且正好用掉你最多的库存！</t>
  </si>
  <si>
    <r>
      <rPr>
        <sz val="11"/>
        <color rgb="FF1F1F1F"/>
        <rFont val="Arial"/>
        <charset val="134"/>
      </rPr>
      <t xml:space="preserve">2 </t>
    </r>
    <r>
      <rPr>
        <sz val="11"/>
        <color rgb="FF1F1F1F"/>
        <rFont val="宋体"/>
        <charset val="134"/>
      </rPr>
      <t>个蜡烛</t>
    </r>
    <r>
      <rPr>
        <sz val="11"/>
        <color rgb="FF1F1F1F"/>
        <rFont val="Arial"/>
        <charset val="134"/>
      </rPr>
      <t xml:space="preserve"> + 2 </t>
    </r>
    <r>
      <rPr>
        <sz val="11"/>
        <color rgb="FF1F1F1F"/>
        <rFont val="宋体"/>
        <charset val="134"/>
      </rPr>
      <t>本色情杂志</t>
    </r>
  </si>
  <si>
    <t>消耗的都是你库存快爆满的富余物资，非常划算。</t>
  </si>
  <si>
    <t>在按照这份规划表执行的过程中，为了防止后续章节因为道具错配而卡关，你在日常操作和后续游玩时，整体需要特别注意以下 4 个核心原则：</t>
  </si>
  <si>
    <r>
      <rPr>
        <sz val="11"/>
        <color rgb="FF1F1F1F"/>
        <rFont val="Arial"/>
        <charset val="134"/>
      </rPr>
      <t xml:space="preserve">3 </t>
    </r>
    <r>
      <rPr>
        <sz val="11"/>
        <color rgb="FF1F1F1F"/>
        <rFont val="宋体"/>
        <charset val="134"/>
      </rPr>
      <t>个糖果</t>
    </r>
    <r>
      <rPr>
        <sz val="11"/>
        <color rgb="FF1F1F1F"/>
        <rFont val="Arial"/>
        <charset val="134"/>
      </rPr>
      <t xml:space="preserve"> + 3 </t>
    </r>
    <r>
      <rPr>
        <sz val="11"/>
        <color rgb="FF1F1F1F"/>
        <rFont val="宋体"/>
        <charset val="134"/>
      </rPr>
      <t>朵玫瑰</t>
    </r>
  </si>
  <si>
    <r>
      <rPr>
        <sz val="11"/>
        <color rgb="FF1F1F1F"/>
        <rFont val="宋体"/>
        <charset val="134"/>
      </rPr>
      <t>绝不选</t>
    </r>
    <r>
      <rPr>
        <sz val="11"/>
        <color rgb="FF1F1F1F"/>
        <rFont val="Arial"/>
        <charset val="134"/>
      </rPr>
      <t xml:space="preserve"> 3 </t>
    </r>
    <r>
      <rPr>
        <sz val="11"/>
        <color rgb="FF1F1F1F"/>
        <rFont val="宋体"/>
        <charset val="134"/>
      </rPr>
      <t>个蛋糕</t>
    </r>
    <r>
      <rPr>
        <sz val="11"/>
        <color rgb="FF1F1F1F"/>
        <rFont val="Arial"/>
        <charset val="134"/>
      </rPr>
      <t xml:space="preserve"> + 3 </t>
    </r>
    <r>
      <rPr>
        <sz val="11"/>
        <color rgb="FF1F1F1F"/>
        <rFont val="宋体"/>
        <charset val="134"/>
      </rPr>
      <t>个拉珠的路线，死守住蛋糕库存。</t>
    </r>
  </si>
  <si>
    <t>1. 严格死守“红色警戒”物资（蛋糕、耳环）</t>
  </si>
  <si>
    <r>
      <rPr>
        <sz val="11"/>
        <color rgb="FF1F1F1F"/>
        <rFont val="Arial"/>
        <charset val="134"/>
      </rPr>
      <t xml:space="preserve">2 </t>
    </r>
    <r>
      <rPr>
        <sz val="11"/>
        <color rgb="FF1F1F1F"/>
        <rFont val="宋体"/>
        <charset val="134"/>
      </rPr>
      <t>个蛋糕</t>
    </r>
    <r>
      <rPr>
        <sz val="11"/>
        <color rgb="FF1F1F1F"/>
        <rFont val="Arial"/>
        <charset val="134"/>
      </rPr>
      <t xml:space="preserve"> + 2 </t>
    </r>
    <r>
      <rPr>
        <sz val="11"/>
        <color rgb="FF1F1F1F"/>
        <rFont val="宋体"/>
        <charset val="134"/>
      </rPr>
      <t>个拉珠</t>
    </r>
  </si>
  <si>
    <r>
      <rPr>
        <i/>
        <sz val="11"/>
        <color rgb="FF1F1F1F"/>
        <rFont val="宋体"/>
        <charset val="134"/>
      </rPr>
      <t>无法避开</t>
    </r>
    <r>
      <rPr>
        <sz val="11"/>
        <color rgb="FF1F1F1F"/>
        <rFont val="宋体"/>
        <charset val="134"/>
      </rPr>
      <t>。硬性条件，必须消耗</t>
    </r>
    <r>
      <rPr>
        <sz val="11"/>
        <color rgb="FF1F1F1F"/>
        <rFont val="Arial"/>
        <charset val="134"/>
      </rPr>
      <t xml:space="preserve"> 2 </t>
    </r>
    <r>
      <rPr>
        <sz val="11"/>
        <color rgb="FF1F1F1F"/>
        <rFont val="宋体"/>
        <charset val="134"/>
      </rPr>
      <t>个蛋糕。</t>
    </r>
  </si>
  <si>
    <r>
      <rPr>
        <sz val="11"/>
        <color rgb="FF1F1F1F"/>
        <rFont val="Arial"/>
        <charset val="134"/>
      </rPr>
      <t xml:space="preserve">3 </t>
    </r>
    <r>
      <rPr>
        <sz val="11"/>
        <color rgb="FF1F1F1F"/>
        <rFont val="宋体"/>
        <charset val="134"/>
      </rPr>
      <t>本爱经</t>
    </r>
    <r>
      <rPr>
        <sz val="11"/>
        <color rgb="FF1F1F1F"/>
        <rFont val="Arial"/>
        <charset val="134"/>
      </rPr>
      <t xml:space="preserve"> + 3 </t>
    </r>
    <r>
      <rPr>
        <sz val="11"/>
        <color rgb="FF1F1F1F"/>
        <rFont val="宋体"/>
        <charset val="134"/>
      </rPr>
      <t>个耳环</t>
    </r>
  </si>
  <si>
    <r>
      <rPr>
        <i/>
        <sz val="11"/>
        <color rgb="FF1F1F1F"/>
        <rFont val="宋体"/>
        <charset val="134"/>
      </rPr>
      <t>无法避开</t>
    </r>
    <r>
      <rPr>
        <sz val="11"/>
        <color rgb="FF1F1F1F"/>
        <rFont val="宋体"/>
        <charset val="134"/>
      </rPr>
      <t>。硬性条件，保住了手铐和花束，但必须给</t>
    </r>
    <r>
      <rPr>
        <sz val="11"/>
        <color rgb="FF1F1F1F"/>
        <rFont val="Arial"/>
        <charset val="134"/>
      </rPr>
      <t xml:space="preserve"> 3 </t>
    </r>
    <r>
      <rPr>
        <sz val="11"/>
        <color rgb="FF1F1F1F"/>
        <rFont val="宋体"/>
        <charset val="134"/>
      </rPr>
      <t>个耳环。</t>
    </r>
  </si>
  <si>
    <t>现状：你的蛋糕 (28) 和耳环 (29) 是全仓库数量最少的。</t>
  </si>
  <si>
    <r>
      <rPr>
        <sz val="11"/>
        <color rgb="FF1F1F1F"/>
        <rFont val="Arial"/>
        <charset val="134"/>
      </rPr>
      <t xml:space="preserve">4 </t>
    </r>
    <r>
      <rPr>
        <sz val="11"/>
        <color rgb="FF1F1F1F"/>
        <rFont val="宋体"/>
        <charset val="134"/>
      </rPr>
      <t>个蜡烛</t>
    </r>
    <r>
      <rPr>
        <sz val="11"/>
        <color rgb="FF1F1F1F"/>
        <rFont val="Arial"/>
        <charset val="134"/>
      </rPr>
      <t xml:space="preserve"> + 4 </t>
    </r>
    <r>
      <rPr>
        <sz val="11"/>
        <color rgb="FF1F1F1F"/>
        <rFont val="宋体"/>
        <charset val="134"/>
      </rPr>
      <t>个肛塞</t>
    </r>
  </si>
  <si>
    <r>
      <rPr>
        <sz val="11"/>
        <color rgb="FF1F1F1F"/>
        <rFont val="宋体"/>
        <charset val="134"/>
      </rPr>
      <t>千万不要选</t>
    </r>
    <r>
      <rPr>
        <sz val="11"/>
        <color rgb="FF1F1F1F"/>
        <rFont val="Arial"/>
        <charset val="134"/>
      </rPr>
      <t xml:space="preserve"> 4 </t>
    </r>
    <r>
      <rPr>
        <sz val="11"/>
        <color rgb="FF1F1F1F"/>
        <rFont val="宋体"/>
        <charset val="134"/>
      </rPr>
      <t>个拉珠的路线，拉珠要留给后面更需要的关卡。</t>
    </r>
  </si>
  <si>
    <r>
      <rPr>
        <sz val="11"/>
        <color rgb="FF1F1F1F"/>
        <rFont val="Arial"/>
        <charset val="134"/>
      </rPr>
      <t xml:space="preserve">1 </t>
    </r>
    <r>
      <rPr>
        <sz val="11"/>
        <color rgb="FF1F1F1F"/>
        <rFont val="宋体"/>
        <charset val="134"/>
      </rPr>
      <t>本爱经</t>
    </r>
    <r>
      <rPr>
        <sz val="11"/>
        <color rgb="FF1F1F1F"/>
        <rFont val="Arial"/>
        <charset val="134"/>
      </rPr>
      <t xml:space="preserve"> + 2 </t>
    </r>
    <r>
      <rPr>
        <sz val="11"/>
        <color rgb="FF1F1F1F"/>
        <rFont val="宋体"/>
        <charset val="134"/>
      </rPr>
      <t>个耳环</t>
    </r>
  </si>
  <si>
    <r>
      <rPr>
        <i/>
        <sz val="11"/>
        <color rgb="FF1F1F1F"/>
        <rFont val="宋体"/>
        <charset val="134"/>
      </rPr>
      <t>无法避开</t>
    </r>
    <r>
      <rPr>
        <sz val="11"/>
        <color rgb="FF1F1F1F"/>
        <rFont val="宋体"/>
        <charset val="134"/>
      </rPr>
      <t>。虽然要</t>
    </r>
    <r>
      <rPr>
        <sz val="11"/>
        <color rgb="FF1F1F1F"/>
        <rFont val="Arial"/>
        <charset val="134"/>
      </rPr>
      <t>2</t>
    </r>
    <r>
      <rPr>
        <sz val="11"/>
        <color rgb="FF1F1F1F"/>
        <rFont val="宋体"/>
        <charset val="134"/>
      </rPr>
      <t>个耳环很痛，但比消耗</t>
    </r>
    <r>
      <rPr>
        <sz val="11"/>
        <color rgb="FF1F1F1F"/>
        <rFont val="Arial"/>
        <charset val="134"/>
      </rPr>
      <t>2</t>
    </r>
    <r>
      <rPr>
        <sz val="11"/>
        <color rgb="FF1F1F1F"/>
        <rFont val="宋体"/>
        <charset val="134"/>
      </rPr>
      <t>个蛋糕（</t>
    </r>
    <r>
      <rPr>
        <sz val="11"/>
        <color rgb="FF1F1F1F"/>
        <rFont val="Arial"/>
        <charset val="134"/>
      </rPr>
      <t>Cake</t>
    </r>
    <r>
      <rPr>
        <sz val="11"/>
        <color rgb="FF1F1F1F"/>
        <rFont val="宋体"/>
        <charset val="134"/>
      </rPr>
      <t>）更划算。</t>
    </r>
  </si>
  <si>
    <t>注意点：游戏进行到中后期（尤其是第三章往后），很多新角色的选项会变得非常恶心。只要在游戏中看到分叉路线（Or）里有“蛋糕”或“耳环”，哪怕另一条路线需要的道具数量更多，也必须果断放弃蛋糕/耳环路线。它们必须留给无法规避的硬性主线关卡。</t>
  </si>
  <si>
    <r>
      <rPr>
        <sz val="11"/>
        <color rgb="FF1F1F1F"/>
        <rFont val="Arial"/>
        <charset val="134"/>
      </rPr>
      <t xml:space="preserve">2 </t>
    </r>
    <r>
      <rPr>
        <sz val="11"/>
        <color rgb="FF1F1F1F"/>
        <rFont val="宋体"/>
        <charset val="134"/>
      </rPr>
      <t>个花束</t>
    </r>
    <r>
      <rPr>
        <sz val="11"/>
        <color rgb="FF1F1F1F"/>
        <rFont val="Arial"/>
        <charset val="134"/>
      </rPr>
      <t xml:space="preserve"> + 3 </t>
    </r>
    <r>
      <rPr>
        <sz val="11"/>
        <color rgb="FF1F1F1F"/>
        <rFont val="宋体"/>
        <charset val="134"/>
      </rPr>
      <t>瓶迷情药水</t>
    </r>
  </si>
  <si>
    <r>
      <rPr>
        <sz val="11"/>
        <color rgb="FF1F1F1F"/>
        <rFont val="宋体"/>
        <charset val="134"/>
      </rPr>
      <t>成功保护了</t>
    </r>
    <r>
      <rPr>
        <sz val="11"/>
        <color rgb="FF1F1F1F"/>
        <rFont val="Arial"/>
        <charset val="134"/>
      </rPr>
      <t xml:space="preserve"> 3 </t>
    </r>
    <r>
      <rPr>
        <sz val="11"/>
        <color rgb="FF1F1F1F"/>
        <rFont val="宋体"/>
        <charset val="134"/>
      </rPr>
      <t>个位置尴尬的巧克力消耗。</t>
    </r>
  </si>
  <si>
    <r>
      <rPr>
        <sz val="11"/>
        <color rgb="FF1F1F1F"/>
        <rFont val="Arial"/>
        <charset val="134"/>
      </rPr>
      <t xml:space="preserve">3 </t>
    </r>
    <r>
      <rPr>
        <sz val="11"/>
        <color rgb="FF1F1F1F"/>
        <rFont val="宋体"/>
        <charset val="134"/>
      </rPr>
      <t>个蜡烛</t>
    </r>
    <r>
      <rPr>
        <sz val="11"/>
        <color rgb="FF1F1F1F"/>
        <rFont val="Arial"/>
        <charset val="134"/>
      </rPr>
      <t xml:space="preserve"> + 4 </t>
    </r>
    <r>
      <rPr>
        <sz val="11"/>
        <color rgb="FF1F1F1F"/>
        <rFont val="宋体"/>
        <charset val="134"/>
      </rPr>
      <t>本色情杂志</t>
    </r>
  </si>
  <si>
    <r>
      <rPr>
        <sz val="11"/>
        <color rgb="FF1F1F1F"/>
        <rFont val="宋体"/>
        <charset val="134"/>
      </rPr>
      <t>纯消耗溢出物资！完美避开</t>
    </r>
    <r>
      <rPr>
        <sz val="11"/>
        <color rgb="FF1F1F1F"/>
        <rFont val="Arial"/>
        <charset val="134"/>
      </rPr>
      <t xml:space="preserve"> 3 </t>
    </r>
    <r>
      <rPr>
        <sz val="11"/>
        <color rgb="FF1F1F1F"/>
        <rFont val="宋体"/>
        <charset val="134"/>
      </rPr>
      <t>个高价值耳环。</t>
    </r>
  </si>
  <si>
    <t>2. 优先倾倒“爆仓”物资（香水、拉珠、杂志、手铐）</t>
  </si>
  <si>
    <r>
      <rPr>
        <sz val="11"/>
        <color rgb="FF1F1F1F"/>
        <rFont val="Arial"/>
        <charset val="134"/>
      </rPr>
      <t xml:space="preserve">1 </t>
    </r>
    <r>
      <rPr>
        <sz val="11"/>
        <color rgb="FF1F1F1F"/>
        <rFont val="宋体"/>
        <charset val="134"/>
      </rPr>
      <t>本爱经</t>
    </r>
    <r>
      <rPr>
        <sz val="11"/>
        <color rgb="FF1F1F1F"/>
        <rFont val="Arial"/>
        <charset val="134"/>
      </rPr>
      <t xml:space="preserve"> + 1 </t>
    </r>
    <r>
      <rPr>
        <sz val="11"/>
        <color rgb="FF1F1F1F"/>
        <rFont val="宋体"/>
        <charset val="134"/>
      </rPr>
      <t>个手铐</t>
    </r>
  </si>
  <si>
    <t>成功省下巧克力盒子。</t>
  </si>
  <si>
    <r>
      <rPr>
        <sz val="11"/>
        <color rgb="FF1F1F1F"/>
        <rFont val="Arial"/>
        <charset val="134"/>
      </rPr>
      <t xml:space="preserve">2 </t>
    </r>
    <r>
      <rPr>
        <sz val="11"/>
        <color rgb="FF1F1F1F"/>
        <rFont val="宋体"/>
        <charset val="134"/>
      </rPr>
      <t>瓶香水</t>
    </r>
  </si>
  <si>
    <r>
      <rPr>
        <i/>
        <sz val="11"/>
        <color rgb="FF1F1F1F"/>
        <rFont val="宋体"/>
        <charset val="134"/>
      </rPr>
      <t>第</t>
    </r>
    <r>
      <rPr>
        <i/>
        <sz val="11"/>
        <color rgb="FF1F1F1F"/>
        <rFont val="Arial"/>
        <charset val="134"/>
      </rPr>
      <t>2</t>
    </r>
    <r>
      <rPr>
        <i/>
        <sz val="11"/>
        <color rgb="FF1F1F1F"/>
        <rFont val="宋体"/>
        <charset val="134"/>
      </rPr>
      <t>阶段免道具已过滤</t>
    </r>
    <r>
      <rPr>
        <sz val="11"/>
        <color rgb="FF1F1F1F"/>
        <rFont val="宋体"/>
        <charset val="134"/>
      </rPr>
      <t>。用香水最不心疼。</t>
    </r>
  </si>
  <si>
    <t>现状：你的香水 (60)、拉珠 (48)、色情杂志 (47)、手铐 (46) 数量多到溢出。</t>
  </si>
  <si>
    <r>
      <rPr>
        <sz val="11"/>
        <color rgb="FF1F1F1F"/>
        <rFont val="Arial"/>
        <charset val="134"/>
      </rPr>
      <t xml:space="preserve">1 </t>
    </r>
    <r>
      <rPr>
        <sz val="11"/>
        <color rgb="FF1F1F1F"/>
        <rFont val="宋体"/>
        <charset val="134"/>
      </rPr>
      <t>本爱经</t>
    </r>
    <r>
      <rPr>
        <sz val="11"/>
        <color rgb="FF1F1F1F"/>
        <rFont val="Arial"/>
        <charset val="134"/>
      </rPr>
      <t xml:space="preserve"> + 1 </t>
    </r>
    <r>
      <rPr>
        <sz val="11"/>
        <color rgb="FF1F1F1F"/>
        <rFont val="宋体"/>
        <charset val="134"/>
      </rPr>
      <t>个肛塞</t>
    </r>
  </si>
  <si>
    <r>
      <rPr>
        <sz val="11"/>
        <color rgb="FF1F1F1F"/>
        <rFont val="宋体"/>
        <charset val="134"/>
      </rPr>
      <t>成功省下</t>
    </r>
    <r>
      <rPr>
        <sz val="11"/>
        <color rgb="FF1F1F1F"/>
        <rFont val="Arial"/>
        <charset val="134"/>
      </rPr>
      <t xml:space="preserve"> 1 </t>
    </r>
    <r>
      <rPr>
        <sz val="11"/>
        <color rgb="FF1F1F1F"/>
        <rFont val="宋体"/>
        <charset val="134"/>
      </rPr>
      <t>个巧克力盒。</t>
    </r>
  </si>
  <si>
    <r>
      <rPr>
        <sz val="11"/>
        <color rgb="FF1F1F1F"/>
        <rFont val="Arial"/>
        <charset val="134"/>
      </rPr>
      <t xml:space="preserve">2 </t>
    </r>
    <r>
      <rPr>
        <sz val="11"/>
        <color rgb="FF1F1F1F"/>
        <rFont val="宋体"/>
        <charset val="134"/>
      </rPr>
      <t>个手铐</t>
    </r>
    <r>
      <rPr>
        <sz val="11"/>
        <color rgb="FF1F1F1F"/>
        <rFont val="Arial"/>
        <charset val="134"/>
      </rPr>
      <t xml:space="preserve"> + 2 </t>
    </r>
    <r>
      <rPr>
        <sz val="11"/>
        <color rgb="FF1F1F1F"/>
        <rFont val="宋体"/>
        <charset val="134"/>
      </rPr>
      <t>个拉珠</t>
    </r>
  </si>
  <si>
    <t>纯消耗富余库存，省下了肛塞和玫瑰。</t>
  </si>
  <si>
    <t>注意点：在日常的随机事件、临时任务或者表格之外的新角色升级中，只要看到需要这四样东西，不需要有任何心理负担，无脑交出去即可。把它们当作日常的“炮灰物资”来消耗，可以有效保护你的中游资产。</t>
  </si>
  <si>
    <r>
      <rPr>
        <sz val="11"/>
        <color rgb="FF1F1F1F"/>
        <rFont val="Arial"/>
        <charset val="134"/>
      </rPr>
      <t xml:space="preserve">3 </t>
    </r>
    <r>
      <rPr>
        <sz val="11"/>
        <color rgb="FF1F1F1F"/>
        <rFont val="宋体"/>
        <charset val="134"/>
      </rPr>
      <t>本爱经</t>
    </r>
    <r>
      <rPr>
        <sz val="11"/>
        <color rgb="FF1F1F1F"/>
        <rFont val="Arial"/>
        <charset val="134"/>
      </rPr>
      <t xml:space="preserve"> + 3 </t>
    </r>
    <r>
      <rPr>
        <sz val="11"/>
        <color rgb="FF1F1F1F"/>
        <rFont val="宋体"/>
        <charset val="134"/>
      </rPr>
      <t>本色情杂志</t>
    </r>
  </si>
  <si>
    <r>
      <rPr>
        <sz val="11"/>
        <color rgb="FF1F1F1F"/>
        <rFont val="宋体"/>
        <charset val="134"/>
      </rPr>
      <t>绝对不要选</t>
    </r>
    <r>
      <rPr>
        <sz val="11"/>
        <color rgb="FF1F1F1F"/>
        <rFont val="Arial"/>
        <charset val="134"/>
      </rPr>
      <t xml:space="preserve"> 3 </t>
    </r>
    <r>
      <rPr>
        <sz val="11"/>
        <color rgb="FF1F1F1F"/>
        <rFont val="宋体"/>
        <charset val="134"/>
      </rPr>
      <t>个蛋糕</t>
    </r>
    <r>
      <rPr>
        <sz val="11"/>
        <color rgb="FF1F1F1F"/>
        <rFont val="Arial"/>
        <charset val="134"/>
      </rPr>
      <t xml:space="preserve"> + 3 </t>
    </r>
    <r>
      <rPr>
        <sz val="11"/>
        <color rgb="FF1F1F1F"/>
        <rFont val="宋体"/>
        <charset val="134"/>
      </rPr>
      <t>个巧克力的自杀式路线！</t>
    </r>
  </si>
  <si>
    <r>
      <rPr>
        <sz val="11"/>
        <color rgb="FF1F1F1F"/>
        <rFont val="Arial"/>
        <charset val="134"/>
      </rPr>
      <t xml:space="preserve">1 </t>
    </r>
    <r>
      <rPr>
        <sz val="11"/>
        <color rgb="FF1F1F1F"/>
        <rFont val="宋体"/>
        <charset val="134"/>
      </rPr>
      <t>瓶香水</t>
    </r>
    <r>
      <rPr>
        <sz val="11"/>
        <color rgb="FF1F1F1F"/>
        <rFont val="Arial"/>
        <charset val="134"/>
      </rPr>
      <t xml:space="preserve"> + 1 </t>
    </r>
    <r>
      <rPr>
        <sz val="11"/>
        <color rgb="FF1F1F1F"/>
        <rFont val="宋体"/>
        <charset val="134"/>
      </rPr>
      <t>个蜡烛</t>
    </r>
  </si>
  <si>
    <r>
      <rPr>
        <sz val="11"/>
        <color rgb="FF1F1F1F"/>
        <rFont val="宋体"/>
        <charset val="134"/>
      </rPr>
      <t>成功省下</t>
    </r>
    <r>
      <rPr>
        <sz val="11"/>
        <color rgb="FF1F1F1F"/>
        <rFont val="Arial"/>
        <charset val="134"/>
      </rPr>
      <t xml:space="preserve"> 1 </t>
    </r>
    <r>
      <rPr>
        <sz val="11"/>
        <color rgb="FF1F1F1F"/>
        <rFont val="宋体"/>
        <charset val="134"/>
      </rPr>
      <t>瓶香槟。</t>
    </r>
  </si>
  <si>
    <t>3. 注意“巧克力盒”的隐形陷阱</t>
  </si>
  <si>
    <r>
      <rPr>
        <sz val="11"/>
        <color rgb="FF1F1F1F"/>
        <rFont val="Arial"/>
        <charset val="134"/>
      </rPr>
      <t xml:space="preserve">2 </t>
    </r>
    <r>
      <rPr>
        <sz val="11"/>
        <color rgb="FF1F1F1F"/>
        <rFont val="宋体"/>
        <charset val="134"/>
      </rPr>
      <t>个手铐</t>
    </r>
    <r>
      <rPr>
        <sz val="11"/>
        <color rgb="FF1F1F1F"/>
        <rFont val="Arial"/>
        <charset val="134"/>
      </rPr>
      <t xml:space="preserve"> + 2 </t>
    </r>
    <r>
      <rPr>
        <sz val="11"/>
        <color rgb="FF1F1F1F"/>
        <rFont val="宋体"/>
        <charset val="134"/>
      </rPr>
      <t>个肛塞</t>
    </r>
  </si>
  <si>
    <r>
      <rPr>
        <sz val="11"/>
        <color rgb="FF1F1F1F"/>
        <rFont val="宋体"/>
        <charset val="134"/>
      </rPr>
      <t>成功省下</t>
    </r>
    <r>
      <rPr>
        <sz val="11"/>
        <color rgb="FF1F1F1F"/>
        <rFont val="Arial"/>
        <charset val="134"/>
      </rPr>
      <t xml:space="preserve"> 2 </t>
    </r>
    <r>
      <rPr>
        <sz val="11"/>
        <color rgb="FF1F1F1F"/>
        <rFont val="宋体"/>
        <charset val="134"/>
      </rPr>
      <t>个戒指和</t>
    </r>
    <r>
      <rPr>
        <sz val="11"/>
        <color rgb="FF1F1F1F"/>
        <rFont val="Arial"/>
        <charset val="134"/>
      </rPr>
      <t xml:space="preserve"> 2 </t>
    </r>
    <r>
      <rPr>
        <sz val="11"/>
        <color rgb="FF1F1F1F"/>
        <rFont val="宋体"/>
        <charset val="134"/>
      </rPr>
      <t>瓶迷情药水。</t>
    </r>
  </si>
  <si>
    <r>
      <rPr>
        <sz val="11"/>
        <color rgb="FF1F1F1F"/>
        <rFont val="Arial"/>
        <charset val="134"/>
      </rPr>
      <t xml:space="preserve">3 </t>
    </r>
    <r>
      <rPr>
        <sz val="11"/>
        <color rgb="FF1F1F1F"/>
        <rFont val="宋体"/>
        <charset val="134"/>
      </rPr>
      <t>个巧克力盒</t>
    </r>
    <r>
      <rPr>
        <sz val="11"/>
        <color rgb="FF1F1F1F"/>
        <rFont val="Arial"/>
        <charset val="134"/>
      </rPr>
      <t xml:space="preserve"> + 3 </t>
    </r>
    <r>
      <rPr>
        <sz val="11"/>
        <color rgb="FF1F1F1F"/>
        <rFont val="宋体"/>
        <charset val="134"/>
      </rPr>
      <t>瓶香槟</t>
    </r>
  </si>
  <si>
    <r>
      <rPr>
        <i/>
        <sz val="11"/>
        <color rgb="FF1F1F1F"/>
        <rFont val="宋体"/>
        <charset val="134"/>
      </rPr>
      <t>无法避开</t>
    </r>
    <r>
      <rPr>
        <sz val="11"/>
        <color rgb="FF1F1F1F"/>
        <rFont val="宋体"/>
        <charset val="134"/>
      </rPr>
      <t>。但另一条路要吃</t>
    </r>
    <r>
      <rPr>
        <sz val="11"/>
        <color rgb="FF1F1F1F"/>
        <rFont val="Arial"/>
        <charset val="134"/>
      </rPr>
      <t xml:space="preserve"> 3 </t>
    </r>
    <r>
      <rPr>
        <sz val="11"/>
        <color rgb="FF1F1F1F"/>
        <rFont val="宋体"/>
        <charset val="134"/>
      </rPr>
      <t>个蛋糕，相比之下蛋糕更稀缺，只能交巧克力。</t>
    </r>
  </si>
  <si>
    <t>现状：你的巧克力盒 (33) 数量虽然看似比蛋糕多几个，但依然处于危险线。</t>
  </si>
  <si>
    <r>
      <rPr>
        <sz val="11"/>
        <color rgb="FF1F1F1F"/>
        <rFont val="Arial"/>
        <charset val="134"/>
      </rPr>
      <t xml:space="preserve">2 </t>
    </r>
    <r>
      <rPr>
        <sz val="11"/>
        <color rgb="FF1F1F1F"/>
        <rFont val="宋体"/>
        <charset val="134"/>
      </rPr>
      <t>瓶香水</t>
    </r>
    <r>
      <rPr>
        <sz val="11"/>
        <color rgb="FF1F1F1F"/>
        <rFont val="Arial"/>
        <charset val="134"/>
      </rPr>
      <t xml:space="preserve"> + 1 </t>
    </r>
    <r>
      <rPr>
        <sz val="11"/>
        <color rgb="FF1F1F1F"/>
        <rFont val="宋体"/>
        <charset val="134"/>
      </rPr>
      <t>个花束</t>
    </r>
  </si>
  <si>
    <r>
      <rPr>
        <sz val="11"/>
        <color rgb="FF1F1F1F"/>
        <rFont val="宋体"/>
        <charset val="134"/>
      </rPr>
      <t>绝对不要选</t>
    </r>
    <r>
      <rPr>
        <sz val="11"/>
        <color rgb="FF1F1F1F"/>
        <rFont val="Arial"/>
        <charset val="134"/>
      </rPr>
      <t xml:space="preserve"> 2 </t>
    </r>
    <r>
      <rPr>
        <sz val="11"/>
        <color rgb="FF1F1F1F"/>
        <rFont val="宋体"/>
        <charset val="134"/>
      </rPr>
      <t>个蛋糕的路线！</t>
    </r>
  </si>
  <si>
    <r>
      <rPr>
        <sz val="11"/>
        <color rgb="FF1F1F1F"/>
        <rFont val="Arial"/>
        <charset val="134"/>
      </rPr>
      <t xml:space="preserve">2 </t>
    </r>
    <r>
      <rPr>
        <sz val="11"/>
        <color rgb="FF1F1F1F"/>
        <rFont val="宋体"/>
        <charset val="134"/>
      </rPr>
      <t>个戒指</t>
    </r>
    <r>
      <rPr>
        <sz val="11"/>
        <color rgb="FF1F1F1F"/>
        <rFont val="Arial"/>
        <charset val="134"/>
      </rPr>
      <t xml:space="preserve"> + 3 </t>
    </r>
    <r>
      <rPr>
        <sz val="11"/>
        <color rgb="FF1F1F1F"/>
        <rFont val="宋体"/>
        <charset val="134"/>
      </rPr>
      <t>本色情杂志</t>
    </r>
  </si>
  <si>
    <r>
      <rPr>
        <sz val="11"/>
        <color rgb="FF1F1F1F"/>
        <rFont val="宋体"/>
        <charset val="134"/>
      </rPr>
      <t>成功省下</t>
    </r>
    <r>
      <rPr>
        <sz val="11"/>
        <color rgb="FF1F1F1F"/>
        <rFont val="Arial"/>
        <charset val="134"/>
      </rPr>
      <t xml:space="preserve"> 2 </t>
    </r>
    <r>
      <rPr>
        <sz val="11"/>
        <color rgb="FF1F1F1F"/>
        <rFont val="宋体"/>
        <charset val="134"/>
      </rPr>
      <t>个巧克力盒和</t>
    </r>
    <r>
      <rPr>
        <sz val="11"/>
        <color rgb="FF1F1F1F"/>
        <rFont val="Arial"/>
        <charset val="134"/>
      </rPr>
      <t xml:space="preserve"> 3 </t>
    </r>
    <r>
      <rPr>
        <sz val="11"/>
        <color rgb="FF1F1F1F"/>
        <rFont val="宋体"/>
        <charset val="134"/>
      </rPr>
      <t>瓶迷情药水。</t>
    </r>
  </si>
  <si>
    <t>注意点：巧克力在后期的消耗量甚至比蛋糕还要密集。在某些关卡中（比如 Jane 的 Flirt 3），虽然表格里让你交了 3 个巧克力以保全更珍贵的蛋糕，但这属于弃车保帅的无奈之举。只要日常能避开巧克力的路线，也请尽量绕着走。</t>
  </si>
  <si>
    <r>
      <rPr>
        <sz val="11"/>
        <color rgb="FF1F1F1F"/>
        <rFont val="Arial"/>
        <charset val="134"/>
      </rPr>
      <t xml:space="preserve">4 </t>
    </r>
    <r>
      <rPr>
        <sz val="11"/>
        <color rgb="FF1F1F1F"/>
        <rFont val="宋体"/>
        <charset val="134"/>
      </rPr>
      <t>个肛塞</t>
    </r>
    <r>
      <rPr>
        <sz val="11"/>
        <color rgb="FF1F1F1F"/>
        <rFont val="Arial"/>
        <charset val="134"/>
      </rPr>
      <t xml:space="preserve"> + 3 </t>
    </r>
    <r>
      <rPr>
        <sz val="11"/>
        <color rgb="FF1F1F1F"/>
        <rFont val="宋体"/>
        <charset val="134"/>
      </rPr>
      <t>个拉珠</t>
    </r>
  </si>
  <si>
    <r>
      <rPr>
        <sz val="11"/>
        <color rgb="FF1F1F1F"/>
        <rFont val="宋体"/>
        <charset val="134"/>
      </rPr>
      <t>成功避开</t>
    </r>
    <r>
      <rPr>
        <sz val="11"/>
        <color rgb="FF1F1F1F"/>
        <rFont val="Arial"/>
        <charset val="134"/>
      </rPr>
      <t xml:space="preserve"> 4 </t>
    </r>
    <r>
      <rPr>
        <sz val="11"/>
        <color rgb="FF1F1F1F"/>
        <rFont val="宋体"/>
        <charset val="134"/>
      </rPr>
      <t>个花束</t>
    </r>
    <r>
      <rPr>
        <sz val="11"/>
        <color rgb="FF1F1F1F"/>
        <rFont val="Arial"/>
        <charset val="134"/>
      </rPr>
      <t xml:space="preserve"> + 3 </t>
    </r>
    <r>
      <rPr>
        <sz val="11"/>
        <color rgb="FF1F1F1F"/>
        <rFont val="宋体"/>
        <charset val="134"/>
      </rPr>
      <t>朵玫瑰的组合。</t>
    </r>
  </si>
  <si>
    <r>
      <rPr>
        <sz val="11"/>
        <color rgb="FF1F1F1F"/>
        <rFont val="Arial"/>
        <charset val="134"/>
      </rPr>
      <t xml:space="preserve">1 </t>
    </r>
    <r>
      <rPr>
        <sz val="11"/>
        <color rgb="FF1F1F1F"/>
        <rFont val="宋体"/>
        <charset val="134"/>
      </rPr>
      <t>瓶香水</t>
    </r>
    <r>
      <rPr>
        <sz val="11"/>
        <color rgb="FF1F1F1F"/>
        <rFont val="Arial"/>
        <charset val="134"/>
      </rPr>
      <t xml:space="preserve"> + 1 </t>
    </r>
    <r>
      <rPr>
        <sz val="11"/>
        <color rgb="FF1F1F1F"/>
        <rFont val="宋体"/>
        <charset val="134"/>
      </rPr>
      <t>朵玫瑰</t>
    </r>
  </si>
  <si>
    <r>
      <rPr>
        <sz val="11"/>
        <color rgb="FF1F1F1F"/>
        <rFont val="宋体"/>
        <charset val="134"/>
      </rPr>
      <t>成功省下</t>
    </r>
    <r>
      <rPr>
        <sz val="11"/>
        <color rgb="FF1F1F1F"/>
        <rFont val="Arial"/>
        <charset val="134"/>
      </rPr>
      <t xml:space="preserve"> 1 </t>
    </r>
    <r>
      <rPr>
        <sz val="11"/>
        <color rgb="FF1F1F1F"/>
        <rFont val="宋体"/>
        <charset val="134"/>
      </rPr>
      <t>个戒指和</t>
    </r>
    <r>
      <rPr>
        <sz val="11"/>
        <color rgb="FF1F1F1F"/>
        <rFont val="Arial"/>
        <charset val="134"/>
      </rPr>
      <t xml:space="preserve"> 1 </t>
    </r>
    <r>
      <rPr>
        <sz val="11"/>
        <color rgb="FF1F1F1F"/>
        <rFont val="宋体"/>
        <charset val="134"/>
      </rPr>
      <t>个手铐。</t>
    </r>
  </si>
  <si>
    <t>4. 绝对不要提前乱点表格外的角色</t>
  </si>
  <si>
    <r>
      <rPr>
        <sz val="11"/>
        <color rgb="FF1F1F1F"/>
        <rFont val="Arial"/>
        <charset val="134"/>
      </rPr>
      <t xml:space="preserve">2 </t>
    </r>
    <r>
      <rPr>
        <sz val="11"/>
        <color rgb="FF1F1F1F"/>
        <rFont val="宋体"/>
        <charset val="134"/>
      </rPr>
      <t>个手铐</t>
    </r>
    <r>
      <rPr>
        <sz val="11"/>
        <color rgb="FF1F1F1F"/>
        <rFont val="Arial"/>
        <charset val="134"/>
      </rPr>
      <t xml:space="preserve"> + 2 </t>
    </r>
    <r>
      <rPr>
        <sz val="11"/>
        <color rgb="FF1F1F1F"/>
        <rFont val="宋体"/>
        <charset val="134"/>
      </rPr>
      <t>瓶迷情药水</t>
    </r>
  </si>
  <si>
    <t>完美避开了珍贵的戒指路线。</t>
  </si>
  <si>
    <r>
      <rPr>
        <sz val="11"/>
        <color rgb="FF1F1F1F"/>
        <rFont val="Arial"/>
        <charset val="134"/>
      </rPr>
      <t xml:space="preserve">3 </t>
    </r>
    <r>
      <rPr>
        <sz val="11"/>
        <color rgb="FF1F1F1F"/>
        <rFont val="宋体"/>
        <charset val="134"/>
      </rPr>
      <t>瓶香水</t>
    </r>
    <r>
      <rPr>
        <sz val="11"/>
        <color rgb="FF1F1F1F"/>
        <rFont val="Arial"/>
        <charset val="134"/>
      </rPr>
      <t xml:space="preserve"> + 3 </t>
    </r>
    <r>
      <rPr>
        <sz val="11"/>
        <color rgb="FF1F1F1F"/>
        <rFont val="宋体"/>
        <charset val="134"/>
      </rPr>
      <t>个耳环</t>
    </r>
  </si>
  <si>
    <r>
      <rPr>
        <i/>
        <sz val="11"/>
        <color rgb="FF1F1F1F"/>
        <rFont val="宋体"/>
        <charset val="134"/>
      </rPr>
      <t>无法避开</t>
    </r>
    <r>
      <rPr>
        <sz val="11"/>
        <color rgb="FF1F1F1F"/>
        <rFont val="宋体"/>
        <charset val="134"/>
      </rPr>
      <t>。到这里必须忍痛交出</t>
    </r>
    <r>
      <rPr>
        <sz val="11"/>
        <color rgb="FF1F1F1F"/>
        <rFont val="Arial"/>
        <charset val="134"/>
      </rPr>
      <t xml:space="preserve"> 3 </t>
    </r>
    <r>
      <rPr>
        <sz val="11"/>
        <color rgb="FF1F1F1F"/>
        <rFont val="宋体"/>
        <charset val="134"/>
      </rPr>
      <t>个耳环。</t>
    </r>
  </si>
  <si>
    <t>注意点：游戏后续可能会推出活动角色或新人物。在没有计算好整体消耗前，千万不要看哪个小姐姐好看就盲目把高等级道具（如戒指、迷情药水）喂给她。一旦打乱了目前的平衡，后面主线里的关键角色（如 Tess 的 4 个蛋糕、Ann 的 3 个耳环）就会直接卡死，导致调情等级无法最大化。</t>
  </si>
  <si>
    <r>
      <rPr>
        <sz val="11"/>
        <color rgb="FF1F1F1F"/>
        <rFont val="Arial"/>
        <charset val="134"/>
      </rPr>
      <t xml:space="preserve">1 </t>
    </r>
    <r>
      <rPr>
        <sz val="11"/>
        <color rgb="FF1F1F1F"/>
        <rFont val="宋体"/>
        <charset val="134"/>
      </rPr>
      <t>本爱经</t>
    </r>
    <r>
      <rPr>
        <sz val="11"/>
        <color rgb="FF1F1F1F"/>
        <rFont val="Arial"/>
        <charset val="134"/>
      </rPr>
      <t xml:space="preserve"> + 2 </t>
    </r>
    <r>
      <rPr>
        <sz val="11"/>
        <color rgb="FF1F1F1F"/>
        <rFont val="宋体"/>
        <charset val="134"/>
      </rPr>
      <t>个手铐</t>
    </r>
  </si>
  <si>
    <r>
      <rPr>
        <sz val="11"/>
        <color rgb="FF1F1F1F"/>
        <rFont val="宋体"/>
        <charset val="134"/>
      </rPr>
      <t>绝对不要选</t>
    </r>
    <r>
      <rPr>
        <sz val="11"/>
        <color rgb="FF1F1F1F"/>
        <rFont val="Arial"/>
        <charset val="134"/>
      </rPr>
      <t xml:space="preserve"> 2 </t>
    </r>
    <r>
      <rPr>
        <sz val="11"/>
        <color rgb="FF1F1F1F"/>
        <rFont val="宋体"/>
        <charset val="134"/>
      </rPr>
      <t>个耳环的路线！保护耳环。</t>
    </r>
  </si>
  <si>
    <r>
      <rPr>
        <sz val="11"/>
        <color rgb="FF1F1F1F"/>
        <rFont val="Arial"/>
        <charset val="134"/>
      </rPr>
      <t xml:space="preserve">2 </t>
    </r>
    <r>
      <rPr>
        <sz val="11"/>
        <color rgb="FF1F1F1F"/>
        <rFont val="宋体"/>
        <charset val="134"/>
      </rPr>
      <t>个巧克力盒</t>
    </r>
    <r>
      <rPr>
        <sz val="11"/>
        <color rgb="FF1F1F1F"/>
        <rFont val="Arial"/>
        <charset val="134"/>
      </rPr>
      <t xml:space="preserve"> + 2 </t>
    </r>
    <r>
      <rPr>
        <sz val="11"/>
        <color rgb="FF1F1F1F"/>
        <rFont val="宋体"/>
        <charset val="134"/>
      </rPr>
      <t>瓶香槟</t>
    </r>
  </si>
  <si>
    <r>
      <rPr>
        <i/>
        <sz val="11"/>
        <color rgb="FF1F1F1F"/>
        <rFont val="宋体"/>
        <charset val="134"/>
      </rPr>
      <t>无法避开</t>
    </r>
    <r>
      <rPr>
        <sz val="11"/>
        <color rgb="FF1F1F1F"/>
        <rFont val="宋体"/>
        <charset val="134"/>
      </rPr>
      <t>。两条路线都要稀缺品（蛋糕或巧克力），选巧克力稍微安全。</t>
    </r>
  </si>
  <si>
    <r>
      <rPr>
        <sz val="11"/>
        <color rgb="FF1F1F1F"/>
        <rFont val="Arial"/>
        <charset val="134"/>
      </rPr>
      <t xml:space="preserve">2 </t>
    </r>
    <r>
      <rPr>
        <sz val="11"/>
        <color rgb="FF1F1F1F"/>
        <rFont val="宋体"/>
        <charset val="134"/>
      </rPr>
      <t>个肛塞</t>
    </r>
    <r>
      <rPr>
        <sz val="11"/>
        <color rgb="FF1F1F1F"/>
        <rFont val="Arial"/>
        <charset val="134"/>
      </rPr>
      <t xml:space="preserve"> + 3 </t>
    </r>
    <r>
      <rPr>
        <sz val="11"/>
        <color rgb="FF1F1F1F"/>
        <rFont val="宋体"/>
        <charset val="134"/>
      </rPr>
      <t>朵玫瑰</t>
    </r>
  </si>
  <si>
    <r>
      <rPr>
        <sz val="11"/>
        <color rgb="FF1F1F1F"/>
        <rFont val="Arial"/>
        <charset val="134"/>
      </rPr>
      <t xml:space="preserve">1 </t>
    </r>
    <r>
      <rPr>
        <sz val="11"/>
        <color rgb="FF1F1F1F"/>
        <rFont val="宋体"/>
        <charset val="134"/>
      </rPr>
      <t>个耳环</t>
    </r>
    <r>
      <rPr>
        <sz val="11"/>
        <color rgb="FF1F1F1F"/>
        <rFont val="Arial"/>
        <charset val="134"/>
      </rPr>
      <t xml:space="preserve"> + 1 </t>
    </r>
    <r>
      <rPr>
        <sz val="11"/>
        <color rgb="FF1F1F1F"/>
        <rFont val="宋体"/>
        <charset val="134"/>
      </rPr>
      <t>本色情杂志</t>
    </r>
  </si>
  <si>
    <r>
      <rPr>
        <i/>
        <sz val="11"/>
        <color rgb="FF1F1F1F"/>
        <rFont val="宋体"/>
        <charset val="134"/>
      </rPr>
      <t>无法避开</t>
    </r>
    <r>
      <rPr>
        <sz val="11"/>
        <color rgb="FF1F1F1F"/>
        <rFont val="宋体"/>
        <charset val="134"/>
      </rPr>
      <t>。必须交出</t>
    </r>
    <r>
      <rPr>
        <sz val="11"/>
        <color rgb="FF1F1F1F"/>
        <rFont val="Arial"/>
        <charset val="134"/>
      </rPr>
      <t xml:space="preserve"> 1 </t>
    </r>
    <r>
      <rPr>
        <sz val="11"/>
        <color rgb="FF1F1F1F"/>
        <rFont val="宋体"/>
        <charset val="134"/>
      </rPr>
      <t>个耳环，好在避开了肛塞。</t>
    </r>
  </si>
  <si>
    <r>
      <rPr>
        <sz val="11"/>
        <color rgb="FF1F1F1F"/>
        <rFont val="Arial"/>
        <charset val="134"/>
      </rPr>
      <t xml:space="preserve">2 </t>
    </r>
    <r>
      <rPr>
        <sz val="11"/>
        <color rgb="FF1F1F1F"/>
        <rFont val="宋体"/>
        <charset val="134"/>
      </rPr>
      <t>个手铐</t>
    </r>
    <r>
      <rPr>
        <sz val="11"/>
        <color rgb="FF1F1F1F"/>
        <rFont val="Arial"/>
        <charset val="134"/>
      </rPr>
      <t xml:space="preserve"> + 2 </t>
    </r>
    <r>
      <rPr>
        <sz val="11"/>
        <color rgb="FF1F1F1F"/>
        <rFont val="宋体"/>
        <charset val="134"/>
      </rPr>
      <t>本色情杂志</t>
    </r>
  </si>
  <si>
    <t>完美避开戒指和迷情药水。</t>
  </si>
  <si>
    <r>
      <rPr>
        <sz val="11"/>
        <color rgb="FF1F1F1F"/>
        <rFont val="Arial"/>
        <charset val="134"/>
      </rPr>
      <t xml:space="preserve">3 </t>
    </r>
    <r>
      <rPr>
        <sz val="11"/>
        <color rgb="FF1F1F1F"/>
        <rFont val="宋体"/>
        <charset val="134"/>
      </rPr>
      <t>个肛塞</t>
    </r>
    <r>
      <rPr>
        <sz val="11"/>
        <color rgb="FF1F1F1F"/>
        <rFont val="Arial"/>
        <charset val="134"/>
      </rPr>
      <t xml:space="preserve"> + 3 </t>
    </r>
    <r>
      <rPr>
        <sz val="11"/>
        <color rgb="FF1F1F1F"/>
        <rFont val="宋体"/>
        <charset val="134"/>
      </rPr>
      <t>个拉珠</t>
    </r>
  </si>
  <si>
    <r>
      <rPr>
        <sz val="11"/>
        <color rgb="FF1F1F1F"/>
        <rFont val="宋体"/>
        <charset val="134"/>
      </rPr>
      <t>成功保护了</t>
    </r>
    <r>
      <rPr>
        <sz val="11"/>
        <color rgb="FF1F1F1F"/>
        <rFont val="Arial"/>
        <charset val="134"/>
      </rPr>
      <t xml:space="preserve"> 3 </t>
    </r>
    <r>
      <rPr>
        <sz val="11"/>
        <color rgb="FF1F1F1F"/>
        <rFont val="宋体"/>
        <charset val="134"/>
      </rPr>
      <t>个极度稀缺的耳环和</t>
    </r>
    <r>
      <rPr>
        <sz val="11"/>
        <color rgb="FF1F1F1F"/>
        <rFont val="Arial"/>
        <charset val="134"/>
      </rPr>
      <t xml:space="preserve"> 3 </t>
    </r>
    <r>
      <rPr>
        <sz val="11"/>
        <color rgb="FF1F1F1F"/>
        <rFont val="宋体"/>
        <charset val="134"/>
      </rPr>
      <t>个巧克力。</t>
    </r>
  </si>
  <si>
    <r>
      <rPr>
        <sz val="11"/>
        <color rgb="FF1F1F1F"/>
        <rFont val="Arial"/>
        <charset val="134"/>
      </rPr>
      <t xml:space="preserve">2 </t>
    </r>
    <r>
      <rPr>
        <sz val="11"/>
        <color rgb="FF1F1F1F"/>
        <rFont val="宋体"/>
        <charset val="134"/>
      </rPr>
      <t>个拉珠</t>
    </r>
    <r>
      <rPr>
        <sz val="11"/>
        <color rgb="FF1F1F1F"/>
        <rFont val="Arial"/>
        <charset val="134"/>
      </rPr>
      <t xml:space="preserve"> + 1 </t>
    </r>
    <r>
      <rPr>
        <sz val="11"/>
        <color rgb="FF1F1F1F"/>
        <rFont val="宋体"/>
        <charset val="134"/>
      </rPr>
      <t>本色情杂志</t>
    </r>
  </si>
  <si>
    <r>
      <rPr>
        <sz val="11"/>
        <color rgb="FF1F1F1F"/>
        <rFont val="宋体"/>
        <charset val="134"/>
      </rPr>
      <t>极力推荐！消耗的全部是你接近</t>
    </r>
    <r>
      <rPr>
        <sz val="11"/>
        <color rgb="FF1F1F1F"/>
        <rFont val="Arial"/>
        <charset val="134"/>
      </rPr>
      <t xml:space="preserve"> 50 </t>
    </r>
    <r>
      <rPr>
        <sz val="11"/>
        <color rgb="FF1F1F1F"/>
        <rFont val="宋体"/>
        <charset val="134"/>
      </rPr>
      <t>个库存的底层炮灰物资。</t>
    </r>
  </si>
  <si>
    <r>
      <rPr>
        <sz val="11"/>
        <color rgb="FF1F1F1F"/>
        <rFont val="Arial"/>
        <charset val="134"/>
      </rPr>
      <t xml:space="preserve">3 </t>
    </r>
    <r>
      <rPr>
        <sz val="11"/>
        <color rgb="FF1F1F1F"/>
        <rFont val="宋体"/>
        <charset val="134"/>
      </rPr>
      <t>个手铐</t>
    </r>
    <r>
      <rPr>
        <sz val="11"/>
        <color rgb="FF1F1F1F"/>
        <rFont val="Arial"/>
        <charset val="134"/>
      </rPr>
      <t xml:space="preserve"> + 2 </t>
    </r>
    <r>
      <rPr>
        <sz val="11"/>
        <color rgb="FF1F1F1F"/>
        <rFont val="宋体"/>
        <charset val="134"/>
      </rPr>
      <t>瓶香槟</t>
    </r>
  </si>
  <si>
    <r>
      <rPr>
        <sz val="11"/>
        <color rgb="FF1F1F1F"/>
        <rFont val="宋体"/>
        <charset val="134"/>
      </rPr>
      <t>相比用掉</t>
    </r>
    <r>
      <rPr>
        <sz val="11"/>
        <color rgb="FF1F1F1F"/>
        <rFont val="Arial"/>
        <charset val="134"/>
      </rPr>
      <t xml:space="preserve"> 3 </t>
    </r>
    <r>
      <rPr>
        <sz val="11"/>
        <color rgb="FF1F1F1F"/>
        <rFont val="宋体"/>
        <charset val="134"/>
      </rPr>
      <t>个肛塞，用</t>
    </r>
    <r>
      <rPr>
        <sz val="11"/>
        <color rgb="FF1F1F1F"/>
        <rFont val="Arial"/>
        <charset val="134"/>
      </rPr>
      <t xml:space="preserve"> 3 </t>
    </r>
    <r>
      <rPr>
        <sz val="11"/>
        <color rgb="FF1F1F1F"/>
        <rFont val="宋体"/>
        <charset val="134"/>
      </rPr>
      <t>个手铐性价比极高。</t>
    </r>
  </si>
  <si>
    <r>
      <rPr>
        <sz val="11"/>
        <color rgb="FF1F1F1F"/>
        <rFont val="Arial"/>
        <charset val="134"/>
      </rPr>
      <t xml:space="preserve">4 </t>
    </r>
    <r>
      <rPr>
        <sz val="11"/>
        <color rgb="FF1F1F1F"/>
        <rFont val="宋体"/>
        <charset val="134"/>
      </rPr>
      <t>本爱经</t>
    </r>
    <r>
      <rPr>
        <sz val="11"/>
        <color rgb="FF1F1F1F"/>
        <rFont val="Arial"/>
        <charset val="134"/>
      </rPr>
      <t xml:space="preserve"> + 3 </t>
    </r>
    <r>
      <rPr>
        <sz val="11"/>
        <color rgb="FF1F1F1F"/>
        <rFont val="宋体"/>
        <charset val="134"/>
      </rPr>
      <t>个拉珠</t>
    </r>
  </si>
  <si>
    <r>
      <rPr>
        <sz val="11"/>
        <color rgb="FF1F1F1F"/>
        <rFont val="宋体"/>
        <charset val="134"/>
      </rPr>
      <t>史诗级避坑！帮你一口气省下了</t>
    </r>
    <r>
      <rPr>
        <sz val="11"/>
        <color rgb="FF1F1F1F"/>
        <rFont val="Arial"/>
        <charset val="134"/>
      </rPr>
      <t xml:space="preserve"> 4 </t>
    </r>
    <r>
      <rPr>
        <sz val="11"/>
        <color rgb="FF1F1F1F"/>
        <rFont val="宋体"/>
        <charset val="134"/>
      </rPr>
      <t>个极其珍贵的耳环！</t>
    </r>
  </si>
  <si>
    <r>
      <rPr>
        <sz val="11"/>
        <color rgb="FF1F1F1F"/>
        <rFont val="Arial"/>
        <charset val="134"/>
      </rPr>
      <t xml:space="preserve">2 </t>
    </r>
    <r>
      <rPr>
        <sz val="11"/>
        <color rgb="FF1F1F1F"/>
        <rFont val="宋体"/>
        <charset val="134"/>
      </rPr>
      <t>个肛塞</t>
    </r>
    <r>
      <rPr>
        <sz val="11"/>
        <color rgb="FF1F1F1F"/>
        <rFont val="Arial"/>
        <charset val="134"/>
      </rPr>
      <t xml:space="preserve"> + 2 </t>
    </r>
    <r>
      <rPr>
        <sz val="11"/>
        <color rgb="FF1F1F1F"/>
        <rFont val="宋体"/>
        <charset val="134"/>
      </rPr>
      <t>朵玫瑰</t>
    </r>
  </si>
  <si>
    <r>
      <rPr>
        <sz val="11"/>
        <color rgb="FF1F1F1F"/>
        <rFont val="宋体"/>
        <charset val="134"/>
      </rPr>
      <t>绝对不能选</t>
    </r>
    <r>
      <rPr>
        <sz val="11"/>
        <color rgb="FF1F1F1F"/>
        <rFont val="Arial"/>
        <charset val="134"/>
      </rPr>
      <t xml:space="preserve"> 2 </t>
    </r>
    <r>
      <rPr>
        <sz val="11"/>
        <color rgb="FF1F1F1F"/>
        <rFont val="宋体"/>
        <charset val="134"/>
      </rPr>
      <t>个蛋糕</t>
    </r>
    <r>
      <rPr>
        <sz val="11"/>
        <color rgb="FF1F1F1F"/>
        <rFont val="Arial"/>
        <charset val="134"/>
      </rPr>
      <t xml:space="preserve"> + 2 </t>
    </r>
    <r>
      <rPr>
        <sz val="11"/>
        <color rgb="FF1F1F1F"/>
        <rFont val="宋体"/>
        <charset val="134"/>
      </rPr>
      <t>个巧克力的绝路！</t>
    </r>
  </si>
  <si>
    <r>
      <rPr>
        <sz val="11"/>
        <color rgb="FF1F1F1F"/>
        <rFont val="Arial"/>
        <charset val="134"/>
      </rPr>
      <t xml:space="preserve">3 </t>
    </r>
    <r>
      <rPr>
        <sz val="11"/>
        <color rgb="FF1F1F1F"/>
        <rFont val="宋体"/>
        <charset val="134"/>
      </rPr>
      <t>本爱经</t>
    </r>
    <r>
      <rPr>
        <sz val="11"/>
        <color rgb="FF1F1F1F"/>
        <rFont val="Arial"/>
        <charset val="134"/>
      </rPr>
      <t xml:space="preserve"> + 3 </t>
    </r>
    <r>
      <rPr>
        <sz val="11"/>
        <color rgb="FF1F1F1F"/>
        <rFont val="宋体"/>
        <charset val="134"/>
      </rPr>
      <t>个手铐</t>
    </r>
  </si>
  <si>
    <r>
      <rPr>
        <sz val="11"/>
        <color rgb="FF1F1F1F"/>
        <rFont val="宋体"/>
        <charset val="134"/>
      </rPr>
      <t>成功避开</t>
    </r>
    <r>
      <rPr>
        <sz val="11"/>
        <color rgb="FF1F1F1F"/>
        <rFont val="Arial"/>
        <charset val="134"/>
      </rPr>
      <t xml:space="preserve"> 3 </t>
    </r>
    <r>
      <rPr>
        <sz val="11"/>
        <color rgb="FF1F1F1F"/>
        <rFont val="宋体"/>
        <charset val="134"/>
      </rPr>
      <t>瓶迷情药水</t>
    </r>
    <r>
      <rPr>
        <sz val="11"/>
        <color rgb="FF1F1F1F"/>
        <rFont val="Arial"/>
        <charset val="134"/>
      </rPr>
      <t xml:space="preserve"> + 3 </t>
    </r>
    <r>
      <rPr>
        <sz val="11"/>
        <color rgb="FF1F1F1F"/>
        <rFont val="宋体"/>
        <charset val="134"/>
      </rPr>
      <t>瓶香槟。</t>
    </r>
  </si>
  <si>
    <r>
      <rPr>
        <sz val="11"/>
        <color rgb="FF1F1F1F"/>
        <rFont val="Arial"/>
        <charset val="134"/>
      </rPr>
      <t xml:space="preserve">3 </t>
    </r>
    <r>
      <rPr>
        <sz val="11"/>
        <color rgb="FF1F1F1F"/>
        <rFont val="宋体"/>
        <charset val="134"/>
      </rPr>
      <t>朵玫瑰</t>
    </r>
    <r>
      <rPr>
        <sz val="11"/>
        <color rgb="FF1F1F1F"/>
        <rFont val="Arial"/>
        <charset val="134"/>
      </rPr>
      <t xml:space="preserve"> + 2 </t>
    </r>
    <r>
      <rPr>
        <sz val="11"/>
        <color rgb="FF1F1F1F"/>
        <rFont val="宋体"/>
        <charset val="134"/>
      </rPr>
      <t>本色情杂志</t>
    </r>
  </si>
  <si>
    <t>比起消耗大件肛塞或香水，用玫瑰和杂志垫底最合算。</t>
  </si>
  <si>
    <r>
      <rPr>
        <sz val="11"/>
        <color rgb="FF1F1F1F"/>
        <rFont val="Arial"/>
        <charset val="134"/>
      </rPr>
      <t xml:space="preserve">3 </t>
    </r>
    <r>
      <rPr>
        <sz val="11"/>
        <color rgb="FF1F1F1F"/>
        <rFont val="宋体"/>
        <charset val="134"/>
      </rPr>
      <t>个蜡烛</t>
    </r>
    <r>
      <rPr>
        <sz val="11"/>
        <color rgb="FF1F1F1F"/>
        <rFont val="Arial"/>
        <charset val="134"/>
      </rPr>
      <t xml:space="preserve"> + 3 </t>
    </r>
    <r>
      <rPr>
        <sz val="11"/>
        <color rgb="FF1F1F1F"/>
        <rFont val="宋体"/>
        <charset val="134"/>
      </rPr>
      <t>个手铐</t>
    </r>
  </si>
  <si>
    <r>
      <rPr>
        <i/>
        <sz val="11"/>
        <color rgb="FF1F1F1F"/>
        <rFont val="宋体"/>
        <charset val="134"/>
      </rPr>
      <t>第</t>
    </r>
    <r>
      <rPr>
        <i/>
        <sz val="11"/>
        <color rgb="FF1F1F1F"/>
        <rFont val="Arial"/>
        <charset val="134"/>
      </rPr>
      <t>2</t>
    </r>
    <r>
      <rPr>
        <i/>
        <sz val="11"/>
        <color rgb="FF1F1F1F"/>
        <rFont val="宋体"/>
        <charset val="134"/>
      </rPr>
      <t>阶段免道具已过滤</t>
    </r>
    <r>
      <rPr>
        <sz val="11"/>
        <color rgb="FF1F1F1F"/>
        <rFont val="宋体"/>
        <charset val="134"/>
      </rPr>
      <t>。成功省下</t>
    </r>
    <r>
      <rPr>
        <sz val="11"/>
        <color rgb="FF1F1F1F"/>
        <rFont val="Arial"/>
        <charset val="134"/>
      </rPr>
      <t xml:space="preserve"> 2 </t>
    </r>
    <r>
      <rPr>
        <sz val="11"/>
        <color rgb="FF1F1F1F"/>
        <rFont val="宋体"/>
        <charset val="134"/>
      </rPr>
      <t>个戒指和</t>
    </r>
    <r>
      <rPr>
        <sz val="11"/>
        <color rgb="FF1F1F1F"/>
        <rFont val="Arial"/>
        <charset val="134"/>
      </rPr>
      <t xml:space="preserve"> 3 </t>
    </r>
    <r>
      <rPr>
        <sz val="11"/>
        <color rgb="FF1F1F1F"/>
        <rFont val="宋体"/>
        <charset val="134"/>
      </rPr>
      <t>瓶香槟。</t>
    </r>
  </si>
  <si>
    <r>
      <rPr>
        <sz val="11"/>
        <color rgb="FF1F1F1F"/>
        <rFont val="Arial"/>
        <charset val="134"/>
      </rPr>
      <t xml:space="preserve">2 </t>
    </r>
    <r>
      <rPr>
        <sz val="11"/>
        <color rgb="FF1F1F1F"/>
        <rFont val="宋体"/>
        <charset val="134"/>
      </rPr>
      <t>个肛塞</t>
    </r>
    <r>
      <rPr>
        <sz val="11"/>
        <color rgb="FF1F1F1F"/>
        <rFont val="Arial"/>
        <charset val="134"/>
      </rPr>
      <t xml:space="preserve"> + 2 </t>
    </r>
    <r>
      <rPr>
        <sz val="11"/>
        <color rgb="FF1F1F1F"/>
        <rFont val="宋体"/>
        <charset val="134"/>
      </rPr>
      <t>个拉珠</t>
    </r>
  </si>
  <si>
    <t>成功保住了数量较少的蜡烛和戒指。</t>
  </si>
  <si>
    <r>
      <rPr>
        <i/>
        <sz val="11"/>
        <color rgb="FF1F1F1F"/>
        <rFont val="宋体"/>
        <charset val="134"/>
      </rPr>
      <t>无法避开</t>
    </r>
    <r>
      <rPr>
        <sz val="11"/>
        <color rgb="FF1F1F1F"/>
        <rFont val="宋体"/>
        <charset val="134"/>
      </rPr>
      <t>。另一条线虽不要耳环，但要</t>
    </r>
    <r>
      <rPr>
        <sz val="11"/>
        <color rgb="FF1F1F1F"/>
        <rFont val="Arial"/>
        <charset val="134"/>
      </rPr>
      <t>6</t>
    </r>
    <r>
      <rPr>
        <sz val="11"/>
        <color rgb="FF1F1F1F"/>
        <rFont val="宋体"/>
        <charset val="134"/>
      </rPr>
      <t>个拉珠</t>
    </r>
    <r>
      <rPr>
        <sz val="11"/>
        <color rgb="FF1F1F1F"/>
        <rFont val="Arial"/>
        <charset val="134"/>
      </rPr>
      <t>+3</t>
    </r>
    <r>
      <rPr>
        <sz val="11"/>
        <color rgb="FF1F1F1F"/>
        <rFont val="宋体"/>
        <charset val="134"/>
      </rPr>
      <t>杂志，太伤总库存。</t>
    </r>
  </si>
  <si>
    <r>
      <rPr>
        <sz val="11"/>
        <color rgb="FF1F1F1F"/>
        <rFont val="Arial"/>
        <charset val="134"/>
      </rPr>
      <t xml:space="preserve">4 </t>
    </r>
    <r>
      <rPr>
        <sz val="11"/>
        <color rgb="FF1F1F1F"/>
        <rFont val="宋体"/>
        <charset val="134"/>
      </rPr>
      <t>朵玫瑰</t>
    </r>
    <r>
      <rPr>
        <sz val="11"/>
        <color rgb="FF1F1F1F"/>
        <rFont val="Arial"/>
        <charset val="134"/>
      </rPr>
      <t xml:space="preserve"> + 4 </t>
    </r>
    <r>
      <rPr>
        <sz val="11"/>
        <color rgb="FF1F1F1F"/>
        <rFont val="宋体"/>
        <charset val="134"/>
      </rPr>
      <t>瓶香槟</t>
    </r>
  </si>
  <si>
    <r>
      <rPr>
        <sz val="11"/>
        <color rgb="FF1F1F1F"/>
        <rFont val="宋体"/>
        <charset val="134"/>
      </rPr>
      <t>成功保住了</t>
    </r>
    <r>
      <rPr>
        <sz val="11"/>
        <color rgb="FF1F1F1F"/>
        <rFont val="Arial"/>
        <charset val="134"/>
      </rPr>
      <t xml:space="preserve"> 4 </t>
    </r>
    <r>
      <rPr>
        <sz val="11"/>
        <color rgb="FF1F1F1F"/>
        <rFont val="宋体"/>
        <charset val="134"/>
      </rPr>
      <t>个戒指和</t>
    </r>
    <r>
      <rPr>
        <sz val="11"/>
        <color rgb="FF1F1F1F"/>
        <rFont val="Arial"/>
        <charset val="134"/>
      </rPr>
      <t xml:space="preserve"> 4 </t>
    </r>
    <r>
      <rPr>
        <sz val="11"/>
        <color rgb="FF1F1F1F"/>
        <rFont val="宋体"/>
        <charset val="134"/>
      </rPr>
      <t>瓶迷情药水。</t>
    </r>
  </si>
  <si>
    <r>
      <rPr>
        <sz val="11"/>
        <color rgb="FF1F1F1F"/>
        <rFont val="Arial"/>
        <charset val="134"/>
      </rPr>
      <t xml:space="preserve">2 </t>
    </r>
    <r>
      <rPr>
        <sz val="11"/>
        <color rgb="FF1F1F1F"/>
        <rFont val="宋体"/>
        <charset val="134"/>
      </rPr>
      <t>个戒指</t>
    </r>
    <r>
      <rPr>
        <sz val="11"/>
        <color rgb="FF1F1F1F"/>
        <rFont val="Arial"/>
        <charset val="134"/>
      </rPr>
      <t xml:space="preserve"> + 2 </t>
    </r>
    <r>
      <rPr>
        <sz val="11"/>
        <color rgb="FF1F1F1F"/>
        <rFont val="宋体"/>
        <charset val="134"/>
      </rPr>
      <t>朵玫瑰</t>
    </r>
  </si>
  <si>
    <t>避开了蜡烛和花束路线。</t>
  </si>
  <si>
    <r>
      <rPr>
        <sz val="11"/>
        <color rgb="FF1F1F1F"/>
        <rFont val="Arial"/>
        <charset val="134"/>
      </rPr>
      <t>3</t>
    </r>
    <r>
      <rPr>
        <sz val="11"/>
        <color rgb="FF1F1F1F"/>
        <rFont val="宋体"/>
        <charset val="134"/>
      </rPr>
      <t>个肛塞</t>
    </r>
    <r>
      <rPr>
        <sz val="11"/>
        <color rgb="FF1F1F1F"/>
        <rFont val="Arial"/>
        <charset val="134"/>
      </rPr>
      <t xml:space="preserve"> + 3</t>
    </r>
    <r>
      <rPr>
        <sz val="11"/>
        <color rgb="FF1F1F1F"/>
        <rFont val="宋体"/>
        <charset val="134"/>
      </rPr>
      <t>个花束</t>
    </r>
    <r>
      <rPr>
        <sz val="11"/>
        <color rgb="FF1F1F1F"/>
        <rFont val="Arial"/>
        <charset val="134"/>
      </rPr>
      <t xml:space="preserve"> + 3</t>
    </r>
    <r>
      <rPr>
        <sz val="11"/>
        <color rgb="FF1F1F1F"/>
        <rFont val="宋体"/>
        <charset val="134"/>
      </rPr>
      <t>个拉珠</t>
    </r>
  </si>
  <si>
    <r>
      <rPr>
        <sz val="11"/>
        <color rgb="FF1F1F1F"/>
        <rFont val="宋体"/>
        <charset val="134"/>
      </rPr>
      <t>虽要三种道具，但成功避开了吃掉你</t>
    </r>
    <r>
      <rPr>
        <sz val="11"/>
        <color rgb="FF1F1F1F"/>
        <rFont val="Arial"/>
        <charset val="134"/>
      </rPr>
      <t xml:space="preserve"> 3 </t>
    </r>
    <r>
      <rPr>
        <sz val="11"/>
        <color rgb="FF1F1F1F"/>
        <rFont val="宋体"/>
        <charset val="134"/>
      </rPr>
      <t>个极为珍贵的蛋糕。</t>
    </r>
  </si>
  <si>
    <r>
      <rPr>
        <sz val="11"/>
        <color rgb="FF1F1F1F"/>
        <rFont val="Arial"/>
        <charset val="134"/>
      </rPr>
      <t xml:space="preserve">4 </t>
    </r>
    <r>
      <rPr>
        <sz val="11"/>
        <color rgb="FF1F1F1F"/>
        <rFont val="宋体"/>
        <charset val="134"/>
      </rPr>
      <t>瓶迷情药水</t>
    </r>
    <r>
      <rPr>
        <sz val="11"/>
        <color rgb="FF1F1F1F"/>
        <rFont val="Arial"/>
        <charset val="134"/>
      </rPr>
      <t xml:space="preserve"> + 4 </t>
    </r>
    <r>
      <rPr>
        <sz val="11"/>
        <color rgb="FF1F1F1F"/>
        <rFont val="宋体"/>
        <charset val="134"/>
      </rPr>
      <t>瓶香槟</t>
    </r>
  </si>
  <si>
    <r>
      <rPr>
        <sz val="11"/>
        <color rgb="FF1F1F1F"/>
        <rFont val="宋体"/>
        <charset val="134"/>
      </rPr>
      <t>成功保护了</t>
    </r>
    <r>
      <rPr>
        <sz val="11"/>
        <color rgb="FF1F1F1F"/>
        <rFont val="Arial"/>
        <charset val="134"/>
      </rPr>
      <t xml:space="preserve"> 4 </t>
    </r>
    <r>
      <rPr>
        <sz val="11"/>
        <color rgb="FF1F1F1F"/>
        <rFont val="宋体"/>
        <charset val="134"/>
      </rPr>
      <t>个戒指和</t>
    </r>
    <r>
      <rPr>
        <sz val="11"/>
        <color rgb="FF1F1F1F"/>
        <rFont val="Arial"/>
        <charset val="134"/>
      </rPr>
      <t xml:space="preserve"> 4 </t>
    </r>
    <r>
      <rPr>
        <sz val="11"/>
        <color rgb="FF1F1F1F"/>
        <rFont val="宋体"/>
        <charset val="134"/>
      </rPr>
      <t>个蜡烛。</t>
    </r>
  </si>
  <si>
    <r>
      <rPr>
        <sz val="11"/>
        <color rgb="FF1F1F1F"/>
        <rFont val="Arial"/>
        <charset val="134"/>
      </rPr>
      <t xml:space="preserve">2 </t>
    </r>
    <r>
      <rPr>
        <sz val="11"/>
        <color rgb="FF1F1F1F"/>
        <rFont val="宋体"/>
        <charset val="134"/>
      </rPr>
      <t>本爱经</t>
    </r>
    <r>
      <rPr>
        <sz val="11"/>
        <color rgb="FF1F1F1F"/>
        <rFont val="Arial"/>
        <charset val="134"/>
      </rPr>
      <t xml:space="preserve"> + 2 </t>
    </r>
    <r>
      <rPr>
        <sz val="11"/>
        <color rgb="FF1F1F1F"/>
        <rFont val="宋体"/>
        <charset val="134"/>
      </rPr>
      <t>个拉珠</t>
    </r>
  </si>
  <si>
    <r>
      <rPr>
        <sz val="11"/>
        <color rgb="FF1F1F1F"/>
        <rFont val="宋体"/>
        <charset val="134"/>
      </rPr>
      <t>极佳路线！完美避开</t>
    </r>
    <r>
      <rPr>
        <sz val="11"/>
        <color rgb="FF1F1F1F"/>
        <rFont val="Arial"/>
        <charset val="134"/>
      </rPr>
      <t xml:space="preserve"> 2 </t>
    </r>
    <r>
      <rPr>
        <sz val="11"/>
        <color rgb="FF1F1F1F"/>
        <rFont val="宋体"/>
        <charset val="134"/>
      </rPr>
      <t>个耳环。</t>
    </r>
  </si>
  <si>
    <r>
      <rPr>
        <sz val="11"/>
        <color rgb="FF1F1F1F"/>
        <rFont val="Arial"/>
        <charset val="134"/>
      </rPr>
      <t xml:space="preserve">3 </t>
    </r>
    <r>
      <rPr>
        <sz val="11"/>
        <color rgb="FF1F1F1F"/>
        <rFont val="宋体"/>
        <charset val="134"/>
      </rPr>
      <t>瓶香水</t>
    </r>
    <r>
      <rPr>
        <sz val="11"/>
        <color rgb="FF1F1F1F"/>
        <rFont val="Arial"/>
        <charset val="134"/>
      </rPr>
      <t xml:space="preserve"> + 3 </t>
    </r>
    <r>
      <rPr>
        <sz val="11"/>
        <color rgb="FF1F1F1F"/>
        <rFont val="宋体"/>
        <charset val="134"/>
      </rPr>
      <t>朵玫瑰</t>
    </r>
  </si>
  <si>
    <r>
      <rPr>
        <sz val="11"/>
        <color rgb="FF1F1F1F"/>
        <rFont val="宋体"/>
        <charset val="134"/>
      </rPr>
      <t>成功避开</t>
    </r>
    <r>
      <rPr>
        <sz val="11"/>
        <color rgb="FF1F1F1F"/>
        <rFont val="Arial"/>
        <charset val="134"/>
      </rPr>
      <t xml:space="preserve"> 3 </t>
    </r>
    <r>
      <rPr>
        <sz val="11"/>
        <color rgb="FF1F1F1F"/>
        <rFont val="宋体"/>
        <charset val="134"/>
      </rPr>
      <t>个巧克力的消耗。</t>
    </r>
  </si>
  <si>
    <r>
      <rPr>
        <sz val="11"/>
        <color rgb="FF1F1F1F"/>
        <rFont val="Arial"/>
        <charset val="134"/>
      </rPr>
      <t xml:space="preserve">4 </t>
    </r>
    <r>
      <rPr>
        <sz val="11"/>
        <color rgb="FF1F1F1F"/>
        <rFont val="宋体"/>
        <charset val="134"/>
      </rPr>
      <t>本爱经</t>
    </r>
    <r>
      <rPr>
        <sz val="11"/>
        <color rgb="FF1F1F1F"/>
        <rFont val="Arial"/>
        <charset val="134"/>
      </rPr>
      <t xml:space="preserve"> + 4 </t>
    </r>
    <r>
      <rPr>
        <sz val="11"/>
        <color rgb="FF1F1F1F"/>
        <rFont val="宋体"/>
        <charset val="134"/>
      </rPr>
      <t>个蛋糕</t>
    </r>
  </si>
  <si>
    <r>
      <rPr>
        <i/>
        <sz val="11"/>
        <color rgb="FF1F1F1F"/>
        <rFont val="宋体"/>
        <charset val="134"/>
      </rPr>
      <t>无法避开</t>
    </r>
    <r>
      <rPr>
        <sz val="11"/>
        <color rgb="FF1F1F1F"/>
        <rFont val="宋体"/>
        <charset val="134"/>
      </rPr>
      <t>。硬性卡关剧情，必须吃掉</t>
    </r>
    <r>
      <rPr>
        <sz val="11"/>
        <color rgb="FF1F1F1F"/>
        <rFont val="Arial"/>
        <charset val="134"/>
      </rPr>
      <t xml:space="preserve"> 4 </t>
    </r>
    <r>
      <rPr>
        <sz val="11"/>
        <color rgb="FF1F1F1F"/>
        <rFont val="宋体"/>
        <charset val="134"/>
      </rPr>
      <t>个蛋糕了。</t>
    </r>
  </si>
  <si>
    <r>
      <rPr>
        <sz val="11"/>
        <color rgb="FF1F1F1F"/>
        <rFont val="Arial"/>
        <charset val="134"/>
      </rPr>
      <t xml:space="preserve">1 </t>
    </r>
    <r>
      <rPr>
        <sz val="11"/>
        <color rgb="FF1F1F1F"/>
        <rFont val="宋体"/>
        <charset val="134"/>
      </rPr>
      <t>朵玫瑰</t>
    </r>
    <r>
      <rPr>
        <sz val="11"/>
        <color rgb="FF1F1F1F"/>
        <rFont val="Arial"/>
        <charset val="134"/>
      </rPr>
      <t xml:space="preserve"> + 1 </t>
    </r>
    <r>
      <rPr>
        <sz val="11"/>
        <color rgb="FF1F1F1F"/>
        <rFont val="宋体"/>
        <charset val="134"/>
      </rPr>
      <t>本色情杂志</t>
    </r>
  </si>
  <si>
    <t>成功避开了需要消耗大量肛塞的路线。</t>
  </si>
  <si>
    <r>
      <rPr>
        <sz val="11"/>
        <color rgb="FF1F1F1F"/>
        <rFont val="Arial"/>
        <charset val="134"/>
      </rPr>
      <t xml:space="preserve">2 </t>
    </r>
    <r>
      <rPr>
        <sz val="11"/>
        <color rgb="FF1F1F1F"/>
        <rFont val="宋体"/>
        <charset val="134"/>
      </rPr>
      <t>个戒指</t>
    </r>
    <r>
      <rPr>
        <sz val="11"/>
        <color rgb="FF1F1F1F"/>
        <rFont val="Arial"/>
        <charset val="134"/>
      </rPr>
      <t xml:space="preserve"> + 2 </t>
    </r>
    <r>
      <rPr>
        <sz val="11"/>
        <color rgb="FF1F1F1F"/>
        <rFont val="宋体"/>
        <charset val="134"/>
      </rPr>
      <t>瓶迷情药水</t>
    </r>
  </si>
  <si>
    <r>
      <rPr>
        <sz val="11"/>
        <color rgb="FF1F1F1F"/>
        <rFont val="宋体"/>
        <charset val="134"/>
      </rPr>
      <t>绝对不要选另一条要吃</t>
    </r>
    <r>
      <rPr>
        <sz val="11"/>
        <color rgb="FF1F1F1F"/>
        <rFont val="Arial"/>
        <charset val="134"/>
      </rPr>
      <t xml:space="preserve"> 2 </t>
    </r>
    <r>
      <rPr>
        <sz val="11"/>
        <color rgb="FF1F1F1F"/>
        <rFont val="宋体"/>
        <charset val="134"/>
      </rPr>
      <t>个蛋糕和</t>
    </r>
    <r>
      <rPr>
        <sz val="11"/>
        <color rgb="FF1F1F1F"/>
        <rFont val="Arial"/>
        <charset val="134"/>
      </rPr>
      <t xml:space="preserve"> 2 </t>
    </r>
    <r>
      <rPr>
        <sz val="11"/>
        <color rgb="FF1F1F1F"/>
        <rFont val="宋体"/>
        <charset val="134"/>
      </rPr>
      <t>个巧克力的血亏路线！</t>
    </r>
  </si>
  <si>
    <r>
      <rPr>
        <sz val="11"/>
        <color rgb="FF1F1F1F"/>
        <rFont val="宋体"/>
        <charset val="134"/>
      </rPr>
      <t>成功省下了</t>
    </r>
    <r>
      <rPr>
        <sz val="11"/>
        <color rgb="FF1F1F1F"/>
        <rFont val="Arial"/>
        <charset val="134"/>
      </rPr>
      <t xml:space="preserve"> 3 </t>
    </r>
    <r>
      <rPr>
        <sz val="11"/>
        <color rgb="FF1F1F1F"/>
        <rFont val="宋体"/>
        <charset val="134"/>
      </rPr>
      <t>个极其稀缺的耳环。</t>
    </r>
  </si>
  <si>
    <r>
      <rPr>
        <sz val="11"/>
        <color rgb="FF1F1F1F"/>
        <rFont val="Arial"/>
        <charset val="134"/>
      </rPr>
      <t xml:space="preserve">1 </t>
    </r>
    <r>
      <rPr>
        <sz val="11"/>
        <color rgb="FF1F1F1F"/>
        <rFont val="宋体"/>
        <charset val="134"/>
      </rPr>
      <t>瓶香水</t>
    </r>
    <r>
      <rPr>
        <sz val="11"/>
        <color rgb="FF1F1F1F"/>
        <rFont val="Arial"/>
        <charset val="134"/>
      </rPr>
      <t xml:space="preserve"> + 1 </t>
    </r>
    <r>
      <rPr>
        <sz val="11"/>
        <color rgb="FF1F1F1F"/>
        <rFont val="宋体"/>
        <charset val="134"/>
      </rPr>
      <t>本爱经</t>
    </r>
  </si>
  <si>
    <r>
      <rPr>
        <sz val="11"/>
        <color rgb="FF1F1F1F"/>
        <rFont val="Arial"/>
        <charset val="134"/>
      </rPr>
      <t xml:space="preserve">2 </t>
    </r>
    <r>
      <rPr>
        <sz val="11"/>
        <color rgb="FF1F1F1F"/>
        <rFont val="宋体"/>
        <charset val="134"/>
      </rPr>
      <t>个拉珠</t>
    </r>
    <r>
      <rPr>
        <sz val="11"/>
        <color rgb="FF1F1F1F"/>
        <rFont val="Arial"/>
        <charset val="134"/>
      </rPr>
      <t xml:space="preserve"> + 2 </t>
    </r>
    <r>
      <rPr>
        <sz val="11"/>
        <color rgb="FF1F1F1F"/>
        <rFont val="宋体"/>
        <charset val="134"/>
      </rPr>
      <t>瓶迷情药水</t>
    </r>
  </si>
  <si>
    <t>消耗两个大富余项，无压力。</t>
  </si>
  <si>
    <r>
      <rPr>
        <sz val="11"/>
        <color rgb="FF1F1F1F"/>
        <rFont val="Arial"/>
        <charset val="134"/>
      </rPr>
      <t xml:space="preserve">3 </t>
    </r>
    <r>
      <rPr>
        <sz val="11"/>
        <color rgb="FF1F1F1F"/>
        <rFont val="宋体"/>
        <charset val="134"/>
      </rPr>
      <t>瓶香水</t>
    </r>
    <r>
      <rPr>
        <sz val="11"/>
        <color rgb="FF1F1F1F"/>
        <rFont val="Arial"/>
        <charset val="134"/>
      </rPr>
      <t xml:space="preserve"> + 3 </t>
    </r>
    <r>
      <rPr>
        <sz val="11"/>
        <color rgb="FF1F1F1F"/>
        <rFont val="宋体"/>
        <charset val="134"/>
      </rPr>
      <t>个蜡烛</t>
    </r>
  </si>
  <si>
    <r>
      <rPr>
        <sz val="11"/>
        <color rgb="FF1F1F1F"/>
        <rFont val="宋体"/>
        <charset val="134"/>
      </rPr>
      <t>成功省下</t>
    </r>
    <r>
      <rPr>
        <sz val="11"/>
        <color rgb="FF1F1F1F"/>
        <rFont val="Arial"/>
        <charset val="134"/>
      </rPr>
      <t xml:space="preserve"> 3 </t>
    </r>
    <r>
      <rPr>
        <sz val="11"/>
        <color rgb="FF1F1F1F"/>
        <rFont val="宋体"/>
        <charset val="134"/>
      </rPr>
      <t>本爱经和</t>
    </r>
    <r>
      <rPr>
        <sz val="11"/>
        <color rgb="FF1F1F1F"/>
        <rFont val="Arial"/>
        <charset val="134"/>
      </rPr>
      <t xml:space="preserve"> 3 </t>
    </r>
    <r>
      <rPr>
        <sz val="11"/>
        <color rgb="FF1F1F1F"/>
        <rFont val="宋体"/>
        <charset val="134"/>
      </rPr>
      <t>朵玫瑰。</t>
    </r>
  </si>
  <si>
    <t>《Shelter 69》全图鉴·全阶调情零兑换消耗总表</t>
  </si>
  <si>
    <t>/：代表该阶段你在游戏中已经完成（但其对应的原生最优消耗，已在备注中明确列出并计入资产损耗）。</t>
  </si>
  <si>
    <t>加粗中文道具：为你目前库存极度溢出（40～60+）的废料物资，可闭眼大量交出。</t>
  </si>
  <si>
    <t>游戏章节</t>
  </si>
  <si>
    <t>角色姓名 (Champion)</t>
  </si>
  <si>
    <t>阶段 1 (Flirt 1)</t>
  </si>
  <si>
    <t>阶段 2 (Flirt 2)</t>
  </si>
  <si>
    <t>阶段 3 (Flirt 3)</t>
  </si>
  <si>
    <t>第六章</t>
  </si>
  <si>
    <t>3 个肛塞 + 2 瓶香槟</t>
  </si>
  <si>
    <t>无需道具 (None)</t>
  </si>
  <si>
    <t>暂不升</t>
  </si>
  <si>
    <r>
      <rPr>
        <sz val="11"/>
        <color theme="1"/>
        <rFont val="Arial"/>
        <charset val="134"/>
      </rPr>
      <t>阶段 1 选左路，</t>
    </r>
    <r>
      <rPr>
        <b/>
        <sz val="11"/>
        <color theme="1"/>
        <rFont val="Arial"/>
        <charset val="134"/>
      </rPr>
      <t>100% 避开 3 个巧克力盒</t>
    </r>
    <r>
      <rPr>
        <sz val="11"/>
        <color theme="1"/>
        <rFont val="Arial"/>
        <charset val="134"/>
      </rPr>
      <t>！</t>
    </r>
  </si>
  <si>
    <t>第五章</t>
  </si>
  <si>
    <r>
      <rPr>
        <sz val="11"/>
        <color theme="1"/>
        <rFont val="Arial"/>
        <charset val="134"/>
      </rPr>
      <t xml:space="preserve">2 个耳环 + </t>
    </r>
    <r>
      <rPr>
        <b/>
        <sz val="11"/>
        <color theme="1"/>
        <rFont val="Arial"/>
        <charset val="134"/>
      </rPr>
      <t>3 瓶迷情药水</t>
    </r>
  </si>
  <si>
    <r>
      <rPr>
        <b/>
        <sz val="11"/>
        <color theme="1"/>
        <rFont val="Arial"/>
        <charset val="134"/>
      </rPr>
      <t>3 个蜡烛</t>
    </r>
    <r>
      <rPr>
        <sz val="11"/>
        <color theme="1"/>
        <rFont val="Arial"/>
        <charset val="134"/>
      </rPr>
      <t xml:space="preserve"> + </t>
    </r>
    <r>
      <rPr>
        <b/>
        <sz val="11"/>
        <color theme="1"/>
        <rFont val="Arial"/>
        <charset val="134"/>
      </rPr>
      <t>4 本色情杂志</t>
    </r>
  </si>
  <si>
    <t>阶段 1 另一边要蛋糕，这里忍痛交 2 耳环更合算。</t>
  </si>
  <si>
    <t>第一章</t>
  </si>
  <si>
    <t>/</t>
  </si>
  <si>
    <t>原生最佳：[1拉珠+1肛塞] $\rightarrow$ [2蜡烛+2杂志] $\rightarrow$ [3糖果+3玫瑰]</t>
  </si>
  <si>
    <t>第三章</t>
  </si>
  <si>
    <r>
      <rPr>
        <sz val="11"/>
        <color theme="1"/>
        <rFont val="Arial"/>
        <charset val="134"/>
      </rPr>
      <t xml:space="preserve">2 蛋糕 + </t>
    </r>
    <r>
      <rPr>
        <b/>
        <sz val="11"/>
        <color theme="1"/>
        <rFont val="Arial"/>
        <charset val="134"/>
      </rPr>
      <t>2 个情趣拉珠</t>
    </r>
  </si>
  <si>
    <r>
      <rPr>
        <b/>
        <sz val="11"/>
        <color theme="1"/>
        <rFont val="Arial"/>
        <charset val="134"/>
      </rPr>
      <t>3 个手铐</t>
    </r>
    <r>
      <rPr>
        <sz val="11"/>
        <color theme="1"/>
        <rFont val="Arial"/>
        <charset val="134"/>
      </rPr>
      <t xml:space="preserve"> + 3 个花束</t>
    </r>
  </si>
  <si>
    <t>阶段 1 没糖果硬吃 2 蛋糕；阶段 2、3 完美避开耳环。</t>
  </si>
  <si>
    <t>3 个肛塞 + 2 个花束</t>
  </si>
  <si>
    <t>4 个蜡烛 + 3 个花束</t>
  </si>
  <si>
    <t>阶段 1 选右路保拉珠；阶段 2 选右路保玫瑰。</t>
  </si>
  <si>
    <t>限定角色</t>
  </si>
  <si>
    <t>无需前置道具 (None)</t>
  </si>
  <si>
    <r>
      <rPr>
        <b/>
        <sz val="11"/>
        <color theme="1"/>
        <rFont val="Arial"/>
        <charset val="134"/>
      </rPr>
      <t>4 朵玫瑰</t>
    </r>
    <r>
      <rPr>
        <sz val="11"/>
        <color theme="1"/>
        <rFont val="Arial"/>
        <charset val="134"/>
      </rPr>
      <t xml:space="preserve"> + </t>
    </r>
    <r>
      <rPr>
        <b/>
        <sz val="11"/>
        <color theme="1"/>
        <rFont val="Arial"/>
        <charset val="134"/>
      </rPr>
      <t>4 本色情杂志</t>
    </r>
  </si>
  <si>
    <t>阶段 2 走左路，清空你高溢出的玫瑰和杂志。</t>
  </si>
  <si>
    <t>第四章</t>
  </si>
  <si>
    <t>4 瓶迷情药水</t>
  </si>
  <si>
    <r>
      <rPr>
        <b/>
        <sz val="11"/>
        <color theme="1"/>
        <rFont val="Arial"/>
        <charset val="134"/>
      </rPr>
      <t>3 瓶香水</t>
    </r>
    <r>
      <rPr>
        <sz val="11"/>
        <color theme="1"/>
        <rFont val="Arial"/>
        <charset val="134"/>
      </rPr>
      <t xml:space="preserve"> + </t>
    </r>
    <r>
      <rPr>
        <b/>
        <sz val="11"/>
        <color theme="1"/>
        <rFont val="Arial"/>
        <charset val="134"/>
      </rPr>
      <t>4 个蜡烛</t>
    </r>
  </si>
  <si>
    <t>阶段 1 右路、阶段 2 右路，完美避开所有耳环消耗。</t>
  </si>
  <si>
    <t>阶段 3 完美的省耳环路线，纯倒你多余的杂志。</t>
  </si>
  <si>
    <t>2 瓶香水</t>
  </si>
  <si>
    <t>阶段 2 免道具已过。阶段 3 消耗爆仓的香水。</t>
  </si>
  <si>
    <t>第八章</t>
  </si>
  <si>
    <r>
      <rPr>
        <b/>
        <sz val="11"/>
        <color theme="1"/>
        <rFont val="Arial"/>
        <charset val="134"/>
      </rPr>
      <t>3 个蜡烛</t>
    </r>
    <r>
      <rPr>
        <sz val="11"/>
        <color theme="1"/>
        <rFont val="Arial"/>
        <charset val="134"/>
      </rPr>
      <t xml:space="preserve"> + </t>
    </r>
    <r>
      <rPr>
        <b/>
        <sz val="11"/>
        <color theme="1"/>
        <rFont val="Arial"/>
        <charset val="134"/>
      </rPr>
      <t>3 个戒指</t>
    </r>
  </si>
  <si>
    <t>4 个手铐 + 4 个耳环</t>
  </si>
  <si>
    <t>阶段 1 右路保香水；阶段 2 属于硬卡，吃4耳环。</t>
  </si>
  <si>
    <t>第七章</t>
  </si>
  <si>
    <t>3 朵玫瑰 + 2 瓶香槟</t>
  </si>
  <si>
    <t>4 个耳环 + 4 朵玫瑰</t>
  </si>
  <si>
    <t>阶段 1 左路保巧克力；阶段 2 属于硬卡，吃4耳环。</t>
  </si>
  <si>
    <r>
      <rPr>
        <sz val="11"/>
        <color theme="1"/>
        <rFont val="Arial"/>
        <charset val="134"/>
      </rPr>
      <t xml:space="preserve">3 个肛塞 + </t>
    </r>
    <r>
      <rPr>
        <b/>
        <sz val="11"/>
        <color theme="1"/>
        <rFont val="Arial"/>
        <charset val="134"/>
      </rPr>
      <t>3 本色情杂志</t>
    </r>
  </si>
  <si>
    <t>4 瓶香水 + 4 个肛塞</t>
  </si>
  <si>
    <t>阶段 1 右路保手束；阶段 2 左路保迷情药水。</t>
  </si>
  <si>
    <r>
      <rPr>
        <b/>
        <sz val="11"/>
        <color theme="1"/>
        <rFont val="Arial"/>
        <charset val="134"/>
      </rPr>
      <t>2 个蜡烛</t>
    </r>
    <r>
      <rPr>
        <sz val="11"/>
        <color theme="1"/>
        <rFont val="Arial"/>
        <charset val="134"/>
      </rPr>
      <t xml:space="preserve"> + 2 个花束</t>
    </r>
  </si>
  <si>
    <t>3 个手铐 + 3 朵玫瑰</t>
  </si>
  <si>
    <t>阶段 1 右路、阶段 2 左路，全力绕开蛋糕和耳环。</t>
  </si>
  <si>
    <t>3 个手铐 + 3 巧克力盒</t>
  </si>
  <si>
    <t>阶段 1 左路省耳环；阶段 2 左路省药水。</t>
  </si>
  <si>
    <r>
      <rPr>
        <sz val="11"/>
        <color theme="1"/>
        <rFont val="Arial"/>
        <charset val="134"/>
      </rPr>
      <t xml:space="preserve">3 本爱经 + </t>
    </r>
    <r>
      <rPr>
        <b/>
        <sz val="11"/>
        <color theme="1"/>
        <rFont val="Arial"/>
        <charset val="134"/>
      </rPr>
      <t>2 本色情杂志</t>
    </r>
  </si>
  <si>
    <t>1 瓶香水 + 2 玫瑰 + 2 香槟</t>
  </si>
  <si>
    <t>阶段 1 左路保巧克力；阶段 2 选右路省下花束。</t>
  </si>
  <si>
    <r>
      <rPr>
        <sz val="11"/>
        <color theme="1"/>
        <rFont val="Arial"/>
        <charset val="134"/>
      </rPr>
      <t xml:space="preserve">3 本爱经 + </t>
    </r>
    <r>
      <rPr>
        <b/>
        <sz val="11"/>
        <color theme="1"/>
        <rFont val="Arial"/>
        <charset val="134"/>
      </rPr>
      <t>3 本色情杂志</t>
    </r>
  </si>
  <si>
    <r>
      <rPr>
        <sz val="11"/>
        <color theme="1"/>
        <rFont val="Arial"/>
        <charset val="134"/>
      </rPr>
      <t xml:space="preserve">阶段 3 </t>
    </r>
    <r>
      <rPr>
        <b/>
        <sz val="11"/>
        <color theme="1"/>
        <rFont val="Arial"/>
        <charset val="134"/>
      </rPr>
      <t>绝对不要点另一条</t>
    </r>
    <r>
      <rPr>
        <sz val="11"/>
        <color theme="1"/>
        <rFont val="Arial"/>
        <charset val="134"/>
      </rPr>
      <t>（3 蛋糕 + 3 巧克力）。</t>
    </r>
  </si>
  <si>
    <t>3 巧克力盒 + 3 瓶香槟</t>
  </si>
  <si>
    <t>阶段 3 强吃巧克力与香槟，成功帮你保住蛋糕。</t>
  </si>
  <si>
    <r>
      <rPr>
        <sz val="11"/>
        <color theme="1"/>
        <rFont val="Arial"/>
        <charset val="134"/>
      </rPr>
      <t xml:space="preserve">4 个肛塞 + </t>
    </r>
    <r>
      <rPr>
        <b/>
        <sz val="11"/>
        <color theme="1"/>
        <rFont val="Arial"/>
        <charset val="134"/>
      </rPr>
      <t>3 个情趣拉珠</t>
    </r>
  </si>
  <si>
    <t>阶段 3 消耗你充足的肛塞和拉珠，避开花束。</t>
  </si>
  <si>
    <r>
      <rPr>
        <b/>
        <sz val="11"/>
        <color theme="1"/>
        <rFont val="Arial"/>
        <charset val="134"/>
      </rPr>
      <t>3 个情趣拉珠</t>
    </r>
    <r>
      <rPr>
        <sz val="11"/>
        <color theme="1"/>
        <rFont val="Arial"/>
        <charset val="134"/>
      </rPr>
      <t xml:space="preserve"> + 2 朵玫瑰</t>
    </r>
  </si>
  <si>
    <r>
      <rPr>
        <sz val="11"/>
        <color theme="1"/>
        <rFont val="Arial"/>
        <charset val="134"/>
      </rPr>
      <t xml:space="preserve">4 本爱经 + </t>
    </r>
    <r>
      <rPr>
        <b/>
        <sz val="11"/>
        <color theme="1"/>
        <rFont val="Arial"/>
        <charset val="134"/>
      </rPr>
      <t>3 个戒指</t>
    </r>
  </si>
  <si>
    <t>阶段 1 左路保耳环；阶段 2 左路保巧克力盒。</t>
  </si>
  <si>
    <t>第二章</t>
  </si>
  <si>
    <r>
      <rPr>
        <b/>
        <sz val="11"/>
        <color theme="1"/>
        <rFont val="Arial"/>
        <charset val="134"/>
      </rPr>
      <t>3 瓶香水</t>
    </r>
    <r>
      <rPr>
        <sz val="11"/>
        <color theme="1"/>
        <rFont val="Arial"/>
        <charset val="134"/>
      </rPr>
      <t xml:space="preserve"> + 3 个耳环</t>
    </r>
  </si>
  <si>
    <t>阶段 3 为网页硬性死穴，两边避不开，须给 3 耳环。</t>
  </si>
  <si>
    <t>2 瓶香水 + 3 本爱经</t>
  </si>
  <si>
    <r>
      <rPr>
        <b/>
        <sz val="11"/>
        <color theme="1"/>
        <rFont val="Arial"/>
        <charset val="134"/>
      </rPr>
      <t>4 个手铐</t>
    </r>
    <r>
      <rPr>
        <sz val="11"/>
        <color theme="1"/>
        <rFont val="Arial"/>
        <charset val="134"/>
      </rPr>
      <t xml:space="preserve"> + 3 个花束</t>
    </r>
  </si>
  <si>
    <t>阶段 1 右路保蛋糕；阶段 2 右路保肛塞。</t>
  </si>
  <si>
    <t>2 个肛塞 + 3 朵玫瑰</t>
  </si>
  <si>
    <t>阶段 3 完美帮你省下 2 个蛋糕。</t>
  </si>
  <si>
    <r>
      <rPr>
        <sz val="11"/>
        <color theme="1"/>
        <rFont val="Arial"/>
        <charset val="134"/>
      </rPr>
      <t xml:space="preserve">3 本爱经 + </t>
    </r>
    <r>
      <rPr>
        <b/>
        <sz val="11"/>
        <color theme="1"/>
        <rFont val="Arial"/>
        <charset val="134"/>
      </rPr>
      <t>3 瓶迷情药水</t>
    </r>
  </si>
  <si>
    <r>
      <rPr>
        <b/>
        <sz val="11"/>
        <color theme="1"/>
        <rFont val="Arial"/>
        <charset val="134"/>
      </rPr>
      <t>4 个蜡烛</t>
    </r>
    <r>
      <rPr>
        <sz val="11"/>
        <color theme="1"/>
        <rFont val="Arial"/>
        <charset val="134"/>
      </rPr>
      <t xml:space="preserve"> + </t>
    </r>
    <r>
      <rPr>
        <b/>
        <sz val="11"/>
        <color theme="1"/>
        <rFont val="Arial"/>
        <charset val="134"/>
      </rPr>
      <t>4 个情趣拉珠</t>
    </r>
  </si>
  <si>
    <r>
      <rPr>
        <sz val="11"/>
        <color theme="1"/>
        <rFont val="Arial"/>
        <charset val="134"/>
      </rPr>
      <t>阶段 1 左路保耳环；阶段 2 右路</t>
    </r>
    <r>
      <rPr>
        <b/>
        <sz val="11"/>
        <color theme="1"/>
        <rFont val="Arial"/>
        <charset val="134"/>
      </rPr>
      <t>暴省 4 个大蛋糕</t>
    </r>
    <r>
      <rPr>
        <sz val="11"/>
        <color theme="1"/>
        <rFont val="Arial"/>
        <charset val="134"/>
      </rPr>
      <t>。</t>
    </r>
  </si>
  <si>
    <r>
      <rPr>
        <sz val="11"/>
        <color theme="1"/>
        <rFont val="Arial"/>
        <charset val="134"/>
      </rPr>
      <t xml:space="preserve">3 个肛塞 + </t>
    </r>
    <r>
      <rPr>
        <b/>
        <sz val="11"/>
        <color theme="1"/>
        <rFont val="Arial"/>
        <charset val="134"/>
      </rPr>
      <t>3 个情趣拉珠</t>
    </r>
  </si>
  <si>
    <t>阶段 3 成功避免消耗 3 个耳环和 3 个巧克力盒。</t>
  </si>
  <si>
    <t>2 巧克力 + 2 瓶香槟</t>
  </si>
  <si>
    <r>
      <rPr>
        <sz val="11"/>
        <color theme="1"/>
        <rFont val="Arial"/>
        <charset val="134"/>
      </rPr>
      <t xml:space="preserve">3 朵玫瑰 + </t>
    </r>
    <r>
      <rPr>
        <b/>
        <sz val="11"/>
        <color theme="1"/>
        <rFont val="Arial"/>
        <charset val="134"/>
      </rPr>
      <t>3 个情趣拉珠</t>
    </r>
  </si>
  <si>
    <t>阶段 1 左路保蛋糕；阶段 2 左路保手铐。</t>
  </si>
  <si>
    <r>
      <rPr>
        <sz val="11"/>
        <color theme="1"/>
        <rFont val="Arial"/>
        <charset val="134"/>
      </rPr>
      <t xml:space="preserve">4 本爱经 + </t>
    </r>
    <r>
      <rPr>
        <b/>
        <sz val="11"/>
        <color theme="1"/>
        <rFont val="Arial"/>
        <charset val="134"/>
      </rPr>
      <t>3 个情趣拉珠</t>
    </r>
  </si>
  <si>
    <t>阶段 3 史诗级避坑！一波帮你省下了 4 个珍贵耳环。</t>
  </si>
  <si>
    <r>
      <rPr>
        <b/>
        <sz val="11"/>
        <color theme="1"/>
        <rFont val="Arial"/>
        <charset val="134"/>
      </rPr>
      <t>3 个蜡烛</t>
    </r>
    <r>
      <rPr>
        <sz val="11"/>
        <color theme="1"/>
        <rFont val="Arial"/>
        <charset val="134"/>
      </rPr>
      <t xml:space="preserve"> + 2 瓶香槟</t>
    </r>
  </si>
  <si>
    <r>
      <rPr>
        <sz val="11"/>
        <color theme="1"/>
        <rFont val="Arial"/>
        <charset val="134"/>
      </rPr>
      <t xml:space="preserve">3 本爱经 + </t>
    </r>
    <r>
      <rPr>
        <b/>
        <sz val="11"/>
        <color theme="1"/>
        <rFont val="Arial"/>
        <charset val="134"/>
      </rPr>
      <t>4 本色情杂志</t>
    </r>
  </si>
  <si>
    <r>
      <rPr>
        <b/>
        <sz val="11"/>
        <color theme="1"/>
        <rFont val="Arial"/>
        <charset val="134"/>
      </rPr>
      <t>2 瓶香水</t>
    </r>
    <r>
      <rPr>
        <sz val="11"/>
        <color theme="1"/>
        <rFont val="Arial"/>
        <charset val="134"/>
      </rPr>
      <t xml:space="preserve"> + 3 朵玫瑰</t>
    </r>
  </si>
  <si>
    <r>
      <rPr>
        <b/>
        <sz val="11"/>
        <color theme="1"/>
        <rFont val="Arial"/>
        <charset val="134"/>
      </rPr>
      <t>4 瓶香水</t>
    </r>
    <r>
      <rPr>
        <sz val="11"/>
        <color theme="1"/>
        <rFont val="Arial"/>
        <charset val="134"/>
      </rPr>
      <t xml:space="preserve"> + 3 瓶香槟</t>
    </r>
  </si>
  <si>
    <t>阶段 1 右路保戒指；阶段 2 右路保耳环。</t>
  </si>
  <si>
    <r>
      <rPr>
        <b/>
        <sz val="11"/>
        <color theme="1"/>
        <rFont val="Arial"/>
        <charset val="134"/>
      </rPr>
      <t>3 个蜡烛</t>
    </r>
    <r>
      <rPr>
        <sz val="11"/>
        <color theme="1"/>
        <rFont val="Arial"/>
        <charset val="134"/>
      </rPr>
      <t xml:space="preserve"> + 3 朵玫瑰</t>
    </r>
  </si>
  <si>
    <r>
      <rPr>
        <sz val="11"/>
        <color theme="1"/>
        <rFont val="Arial"/>
        <charset val="134"/>
      </rPr>
      <t>阶段 1 选右路，</t>
    </r>
    <r>
      <rPr>
        <b/>
        <sz val="11"/>
        <color theme="1"/>
        <rFont val="Arial"/>
        <charset val="134"/>
      </rPr>
      <t>100% 绕开 3 个大蛋糕</t>
    </r>
    <r>
      <rPr>
        <sz val="11"/>
        <color theme="1"/>
        <rFont val="Arial"/>
        <charset val="134"/>
      </rPr>
      <t>！</t>
    </r>
  </si>
  <si>
    <r>
      <rPr>
        <b/>
        <sz val="11"/>
        <color theme="1"/>
        <rFont val="Arial"/>
        <charset val="134"/>
      </rPr>
      <t>3 瓶香水</t>
    </r>
    <r>
      <rPr>
        <sz val="11"/>
        <color theme="1"/>
        <rFont val="Arial"/>
        <charset val="134"/>
      </rPr>
      <t xml:space="preserve"> + 3 朵玫瑰</t>
    </r>
  </si>
  <si>
    <t>阶段 1 选右路，极大程度地保护你的戒指。</t>
  </si>
  <si>
    <t>4 瓶香水 + 3 本爱经</t>
  </si>
  <si>
    <t>阶段 1 走左路保护拉珠；阶段 2 走左路省下花束。</t>
  </si>
  <si>
    <t>2 个肛塞 + 2 朵玫瑰</t>
  </si>
  <si>
    <r>
      <rPr>
        <sz val="11"/>
        <color theme="1"/>
        <rFont val="Arial"/>
        <charset val="134"/>
      </rPr>
      <t xml:space="preserve">3 本爱经 + </t>
    </r>
    <r>
      <rPr>
        <b/>
        <sz val="11"/>
        <color theme="1"/>
        <rFont val="Arial"/>
        <charset val="134"/>
      </rPr>
      <t>3 个手铐</t>
    </r>
  </si>
  <si>
    <t>阶段 1 避开蛋糕巧克力；阶段 2 避开迷情药水。</t>
  </si>
  <si>
    <r>
      <rPr>
        <b/>
        <sz val="11"/>
        <color theme="1"/>
        <rFont val="Arial"/>
        <charset val="134"/>
      </rPr>
      <t>3 个蜡烛</t>
    </r>
    <r>
      <rPr>
        <sz val="11"/>
        <color theme="1"/>
        <rFont val="Arial"/>
        <charset val="134"/>
      </rPr>
      <t xml:space="preserve"> + </t>
    </r>
    <r>
      <rPr>
        <b/>
        <sz val="11"/>
        <color theme="1"/>
        <rFont val="Arial"/>
        <charset val="134"/>
      </rPr>
      <t>3 个手铐</t>
    </r>
  </si>
  <si>
    <t>阶段 2 免道具已过。阶段 3 纯富余物资消耗。</t>
  </si>
  <si>
    <r>
      <rPr>
        <sz val="11"/>
        <color theme="1"/>
        <rFont val="Arial"/>
        <charset val="134"/>
      </rPr>
      <t xml:space="preserve">2 个肛塞 + </t>
    </r>
    <r>
      <rPr>
        <b/>
        <sz val="11"/>
        <color theme="1"/>
        <rFont val="Arial"/>
        <charset val="134"/>
      </rPr>
      <t>2 个情趣拉珠</t>
    </r>
  </si>
  <si>
    <r>
      <rPr>
        <b/>
        <sz val="11"/>
        <color theme="1"/>
        <rFont val="Arial"/>
        <charset val="134"/>
      </rPr>
      <t>3 肛塞</t>
    </r>
    <r>
      <rPr>
        <sz val="11"/>
        <color theme="1"/>
        <rFont val="Arial"/>
        <charset val="134"/>
      </rPr>
      <t xml:space="preserve"> + </t>
    </r>
    <r>
      <rPr>
        <b/>
        <sz val="11"/>
        <color theme="1"/>
        <rFont val="Arial"/>
        <charset val="134"/>
      </rPr>
      <t>6 拉珠</t>
    </r>
    <r>
      <rPr>
        <sz val="11"/>
        <color theme="1"/>
        <rFont val="Arial"/>
        <charset val="134"/>
      </rPr>
      <t xml:space="preserve"> + </t>
    </r>
    <r>
      <rPr>
        <b/>
        <sz val="11"/>
        <color theme="1"/>
        <rFont val="Arial"/>
        <charset val="134"/>
      </rPr>
      <t>3 杂志</t>
    </r>
  </si>
  <si>
    <r>
      <rPr>
        <sz val="11"/>
        <color theme="1"/>
        <rFont val="Arial"/>
        <charset val="134"/>
      </rPr>
      <t>阶段 2 特意多耗拉珠和杂志，</t>
    </r>
    <r>
      <rPr>
        <b/>
        <sz val="11"/>
        <color theme="1"/>
        <rFont val="Arial"/>
        <charset val="134"/>
      </rPr>
      <t>彻底省下 3 个耳环</t>
    </r>
    <r>
      <rPr>
        <sz val="11"/>
        <color theme="1"/>
        <rFont val="Arial"/>
        <charset val="134"/>
      </rPr>
      <t>！</t>
    </r>
  </si>
  <si>
    <r>
      <rPr>
        <b/>
        <sz val="11"/>
        <color theme="1"/>
        <rFont val="Arial"/>
        <charset val="134"/>
      </rPr>
      <t>2 个戒指</t>
    </r>
    <r>
      <rPr>
        <sz val="11"/>
        <color theme="1"/>
        <rFont val="Arial"/>
        <charset val="134"/>
      </rPr>
      <t xml:space="preserve"> + 2 朵玫瑰</t>
    </r>
  </si>
  <si>
    <r>
      <rPr>
        <sz val="11"/>
        <color theme="1"/>
        <rFont val="Arial"/>
        <charset val="134"/>
      </rPr>
      <t xml:space="preserve">3 个肛塞 + 3 个花束 + </t>
    </r>
    <r>
      <rPr>
        <b/>
        <sz val="11"/>
        <color theme="1"/>
        <rFont val="Arial"/>
        <charset val="134"/>
      </rPr>
      <t>3 拉珠</t>
    </r>
  </si>
  <si>
    <r>
      <rPr>
        <sz val="11"/>
        <color theme="1"/>
        <rFont val="Arial"/>
        <charset val="134"/>
      </rPr>
      <t>阶段 2 走右侧，</t>
    </r>
    <r>
      <rPr>
        <b/>
        <sz val="11"/>
        <color theme="1"/>
        <rFont val="Arial"/>
        <charset val="134"/>
      </rPr>
      <t>100% 帮你省下 3 个蛋糕</t>
    </r>
    <r>
      <rPr>
        <sz val="11"/>
        <color theme="1"/>
        <rFont val="Arial"/>
        <charset val="134"/>
      </rPr>
      <t>！</t>
    </r>
  </si>
  <si>
    <r>
      <rPr>
        <sz val="11"/>
        <color theme="1"/>
        <rFont val="Arial"/>
        <charset val="134"/>
      </rPr>
      <t xml:space="preserve">2 本爱经 + </t>
    </r>
    <r>
      <rPr>
        <b/>
        <sz val="11"/>
        <color theme="1"/>
        <rFont val="Arial"/>
        <charset val="134"/>
      </rPr>
      <t>2 个情趣拉珠</t>
    </r>
  </si>
  <si>
    <t>阶段 1、2 完美保护你数量稀缺的耳环和巧克力。</t>
  </si>
  <si>
    <t>原生最佳：[1玫瑰+1杂志] $\rightarrow$ [2戒指+2药水] $\rightarrow$ [3爱经+3手铐]</t>
  </si>
  <si>
    <r>
      <rPr>
        <b/>
        <sz val="11"/>
        <color theme="1"/>
        <rFont val="Arial"/>
        <charset val="134"/>
      </rPr>
      <t>2 本色情杂志</t>
    </r>
    <r>
      <rPr>
        <sz val="11"/>
        <color theme="1"/>
        <rFont val="Arial"/>
        <charset val="134"/>
      </rPr>
      <t xml:space="preserve"> + 3 个花束</t>
    </r>
  </si>
  <si>
    <t>3 本爱经 + 4 个肛塞</t>
  </si>
  <si>
    <t>阶段 1 选右路，完美避开了蛋糕和迷情药水。</t>
  </si>
  <si>
    <t>原生最佳：[1香水+1爱经] $\rightarrow$ [2拉珠+2药水] $\rightarrow$ [3香水+3蜡烛]</t>
  </si>
  <si>
    <t>不点虚高的阶段 3，只完成目前的冲刺目标（未完成的 Samantha 到 Banka 全员冲到 Flirt 2），你的稀缺原生库存扣除情况如下：</t>
  </si>
  <si>
    <t>蛋糕 (CAKE)：原有 28 个 $\rightarrow$ 扣除 2 个（Ann 阶段 1 死穴） $\rightarrow$ 最终全图雷打不动剩余 26 个。</t>
  </si>
  <si>
    <t>耳环 (EARRINGS)：原有 32 个 $\rightarrow$ 扣除 2 个（Amelia 阶段 1）+ 4 个（Diana 阶段 2）+ 4 个（Devi 阶段 2） $\rightarrow$ 最终剩余 22 个（通过多消耗爆仓的拉珠、杂志，我们已经在线路中强行拦截了绝大部分的耳环消耗！）。</t>
  </si>
  <si>
    <t>现在这个表格包含了所有过去、现在以及未来的完美避坑细节，你可以放心切回游戏无脑推了！</t>
  </si>
  <si>
    <r>
      <rPr>
        <b/>
        <sz val="11"/>
        <color theme="1"/>
        <rFont val="宋体"/>
        <charset val="134"/>
        <scheme val="minor"/>
      </rPr>
      <t>F</t>
    </r>
    <r>
      <rPr>
        <sz val="11"/>
        <color theme="1"/>
        <rFont val="宋体"/>
        <charset val="134"/>
        <scheme val="minor"/>
      </rPr>
      <t xml:space="preserve">ormula </t>
    </r>
    <r>
      <rPr>
        <b/>
        <sz val="11"/>
        <color theme="1"/>
        <rFont val="宋体"/>
        <charset val="134"/>
        <scheme val="minor"/>
      </rPr>
      <t>R</t>
    </r>
    <r>
      <rPr>
        <sz val="11"/>
        <color theme="1"/>
        <rFont val="宋体"/>
        <charset val="134"/>
        <scheme val="minor"/>
      </rPr>
      <t xml:space="preserve">eference </t>
    </r>
    <r>
      <rPr>
        <b/>
        <sz val="11"/>
        <color theme="1"/>
        <rFont val="宋体"/>
        <charset val="134"/>
        <scheme val="minor"/>
      </rPr>
      <t>S</t>
    </r>
    <r>
      <rPr>
        <sz val="11"/>
        <color theme="1"/>
        <rFont val="宋体"/>
        <charset val="134"/>
        <scheme val="minor"/>
      </rPr>
      <t>heet</t>
    </r>
  </si>
  <si>
    <t>Hide the Sheet when done adding things</t>
  </si>
  <si>
    <t>add the champ level XP Chart? things here?</t>
  </si>
  <si>
    <t>Add the Worker  upgrade Cost/Time Charts to here</t>
  </si>
  <si>
    <t>翻译API</t>
  </si>
  <si>
    <t>sk-6f3c7cb3891f4dd69339e4861fcaede3</t>
  </si>
  <si>
    <t>Trinkets</t>
  </si>
  <si>
    <t>Weapons</t>
  </si>
  <si>
    <t>H(Give) : V(Get)</t>
  </si>
  <si>
    <t>Plasteel Tube</t>
  </si>
  <si>
    <t>Copper Wire</t>
  </si>
  <si>
    <t>Wyvern Hide</t>
  </si>
  <si>
    <t>Chrome Readjuster</t>
  </si>
  <si>
    <t>Rare Sapphire</t>
  </si>
  <si>
    <t>Epic Amethyst</t>
  </si>
  <si>
    <t>Legendary Fire Opal</t>
  </si>
  <si>
    <t>Champagne</t>
  </si>
  <si>
    <t>Porn Magazine</t>
  </si>
  <si>
    <t>Single Rose</t>
  </si>
  <si>
    <t>Love Potion</t>
  </si>
  <si>
    <t>Geisha Balls</t>
  </si>
  <si>
    <t>Bouquet</t>
  </si>
  <si>
    <t>Chocolate Box</t>
  </si>
  <si>
    <t>Butt Plug</t>
  </si>
  <si>
    <t>Earrings</t>
  </si>
  <si>
    <t>Cake</t>
  </si>
  <si>
    <t>Handcuffs</t>
  </si>
  <si>
    <t>Ring</t>
  </si>
  <si>
    <t>Kamasutra</t>
  </si>
  <si>
    <t>Candles</t>
  </si>
  <si>
    <t>Perfumes</t>
  </si>
  <si>
    <t>Credits</t>
  </si>
  <si>
    <t>Stone</t>
  </si>
  <si>
    <t>Metal</t>
  </si>
  <si>
    <t>eLDi</t>
  </si>
  <si>
    <t>Training Materials</t>
  </si>
  <si>
    <t>Get</t>
  </si>
  <si>
    <t>Pay</t>
  </si>
  <si>
    <t>Your Offer</t>
  </si>
  <si>
    <t>Column #</t>
  </si>
  <si>
    <t>Sara's Offer</t>
  </si>
  <si>
    <t>W34</t>
  </si>
  <si>
    <t>Ratio</t>
  </si>
  <si>
    <t>AA34</t>
  </si>
  <si>
    <t>=MATCH(AA34,Item_Get_Give_List_H,0)</t>
  </si>
  <si>
    <t>--To Get--</t>
  </si>
  <si>
    <t>X36</t>
  </si>
  <si>
    <t>Z36</t>
  </si>
  <si>
    <t>=VLOOKUP(AA34,Trading_List_Get_Full, ((MATCH(W34,Item_Get_Give_List_H,0))+1),FALSE)</t>
  </si>
  <si>
    <t>Must Pay</t>
  </si>
  <si>
    <t># of trades</t>
  </si>
  <si>
    <t>Give</t>
  </si>
  <si>
    <t>=VLOOKUP(AA34,Trading_List_Give_Full, ((MATCH(W34,Item_Give_Give_List_H,0))+1),FALSE)</t>
  </si>
  <si>
    <r>
      <rPr>
        <sz val="11"/>
        <color theme="1"/>
        <rFont val="宋体"/>
        <charset val="134"/>
        <scheme val="minor"/>
      </rPr>
      <t xml:space="preserve">Paying </t>
    </r>
    <r>
      <rPr>
        <i/>
        <sz val="11"/>
        <color theme="1"/>
        <rFont val="宋体"/>
        <charset val="134"/>
        <scheme val="minor"/>
      </rPr>
      <t>Horizontal</t>
    </r>
    <r>
      <rPr>
        <sz val="11"/>
        <color theme="1"/>
        <rFont val="宋体"/>
        <charset val="134"/>
        <scheme val="minor"/>
      </rPr>
      <t xml:space="preserve"> to get </t>
    </r>
    <r>
      <rPr>
        <i/>
        <sz val="11"/>
        <color theme="1"/>
        <rFont val="宋体"/>
        <charset val="134"/>
        <scheme val="minor"/>
      </rPr>
      <t>Vertical</t>
    </r>
  </si>
  <si>
    <t>H(you) : V(Her)</t>
  </si>
  <si>
    <t>Adelaide攻速倒数第一，使用X2近战武士刀8次，每级获得+14 的敏捷</t>
  </si>
  <si>
    <t>Devi攻速倒数第二</t>
  </si>
  <si>
    <t>Harriet攻速倒数第三</t>
  </si>
  <si>
    <t>Reznor攻速倒数第三</t>
  </si>
  <si>
    <t>Reznor 近战需要 6 次挥击，远程需要 7 次射击</t>
  </si>
  <si>
    <t>Jane无论是近战还是远程攻击，都需要 4 次攻击</t>
  </si>
  <si>
    <t>Ashley无论是近战还是远程攻击，都需要 4 次攻击</t>
  </si>
  <si>
    <t>Kim需要X4 X2武器都7次攻击装备锋利的砍刀。远程X4要八次。使用X5喷火器要8次。4倍近战武器中锋利的砍刀每攻击的伤害最高，并且护甲穿透力最佳。</t>
  </si>
  <si>
    <t>XX 需要X4武器6次攻击放技能，X2会更快</t>
  </si>
  <si>
    <t>Judith 需要近战X4武器8次攻击，X2稍快，远程x4武器就需要9次攻</t>
  </si>
  <si>
    <t>TessX4武器充能速度要快得多，使用管状武器需要 3 次攻击</t>
  </si>
  <si>
    <t>Martha使用管武器需要5次攻击</t>
  </si>
  <si>
    <t>PamOne/PamTwo/Liza近战X2武士刀，4次。</t>
  </si>
  <si>
    <t>安X2武士刀，4次。X4匕首7次</t>
  </si>
  <si>
    <t>艾尔玛X2武士刀，4次。X4匕首8次</t>
  </si>
  <si>
    <t>Reznor 的攻击速度远慢于 Jane/Ashley。假设你为他们装备了双武器（充分利用伤害加成），Jane/Ashley 无论是近战还是远程攻击，都需要 4 次攻击，而 Reznor 近战需要 6 次挥击，远程需要 7 次射击。她是非专属英雄中攻击速度第三慢的（她和 Harriet 只有被 Devi 和最慢的 Adelaide 超越）。</t>
  </si>
  <si>
    <t>她是个控制型角色。武器真的不重要。正如之前所说，喷火器或者攻击次数为奇数的武器“可能”能帮助她更快地充能技能</t>
  </si>
  <si>
    <t>如果你给那三个角色配备 4 倍数的近战武器，比如匕首，那么 XX 需要 6 次攻击才能触发她的特殊技能，Kim 需要 7 次攻击，Judith 需要 8 次攻击，所以你的结果对于这些角色来说是典型的。相反，给 XX 配备 2 倍数的近战武器（比如太刀），她会更快。Kim 配备 2 倍数的近战武器，会和配备 4 倍数的 Kim 相同。给 Judith 配备 2 倍数的近战武器，她会和 Kim 打成平手或略微超过 Kim，具体取决于先手权。</t>
  </si>
  <si>
    <t>Tess 和 Martha 基本上拥有相同的特殊能力（通过伤害减免来挑衅），但 Tess 充能速度要快得多（Tess 使用管状武器需要 3 次攻击，而 Martha 使用相同武器需要 5 次攻击）。</t>
  </si>
  <si>
    <t>Tess 在用近战 x4 武器攻击 5 次后会释放她的特殊技能，而 Lady Judith 则需要用同样的近战 x4 武器攻击 8 次来充能。然而，如果装备了远程 x4 武器，Judith 就需要 9 次攻击。</t>
  </si>
  <si>
    <t>以举例来说，使用一把 2 倍伤害的近战武器如武士刀，PamOne/PamTwo/Liza 只需要 4 次攻击就能使用他们的特殊技能，而 Adelaide 则需要 8 次。不过，Adelaide 也是这四个角色中输出潜力最高的，因为她每级获得+14 的敏捷，而其他三个角色每级只在相关属性上获得+7。</t>
  </si>
  <si>
    <t>如果你给安和艾尔玛装备武士刀，两者都会在第四次攻击时触发特殊技能。然而，如果给她们都装备匕首，安会在第七次攻击时充能，但艾尔玛需要八次。由于匕首每次攻击相当于武士刀的两倍，武士刀安相当于匕首安，但武士刀艾尔玛解锁速度比匕首艾尔玛更快。</t>
  </si>
  <si>
    <t>每个特殊攻击（除 Adelaide、PamOne 和 PamTwo 外）都受到敌方防御的限制。随着章节的推进，这种防御力也在增加。所以到现在，高达 20%的英雄（Devi/Irma/Crazy/Rhode 等）几乎毫无用处……而相比之下，另外 20%（Harriet/Trixie/Kiara 等）则完全派不上用场，因为他们的特殊技能根本无法造成伤害。</t>
  </si>
  <si>
    <t>如何才能确定最佳的输出武器？我知道维基上有“属性加成”，但即使有这个，似乎也不符合实际情况。以武士刀和刺客匕首为例。纸面上匕首更好，它的敏捷属性加成是 5 比 4。但实际装备后，看起来它还是输给了武士刀，即使敏捷属性更高。我是不是错过了什么？</t>
  </si>
  <si>
    <t>需要考虑几个因素。一个是攻击频率——武士刀是 2 倍，匕首是 4 倍，这意味着武士刀需要比匕首高两倍的整体伤害才能持平。还有武器的基础伤害——例如，一个 90 级的传奇火焰斧头造成 555-694 点伤害，而一个同样 90 级的传奇锋利砍刀造成 661-708 点伤害。还有属性加成，因为敏捷型近战武器大约有 3/8 的敏捷属性会加成到每次攻击的伤害上，所以在数值较高的情况下，4 倍武器可能会更占优势。简而言之，装备武器并比较伤害。</t>
  </si>
  <si>
    <t>序号</t>
  </si>
  <si>
    <t>项目</t>
  </si>
  <si>
    <t>速率</t>
  </si>
  <si>
    <t>生产上限</t>
  </si>
  <si>
    <t>仓库上限</t>
  </si>
  <si>
    <t>需要时间</t>
  </si>
  <si>
    <t>ELDI</t>
  </si>
  <si>
    <t>石头</t>
  </si>
  <si>
    <t>手环</t>
  </si>
  <si>
    <t>钱</t>
  </si>
  <si>
    <t>拳头</t>
  </si>
  <si>
    <t>侦查</t>
  </si>
  <si>
    <t>单元格中文</t>
  </si>
  <si>
    <t>游戏内准确装备名</t>
  </si>
  <si>
    <t>复制这里</t>
  </si>
  <si>
    <t>验证</t>
  </si>
  <si>
    <t>备份</t>
  </si>
  <si>
    <t>r:"(?i)^</t>
  </si>
  <si>
    <t>Adah's Cosplays</t>
  </si>
  <si>
    <t>$"=</t>
  </si>
  <si>
    <t>IU11545@阿黛拉伊德的舒适</t>
  </si>
  <si>
    <t>Adelaide's Comfort</t>
  </si>
  <si>
    <t>Andrea's Secrets</t>
  </si>
  <si>
    <t>1W51144陆军下装</t>
  </si>
  <si>
    <t>1W51144陆军上装</t>
  </si>
  <si>
    <t>3A14244阿什利上衣</t>
  </si>
  <si>
    <t>Ashley's Top</t>
  </si>
  <si>
    <t>Assasin's Dagger</t>
  </si>
  <si>
    <t>Bańka's Bubbles</t>
  </si>
  <si>
    <t>7AF15153野蛮人裙</t>
  </si>
  <si>
    <t>7AF15153野蛮人上衣</t>
  </si>
  <si>
    <t>Baseball Star</t>
  </si>
  <si>
    <t>4I21444黑红奶罩</t>
  </si>
  <si>
    <t>Black-Red Bra</t>
  </si>
  <si>
    <t>I商业助理/裙</t>
  </si>
  <si>
    <t>I商业榜首</t>
  </si>
  <si>
    <t>I21444休闲套装</t>
  </si>
  <si>
    <t>A切尔西连体衣15243</t>
  </si>
  <si>
    <t>Chelsea's Bodysuit</t>
  </si>
  <si>
    <t>8AF152343切尔西的恩惠</t>
  </si>
  <si>
    <t>Chelsea's Favour</t>
  </si>
  <si>
    <t>8AF152343切尔西的祝福</t>
  </si>
  <si>
    <t>WU41145骑士精神</t>
  </si>
  <si>
    <t>I13542克洛伊套</t>
  </si>
  <si>
    <t>Cloe's Sets</t>
  </si>
  <si>
    <t>I宇宙服饰上衣</t>
  </si>
  <si>
    <t>A24342疯狂套装</t>
  </si>
  <si>
    <t>Crazy's Sets</t>
  </si>
  <si>
    <t>I12444可爱连裙</t>
  </si>
  <si>
    <t>A24243危险套装</t>
  </si>
  <si>
    <t>IF11554@支配</t>
  </si>
  <si>
    <t>Emily's Boss</t>
  </si>
  <si>
    <t>AF14253无畏战士服</t>
  </si>
  <si>
    <t>野战军医服</t>
  </si>
  <si>
    <t>3A14244火焰紧身裤</t>
  </si>
  <si>
    <t>I正式裙装</t>
  </si>
  <si>
    <t>Foxy's Sets</t>
  </si>
  <si>
    <t>WF51153冰冻装束</t>
  </si>
  <si>
    <t>Frozen's Attire</t>
  </si>
  <si>
    <t>I全罩杯文胸</t>
  </si>
  <si>
    <t>Gaia's Sets</t>
  </si>
  <si>
    <t>Gaia's Top</t>
  </si>
  <si>
    <t>2A14145盖亚下</t>
  </si>
  <si>
    <t>Harbringers of Pain</t>
  </si>
  <si>
    <t>W41343潜入者套装</t>
  </si>
  <si>
    <t>Irma's Top</t>
  </si>
  <si>
    <t>W42342嫉妒使者</t>
  </si>
  <si>
    <t>I12444金的泳装</t>
  </si>
  <si>
    <t>Kim's Swimsuit</t>
  </si>
  <si>
    <t>I系带短裤</t>
  </si>
  <si>
    <t>I12444领袖套装</t>
  </si>
  <si>
    <t>A解放者套装15243</t>
  </si>
  <si>
    <t>AF14253丽莎的几丁质</t>
  </si>
  <si>
    <t>Liza's Chitina</t>
  </si>
  <si>
    <t>3A14244丽莎翅膀</t>
  </si>
  <si>
    <t>Liza's Wings</t>
  </si>
  <si>
    <t>Lovense赠礼</t>
  </si>
  <si>
    <t>Mechanic's Top</t>
  </si>
  <si>
    <t>4I11445技裙</t>
  </si>
  <si>
    <t>Momoka's Set</t>
  </si>
  <si>
    <t>4I11454桃花下</t>
  </si>
  <si>
    <t>=</t>
  </si>
  <si>
    <t>I颈系式胸罩</t>
  </si>
  <si>
    <t>14I11544霓虹散件</t>
  </si>
  <si>
    <t>14I11544霓虹上</t>
  </si>
  <si>
    <t>Neon Lights</t>
  </si>
  <si>
    <t>F24235@乳白色套装</t>
  </si>
  <si>
    <t>Pain Bringers</t>
  </si>
  <si>
    <t>AF14154力量套装</t>
  </si>
  <si>
    <t>WF41155@雷兹诺的决定</t>
  </si>
  <si>
    <t>16AF15153公路战士</t>
  </si>
  <si>
    <t>16A15153公路战士上衣</t>
  </si>
  <si>
    <t>Road Warrior</t>
  </si>
  <si>
    <t>3A14244太空紧身裤</t>
  </si>
  <si>
    <t>Sport Bra</t>
  </si>
  <si>
    <t>I精致短裤</t>
  </si>
  <si>
    <t>A精致上衣</t>
  </si>
  <si>
    <t>A25244@西比尔叛乱</t>
  </si>
  <si>
    <t>Unknown's Favor</t>
  </si>
  <si>
    <t>2A14145威尼斯顶</t>
  </si>
  <si>
    <t>Veneza's Top</t>
  </si>
  <si>
    <t>Waifu’s Special</t>
  </si>
  <si>
    <t>Waifu’s Special (bottom)</t>
  </si>
  <si>
    <t>I金属丝内裤</t>
  </si>
  <si>
    <t>13WU XX祝福</t>
  </si>
  <si>
    <t>XX's Formal Shirt</t>
  </si>
  <si>
    <t>A14343X太阳服</t>
  </si>
  <si>
    <t>XX's Sol Uniform</t>
  </si>
  <si>
    <t>XX's Tacky Dildo</t>
  </si>
  <si>
    <t>13WU51135 XX祈祷</t>
  </si>
  <si>
    <t>XX’s Prayer</t>
  </si>
  <si>
    <t>前缀改写规则</t>
  </si>
  <si>
    <t>1. 基础定义</t>
  </si>
  <si>
    <t>每个条目的属性代码是 - 后面的前5位数字。</t>
  </si>
  <si>
    <t>这5位数字按顺序对应 W、A、I、F、U 五个位置。</t>
  </si>
  <si>
    <t>数字后面的其他标记（如 _1.①、_15、.④ 等）不是属性数字，原封不动保留。</t>
  </si>
  <si>
    <t>2. 筛选条件</t>
  </si>
  <si>
    <t>数字 ≥ 4 的对应字母才有资格进入前缀。</t>
  </si>
  <si>
    <t>数字 &lt; 4 的对应字母直接丢弃，不参与前缀。</t>
  </si>
  <si>
    <t>3. 组合排序规则</t>
  </si>
  <si>
    <t>把有资格的字母，按对应数字从大到小排列。</t>
  </si>
  <si>
    <t>数字相同时，按固定优先级 W &gt; A &gt; I &gt; F &gt; U 排列。</t>
  </si>
  <si>
    <t>组合后的字母串就是最终前缀。</t>
  </si>
  <si>
    <t>4. 特殊情况</t>
  </si>
  <si>
    <t>如果 没有任何数字 ≥ 4，不加任何字母前缀，保留原始名称。</t>
  </si>
  <si>
    <t>标记为 (X) 或以 -00000 结尾的条目不适用此规则，保持原样。</t>
  </si>
</sst>
</file>

<file path=xl/styles.xml><?xml version="1.0" encoding="utf-8"?>
<styleSheet xmlns="http://schemas.openxmlformats.org/spreadsheetml/2006/main">
  <numFmts count="9">
    <numFmt numFmtId="176" formatCode="_-&quot;NT$&quot;* #,##0.00_-;\-&quot;NT$&quot;* #,##0.00_-;_-&quot;NT$&quot;* &quot;-&quot;??_-;_-@_-"/>
    <numFmt numFmtId="177" formatCode="_-&quot;NT$&quot;* #,##0_-;\-&quot;NT$&quot;* #,##0_-;_-&quot;NT$&quot;* &quot;-&quot;_-;_-@_-"/>
    <numFmt numFmtId="178" formatCode="0\ &quot;Nanites&quot;"/>
    <numFmt numFmtId="41" formatCode="_-* #,##0_-;\-* #,##0_-;_-* &quot;-&quot;_-;_-@_-"/>
    <numFmt numFmtId="43" formatCode="_-* #,##0.00_-;\-* #,##0.00_-;_-* &quot;-&quot;??_-;_-@_-"/>
    <numFmt numFmtId="179" formatCode="0.00\ &quot;Nanites&quot;"/>
    <numFmt numFmtId="180" formatCode="0\ &quot;N&quot;"/>
    <numFmt numFmtId="181" formatCode="0.00\ &quot;N&quot;"/>
    <numFmt numFmtId="182" formatCode="&quot;+&quot;\ #.0"/>
  </numFmts>
  <fonts count="74">
    <font>
      <sz val="11"/>
      <color theme="1"/>
      <name val="宋体"/>
      <charset val="134"/>
      <scheme val="minor"/>
    </font>
    <font>
      <sz val="11"/>
      <name val="宋体"/>
      <charset val="134"/>
      <scheme val="minor"/>
    </font>
    <font>
      <sz val="12"/>
      <name val="宋体"/>
      <charset val="134"/>
    </font>
    <font>
      <sz val="11"/>
      <color rgb="FF92D050"/>
      <name val="宋体"/>
      <charset val="134"/>
      <scheme val="minor"/>
    </font>
    <font>
      <sz val="11"/>
      <color rgb="FFFF0000"/>
      <name val="宋体"/>
      <charset val="134"/>
      <scheme val="minor"/>
    </font>
    <font>
      <sz val="12"/>
      <color theme="1"/>
      <name val="微软雅黑"/>
      <charset val="134"/>
    </font>
    <font>
      <b/>
      <sz val="18"/>
      <color theme="1"/>
      <name val="宋体"/>
      <charset val="134"/>
      <scheme val="minor"/>
    </font>
    <font>
      <b/>
      <sz val="11"/>
      <color theme="0"/>
      <name val="宋体"/>
      <charset val="134"/>
      <scheme val="minor"/>
    </font>
    <font>
      <b/>
      <sz val="11"/>
      <color theme="5" tint="-0.249977111117893"/>
      <name val="宋体"/>
      <charset val="134"/>
      <scheme val="minor"/>
    </font>
    <font>
      <sz val="11"/>
      <color theme="0"/>
      <name val="宋体"/>
      <charset val="134"/>
      <scheme val="minor"/>
    </font>
    <font>
      <b/>
      <sz val="14.05"/>
      <color theme="1"/>
      <name val="Arial"/>
      <charset val="134"/>
    </font>
    <font>
      <b/>
      <sz val="11"/>
      <color theme="1"/>
      <name val="Arial"/>
      <charset val="134"/>
    </font>
    <font>
      <sz val="11"/>
      <color theme="1"/>
      <name val="Arial"/>
      <charset val="134"/>
    </font>
    <font>
      <i/>
      <sz val="11"/>
      <color theme="1"/>
      <name val="Arial"/>
      <charset val="134"/>
    </font>
    <font>
      <sz val="11"/>
      <color rgb="FF1F1F1F"/>
      <name val="宋体"/>
      <charset val="134"/>
    </font>
    <font>
      <sz val="11"/>
      <color theme="1"/>
      <name val="宋体"/>
      <charset val="134"/>
    </font>
    <font>
      <sz val="11"/>
      <color rgb="FF1F1F1F"/>
      <name val="Arial"/>
      <charset val="134"/>
    </font>
    <font>
      <i/>
      <sz val="11"/>
      <color rgb="FF1F1F1F"/>
      <name val="宋体"/>
      <charset val="134"/>
    </font>
    <font>
      <b/>
      <sz val="11"/>
      <color rgb="FF1F1F1F"/>
      <name val="Arial"/>
      <charset val="134"/>
    </font>
    <font>
      <b/>
      <sz val="11"/>
      <color rgb="FF1F1F1F"/>
      <name val="宋体"/>
      <charset val="134"/>
    </font>
    <font>
      <sz val="12"/>
      <color rgb="FFFF0000"/>
      <name val="微软雅黑"/>
      <charset val="134"/>
    </font>
    <font>
      <b/>
      <sz val="1"/>
      <color theme="1"/>
      <name val="微软雅黑"/>
      <charset val="134"/>
    </font>
    <font>
      <sz val="1"/>
      <color rgb="FFFF0000"/>
      <name val="微软雅黑"/>
      <charset val="134"/>
    </font>
    <font>
      <sz val="12"/>
      <color rgb="FFF47FFF"/>
      <name val="微软雅黑"/>
      <charset val="134"/>
    </font>
    <font>
      <b/>
      <sz val="11"/>
      <color theme="1"/>
      <name val="宋体"/>
      <charset val="134"/>
    </font>
    <font>
      <b/>
      <sz val="11"/>
      <color theme="1"/>
      <name val="宋体"/>
      <charset val="134"/>
      <scheme val="minor"/>
    </font>
    <font>
      <b/>
      <sz val="14.05"/>
      <color theme="1"/>
      <name val="宋体"/>
      <charset val="134"/>
      <scheme val="minor"/>
    </font>
    <font>
      <sz val="9"/>
      <color theme="1"/>
      <name val="微软雅黑"/>
      <charset val="134"/>
    </font>
    <font>
      <b/>
      <sz val="11"/>
      <color rgb="FFFF0000"/>
      <name val="宋体"/>
      <charset val="134"/>
      <scheme val="minor"/>
    </font>
    <font>
      <sz val="8"/>
      <color theme="1"/>
      <name val="宋体"/>
      <charset val="134"/>
      <scheme val="minor"/>
    </font>
    <font>
      <sz val="11"/>
      <color theme="7" tint="-0.499984740745262"/>
      <name val="宋体"/>
      <charset val="134"/>
      <scheme val="minor"/>
    </font>
    <font>
      <b/>
      <sz val="11"/>
      <color rgb="FF7030A0"/>
      <name val="宋体"/>
      <charset val="134"/>
      <scheme val="minor"/>
    </font>
    <font>
      <i/>
      <sz val="11"/>
      <color theme="8" tint="-0.499984740745262"/>
      <name val="宋体"/>
      <charset val="134"/>
      <scheme val="minor"/>
    </font>
    <font>
      <i/>
      <sz val="11"/>
      <color rgb="FF0070C0"/>
      <name val="宋体"/>
      <charset val="134"/>
      <scheme val="minor"/>
    </font>
    <font>
      <b/>
      <sz val="11"/>
      <color theme="7" tint="-0.499984740745262"/>
      <name val="宋体"/>
      <charset val="134"/>
      <scheme val="minor"/>
    </font>
    <font>
      <b/>
      <sz val="11"/>
      <color rgb="FFC7A1E3"/>
      <name val="宋体"/>
      <charset val="134"/>
      <scheme val="minor"/>
    </font>
    <font>
      <i/>
      <sz val="11"/>
      <color rgb="FF00B0F0"/>
      <name val="宋体"/>
      <charset val="134"/>
      <scheme val="minor"/>
    </font>
    <font>
      <b/>
      <sz val="11"/>
      <color theme="8" tint="-0.499984740745262"/>
      <name val="宋体"/>
      <charset val="134"/>
      <scheme val="minor"/>
    </font>
    <font>
      <b/>
      <sz val="11"/>
      <color theme="7" tint="-0.249977111117893"/>
      <name val="宋体"/>
      <charset val="134"/>
      <scheme val="minor"/>
    </font>
    <font>
      <b/>
      <sz val="14"/>
      <color theme="1"/>
      <name val="宋体"/>
      <charset val="134"/>
      <scheme val="minor"/>
    </font>
    <font>
      <b/>
      <sz val="10"/>
      <color theme="1"/>
      <name val="宋体"/>
      <charset val="134"/>
      <scheme val="minor"/>
    </font>
    <font>
      <sz val="11"/>
      <color theme="7"/>
      <name val="宋体"/>
      <charset val="134"/>
      <scheme val="minor"/>
    </font>
    <font>
      <b/>
      <sz val="11"/>
      <name val="宋体"/>
      <charset val="134"/>
      <scheme val="minor"/>
    </font>
    <font>
      <b/>
      <sz val="11"/>
      <color rgb="FF00B0F0"/>
      <name val="宋体"/>
      <charset val="134"/>
      <scheme val="minor"/>
    </font>
    <font>
      <sz val="11"/>
      <color rgb="FF00B0F0"/>
      <name val="宋体"/>
      <charset val="134"/>
      <scheme val="minor"/>
    </font>
    <font>
      <sz val="11"/>
      <color rgb="FF00B050"/>
      <name val="宋体"/>
      <charset val="134"/>
      <scheme val="minor"/>
    </font>
    <font>
      <sz val="11"/>
      <color rgb="FFFFC000"/>
      <name val="宋体"/>
      <charset val="134"/>
      <scheme val="minor"/>
    </font>
    <font>
      <b/>
      <sz val="18"/>
      <color theme="3"/>
      <name val="宋体"/>
      <charset val="134"/>
      <scheme val="minor"/>
    </font>
    <font>
      <sz val="11"/>
      <color rgb="FFFF0000"/>
      <name val="宋体"/>
      <charset val="0"/>
      <scheme val="minor"/>
    </font>
    <font>
      <i/>
      <sz val="11"/>
      <color rgb="FF7F7F7F"/>
      <name val="宋体"/>
      <charset val="0"/>
      <scheme val="minor"/>
    </font>
    <font>
      <sz val="11"/>
      <color theme="1"/>
      <name val="宋体"/>
      <charset val="0"/>
      <scheme val="minor"/>
    </font>
    <font>
      <b/>
      <sz val="11"/>
      <color rgb="FFFFFFFF"/>
      <name val="宋体"/>
      <charset val="0"/>
      <scheme val="minor"/>
    </font>
    <font>
      <sz val="11"/>
      <color rgb="FF3F3F76"/>
      <name val="宋体"/>
      <charset val="0"/>
      <scheme val="minor"/>
    </font>
    <font>
      <b/>
      <sz val="11"/>
      <color rgb="FFFA7D00"/>
      <name val="宋体"/>
      <charset val="0"/>
      <scheme val="minor"/>
    </font>
    <font>
      <u/>
      <sz val="11"/>
      <color rgb="FF800080"/>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rgb="FF3F3F3F"/>
      <name val="宋体"/>
      <charset val="0"/>
      <scheme val="minor"/>
    </font>
    <font>
      <b/>
      <sz val="11"/>
      <color theme="3"/>
      <name val="宋体"/>
      <charset val="134"/>
      <scheme val="minor"/>
    </font>
    <font>
      <sz val="11"/>
      <color rgb="FFFA7D00"/>
      <name val="宋体"/>
      <charset val="0"/>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theme="1"/>
      <name val="宋体"/>
      <charset val="0"/>
      <scheme val="minor"/>
    </font>
    <font>
      <sz val="11"/>
      <color rgb="FF9C6500"/>
      <name val="宋体"/>
      <charset val="0"/>
      <scheme val="minor"/>
    </font>
    <font>
      <i/>
      <sz val="11"/>
      <color theme="1"/>
      <name val="宋体"/>
      <charset val="134"/>
      <scheme val="minor"/>
    </font>
    <font>
      <i/>
      <sz val="11"/>
      <color rgb="FF1F1F1F"/>
      <name val="Arial"/>
      <charset val="134"/>
    </font>
    <font>
      <sz val="12"/>
      <color rgb="FFFFFFFF"/>
      <name val="微软雅黑"/>
      <charset val="134"/>
    </font>
    <font>
      <b/>
      <sz val="1"/>
      <color theme="1"/>
      <name val="微软雅黑"/>
      <charset val="134"/>
    </font>
    <font>
      <b/>
      <sz val="12"/>
      <color theme="1"/>
      <name val="微软雅黑"/>
      <charset val="134"/>
    </font>
    <font>
      <sz val="9"/>
      <color rgb="FFFF0000"/>
      <name val="微软雅黑"/>
      <charset val="134"/>
    </font>
    <font>
      <sz val="11"/>
      <color rgb="FF000000"/>
      <name val="宋体"/>
      <charset val="134"/>
      <scheme val="minor"/>
    </font>
    <font>
      <b/>
      <sz val="11"/>
      <color rgb="FF000000"/>
      <name val="宋体"/>
      <charset val="134"/>
      <scheme val="minor"/>
    </font>
  </fonts>
  <fills count="105">
    <fill>
      <patternFill patternType="none"/>
    </fill>
    <fill>
      <patternFill patternType="gray125"/>
    </fill>
    <fill>
      <patternFill patternType="solid">
        <fgColor rgb="FFFF0000"/>
        <bgColor indexed="64"/>
      </patternFill>
    </fill>
    <fill>
      <patternFill patternType="solid">
        <fgColor theme="7" tint="-0.5"/>
        <bgColor indexed="64"/>
      </patternFill>
    </fill>
    <fill>
      <patternFill patternType="solid">
        <fgColor theme="2" tint="-0.249977111117893"/>
        <bgColor indexed="64"/>
      </patternFill>
    </fill>
    <fill>
      <patternFill patternType="solid">
        <fgColor rgb="FF098600"/>
        <bgColor indexed="64"/>
      </patternFill>
    </fill>
    <fill>
      <patternFill patternType="solid">
        <fgColor rgb="FF4D99E6"/>
        <bgColor indexed="64"/>
      </patternFill>
    </fill>
    <fill>
      <patternFill patternType="solid">
        <fgColor rgb="FF994DE6"/>
        <bgColor indexed="64"/>
      </patternFill>
    </fill>
    <fill>
      <patternFill patternType="solid">
        <fgColor rgb="FFB3B322"/>
        <bgColor indexed="64"/>
      </patternFill>
    </fill>
    <fill>
      <patternFill patternType="solid">
        <fgColor theme="2" tint="-0.0999786370433668"/>
        <bgColor indexed="64"/>
      </patternFill>
    </fill>
    <fill>
      <patternFill patternType="solid">
        <fgColor theme="1"/>
        <bgColor theme="1"/>
      </patternFill>
    </fill>
    <fill>
      <patternFill patternType="solid">
        <fgColor theme="1" tint="0.249977111117893"/>
        <bgColor theme="1" tint="0.249977111117893"/>
      </patternFill>
    </fill>
    <fill>
      <patternFill patternType="solid">
        <fgColor rgb="FFE64D4D"/>
        <bgColor indexed="64"/>
      </patternFill>
    </fill>
    <fill>
      <patternFill patternType="solid">
        <fgColor rgb="FFE5E64D"/>
        <bgColor indexed="64"/>
      </patternFill>
    </fill>
    <fill>
      <patternFill patternType="solid">
        <fgColor rgb="FF99E64D"/>
        <bgColor indexed="64"/>
      </patternFill>
    </fill>
    <fill>
      <patternFill patternType="solid">
        <fgColor theme="1" tint="0.449995422223579"/>
        <bgColor theme="1" tint="0.449995422223579"/>
      </patternFill>
    </fill>
    <fill>
      <patternFill patternType="solid">
        <fgColor rgb="FF4DE64D"/>
        <bgColor indexed="64"/>
      </patternFill>
    </fill>
    <fill>
      <patternFill patternType="solid">
        <fgColor rgb="FFE6994D"/>
        <bgColor indexed="64"/>
      </patternFill>
    </fill>
    <fill>
      <patternFill patternType="solid">
        <fgColor rgb="FFC00000"/>
        <bgColor indexed="64"/>
      </patternFill>
    </fill>
    <fill>
      <patternFill patternType="solid">
        <fgColor rgb="FFC7A1E3"/>
        <bgColor indexed="64"/>
      </patternFill>
    </fill>
    <fill>
      <patternFill patternType="solid">
        <fgColor theme="1"/>
        <bgColor indexed="64"/>
      </patternFill>
    </fill>
    <fill>
      <patternFill patternType="solid">
        <fgColor theme="3" tint="0.799981688894314"/>
        <bgColor indexed="64"/>
      </patternFill>
    </fill>
    <fill>
      <patternFill patternType="solid">
        <fgColor theme="2" tint="-0.499984740745262"/>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F2F2F2"/>
        <bgColor indexed="64"/>
      </patternFill>
    </fill>
    <fill>
      <patternFill patternType="solid">
        <fgColor theme="4"/>
        <bgColor theme="4"/>
      </patternFill>
    </fill>
    <fill>
      <patternFill patternType="solid">
        <fgColor rgb="FFFFFF00"/>
        <bgColor indexed="64"/>
      </patternFill>
    </fill>
    <fill>
      <patternFill patternType="solid">
        <fgColor rgb="FF00B050"/>
        <bgColor indexed="64"/>
      </patternFill>
    </fill>
    <fill>
      <patternFill patternType="solid">
        <fgColor theme="5" tint="-0.25"/>
        <bgColor indexed="64"/>
      </patternFill>
    </fill>
    <fill>
      <patternFill patternType="solid">
        <fgColor theme="9" tint="-0.249977111117893"/>
        <bgColor theme="9" tint="-0.249977111117893"/>
      </patternFill>
    </fill>
    <fill>
      <patternFill patternType="solid">
        <fgColor rgb="FFC7A1E3"/>
        <bgColor theme="9" tint="-0.249977111117893"/>
      </patternFill>
    </fill>
    <fill>
      <patternFill patternType="solid">
        <fgColor theme="9"/>
        <bgColor theme="9"/>
      </patternFill>
    </fill>
    <fill>
      <patternFill patternType="solid">
        <fgColor rgb="FF00B0F0"/>
        <bgColor theme="9"/>
      </patternFill>
    </fill>
    <fill>
      <patternFill patternType="solid">
        <fgColor rgb="FFC7A1E3"/>
        <bgColor theme="9"/>
      </patternFill>
    </fill>
    <fill>
      <patternFill patternType="solid">
        <fgColor rgb="FF00B0F0"/>
        <bgColor theme="9" tint="-0.249977111117893"/>
      </patternFill>
    </fill>
    <fill>
      <patternFill patternType="solid">
        <fgColor rgb="FFFFC000"/>
        <bgColor indexed="64"/>
      </patternFill>
    </fill>
    <fill>
      <patternFill patternType="solid">
        <fgColor rgb="FF00B0F0"/>
        <bgColor indexed="64"/>
      </patternFill>
    </fill>
    <fill>
      <patternFill patternType="solid">
        <fgColor theme="4" tint="0.799981688894314"/>
        <bgColor theme="4" tint="0.799981688894314"/>
      </patternFill>
    </fill>
    <fill>
      <patternFill patternType="solid">
        <fgColor theme="4" tint="-0.499984740745262"/>
        <bgColor indexed="64"/>
      </patternFill>
    </fill>
    <fill>
      <patternFill patternType="solid">
        <fgColor rgb="FFFFC000"/>
        <bgColor theme="9"/>
      </patternFill>
    </fill>
    <fill>
      <patternFill patternType="solid">
        <fgColor rgb="FFFFC000"/>
        <bgColor theme="9" tint="-0.249977111117893"/>
      </patternFill>
    </fill>
    <fill>
      <patternFill patternType="solid">
        <fgColor rgb="FF7030A0"/>
        <bgColor indexed="64"/>
      </patternFill>
    </fill>
    <fill>
      <patternFill patternType="solid">
        <fgColor theme="2" tint="-0.249977111117893"/>
        <bgColor theme="4" tint="0.799981688894314"/>
      </patternFill>
    </fill>
    <fill>
      <patternFill patternType="solid">
        <fgColor rgb="FFAA2DFF"/>
        <bgColor indexed="64"/>
      </patternFill>
    </fill>
    <fill>
      <patternFill patternType="solid">
        <fgColor rgb="FFAA2DFF"/>
        <bgColor theme="4" tint="0.799981688894314"/>
      </patternFill>
    </fill>
    <fill>
      <patternFill patternType="solid">
        <fgColor rgb="FFD889FF"/>
        <bgColor indexed="64"/>
      </patternFill>
    </fill>
    <fill>
      <patternFill patternType="solid">
        <fgColor rgb="FFD889FF"/>
        <bgColor theme="4" tint="0.799981688894314"/>
      </patternFill>
    </fill>
    <fill>
      <patternFill patternType="solid">
        <fgColor theme="9" tint="-0.249977111117893"/>
        <bgColor indexed="64"/>
      </patternFill>
    </fill>
    <fill>
      <patternFill patternType="solid">
        <fgColor rgb="FF92D050"/>
        <bgColor indexed="64"/>
      </patternFill>
    </fill>
    <fill>
      <patternFill patternType="solid">
        <fgColor theme="7" tint="0.599993896298105"/>
        <bgColor indexed="64"/>
      </patternFill>
    </fill>
    <fill>
      <patternFill patternType="solid">
        <fgColor rgb="FFFFE699"/>
        <bgColor indexed="64"/>
      </patternFill>
    </fill>
    <fill>
      <patternFill patternType="solid">
        <fgColor rgb="FFF4B084"/>
        <bgColor indexed="64"/>
      </patternFill>
    </fill>
    <fill>
      <patternFill patternType="solid">
        <fgColor rgb="FFFF8B8B"/>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3" tint="0.399975585192419"/>
        <bgColor indexed="64"/>
      </patternFill>
    </fill>
    <fill>
      <patternFill patternType="solid">
        <fgColor theme="4" tint="0.599993896298105"/>
        <bgColor theme="4" tint="0.599993896298105"/>
      </patternFill>
    </fill>
    <fill>
      <patternFill patternType="solid">
        <fgColor theme="2" tint="-0.249977111117893"/>
        <bgColor theme="6" tint="-0.249977111117893"/>
      </patternFill>
    </fill>
    <fill>
      <patternFill patternType="solid">
        <fgColor theme="7" tint="0.799981688894314"/>
        <bgColor indexed="64"/>
      </patternFill>
    </fill>
    <fill>
      <patternFill patternType="solid">
        <fgColor rgb="FFFFE699"/>
        <bgColor theme="4" tint="0.799981688894314"/>
      </patternFill>
    </fill>
    <fill>
      <patternFill patternType="solid">
        <fgColor rgb="FF3399FF"/>
        <bgColor indexed="64"/>
      </patternFill>
    </fill>
    <fill>
      <patternFill patternType="solid">
        <fgColor rgb="FFFDEFC8"/>
        <bgColor indexed="64"/>
      </patternFill>
    </fill>
    <fill>
      <patternFill patternType="solid">
        <fgColor rgb="FFFF9999"/>
        <bgColor indexed="64"/>
      </patternFill>
    </fill>
    <fill>
      <patternFill patternType="solid">
        <fgColor theme="5" tint="0.4"/>
        <bgColor indexed="64"/>
      </patternFill>
    </fill>
    <fill>
      <patternFill patternType="solid">
        <fgColor theme="4" tint="0.6"/>
        <bgColor indexed="64"/>
      </patternFill>
    </fill>
    <fill>
      <patternFill patternType="solid">
        <fgColor theme="9" tint="0.6"/>
        <bgColor indexed="64"/>
      </patternFill>
    </fill>
    <fill>
      <patternFill patternType="solid">
        <fgColor theme="8" tint="0.599993896298105"/>
        <bgColor theme="8" tint="0.599993896298105"/>
      </patternFill>
    </fill>
    <fill>
      <patternFill patternType="solid">
        <fgColor rgb="FFFFC000"/>
        <bgColor theme="9" tint="0.799981688894314"/>
      </patternFill>
    </fill>
    <fill>
      <patternFill patternType="solid">
        <fgColor theme="7" tint="0.6"/>
        <bgColor indexed="64"/>
      </patternFill>
    </fill>
    <fill>
      <patternFill patternType="solid">
        <fgColor theme="8" tint="0.799981688894314"/>
        <bgColor theme="8" tint="0.799981688894314"/>
      </patternFill>
    </fill>
    <fill>
      <patternFill patternType="solid">
        <fgColor rgb="FF00B050"/>
        <bgColor theme="9" tint="0.799981688894314"/>
      </patternFill>
    </fill>
    <fill>
      <patternFill patternType="solid">
        <fgColor theme="9" tint="0.4"/>
        <bgColor indexed="64"/>
      </patternFill>
    </fill>
    <fill>
      <patternFill patternType="solid">
        <fgColor theme="9" tint="0.799981688894314"/>
        <bgColor theme="9" tint="0.799981688894314"/>
      </patternFill>
    </fill>
    <fill>
      <patternFill patternType="solid">
        <fgColor theme="5"/>
        <bgColor theme="9" tint="0.799981688894314"/>
      </patternFill>
    </fill>
    <fill>
      <patternFill patternType="solid">
        <fgColor theme="8" tint="0.4"/>
        <bgColor indexed="64"/>
      </patternFill>
    </fill>
    <fill>
      <patternFill patternType="solid">
        <fgColor theme="5"/>
        <bgColor indexed="64"/>
      </patternFill>
    </fill>
    <fill>
      <patternFill patternType="solid">
        <fgColor theme="9" tint="0.6"/>
        <bgColor theme="9" tint="0.799981688894314"/>
      </patternFill>
    </fill>
    <fill>
      <patternFill patternType="solid">
        <fgColor theme="0" tint="-0.15"/>
        <bgColor indexed="64"/>
      </patternFill>
    </fill>
    <fill>
      <patternFill patternType="solid">
        <fgColor theme="0" tint="-0.15"/>
        <bgColor theme="8" tint="0.799981688894314"/>
      </patternFill>
    </fill>
    <fill>
      <patternFill patternType="solid">
        <fgColor theme="0" tint="-0.15"/>
        <bgColor theme="8" tint="0.599993896298105"/>
      </patternFill>
    </fill>
    <fill>
      <patternFill patternType="solid">
        <fgColor rgb="FF0070C0"/>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4"/>
        <bgColor indexed="64"/>
      </patternFill>
    </fill>
    <fill>
      <patternFill patternType="solid">
        <fgColor rgb="FFC6EF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6"/>
        <bgColor indexed="64"/>
      </patternFill>
    </fill>
    <fill>
      <patternFill patternType="solid">
        <fgColor theme="7"/>
        <bgColor indexed="64"/>
      </patternFill>
    </fill>
    <fill>
      <patternFill patternType="solid">
        <fgColor theme="8" tint="0.599993896298105"/>
        <bgColor indexed="64"/>
      </patternFill>
    </fill>
    <fill>
      <patternFill patternType="solid">
        <fgColor theme="9"/>
        <bgColor indexed="64"/>
      </patternFill>
    </fill>
    <fill>
      <patternFill patternType="solid">
        <fgColor theme="8"/>
        <bgColor indexed="64"/>
      </patternFill>
    </fill>
  </fills>
  <borders count="155">
    <border>
      <left/>
      <right/>
      <top/>
      <bottom/>
      <diagonal/>
    </border>
    <border>
      <left style="thin">
        <color theme="4" tint="0.399975585192419"/>
      </left>
      <right/>
      <top/>
      <bottom/>
      <diagonal/>
    </border>
    <border>
      <left style="thin">
        <color theme="4" tint="0.399975585192419"/>
      </left>
      <right/>
      <top style="thin">
        <color theme="4" tint="0.399975585192419"/>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theme="4" tint="0.399975585192419"/>
      </left>
      <right style="thin">
        <color theme="4" tint="0.399975585192419"/>
      </right>
      <top/>
      <bottom/>
      <diagonal/>
    </border>
    <border>
      <left style="thin">
        <color auto="1"/>
      </left>
      <right/>
      <top style="thin">
        <color theme="4" tint="0.399975585192419"/>
      </top>
      <bottom/>
      <diagonal/>
    </border>
    <border>
      <left style="thin">
        <color theme="4" tint="0.399975585192419"/>
      </left>
      <right style="thin">
        <color theme="4" tint="0.399975585192419"/>
      </right>
      <top style="thin">
        <color theme="4" tint="0.399975585192419"/>
      </top>
      <bottom/>
      <diagonal/>
    </border>
    <border>
      <left style="thin">
        <color theme="4" tint="0.399975585192419"/>
      </left>
      <right/>
      <top style="thin">
        <color theme="4" tint="0.399975585192419"/>
      </top>
      <bottom style="thin">
        <color theme="4" tint="0.399975585192419"/>
      </bottom>
      <diagonal/>
    </border>
    <border>
      <left style="thin">
        <color auto="1"/>
      </left>
      <right/>
      <top style="thin">
        <color theme="4" tint="0.399975585192419"/>
      </top>
      <bottom style="thin">
        <color theme="4" tint="0.399975585192419"/>
      </bottom>
      <diagonal/>
    </border>
    <border>
      <left style="thin">
        <color theme="4" tint="0.399975585192419"/>
      </left>
      <right style="thin">
        <color theme="4" tint="0.399975585192419"/>
      </right>
      <top style="thin">
        <color theme="4" tint="0.399975585192419"/>
      </top>
      <bottom style="thin">
        <color theme="4" tint="0.399975585192419"/>
      </bottom>
      <diagonal/>
    </border>
    <border>
      <left/>
      <right/>
      <top style="thin">
        <color theme="4" tint="0.399975585192419"/>
      </top>
      <bottom/>
      <diagonal/>
    </border>
    <border>
      <left/>
      <right style="thin">
        <color auto="1"/>
      </right>
      <top/>
      <bottom/>
      <diagonal/>
    </border>
    <border>
      <left style="thin">
        <color theme="4" tint="0.399975585192419"/>
      </left>
      <right/>
      <top style="thin">
        <color auto="1"/>
      </top>
      <bottom/>
      <diagonal/>
    </border>
    <border>
      <left/>
      <right style="thin">
        <color theme="4" tint="0.399975585192419"/>
      </right>
      <top style="thin">
        <color theme="4" tint="0.399975585192419"/>
      </top>
      <bottom/>
      <diagonal/>
    </border>
    <border>
      <left/>
      <right style="thin">
        <color theme="4" tint="0.399975585192419"/>
      </right>
      <top style="thin">
        <color theme="4" tint="0.399975585192419"/>
      </top>
      <bottom style="thin">
        <color theme="4" tint="0.399975585192419"/>
      </bottom>
      <diagonal/>
    </border>
    <border>
      <left style="thin">
        <color auto="1"/>
      </left>
      <right style="thin">
        <color theme="4" tint="0.399975585192419"/>
      </right>
      <top style="thin">
        <color theme="4" tint="0.399975585192419"/>
      </top>
      <bottom style="thin">
        <color theme="4" tint="0.399975585192419"/>
      </bottom>
      <diagonal/>
    </border>
    <border>
      <left/>
      <right/>
      <top/>
      <bottom style="thin">
        <color theme="4" tint="0.399975585192419"/>
      </bottom>
      <diagonal/>
    </border>
    <border>
      <left/>
      <right/>
      <top style="thin">
        <color theme="4" tint="0.399975585192419"/>
      </top>
      <bottom style="thin">
        <color theme="4" tint="0.399975585192419"/>
      </bottom>
      <diagonal/>
    </border>
    <border>
      <left style="thin">
        <color auto="1"/>
      </left>
      <right style="thin">
        <color theme="4" tint="0.399975585192419"/>
      </right>
      <top style="thin">
        <color theme="4" tint="0.399975585192419"/>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style="medium">
        <color rgb="FFC4C7C5"/>
      </bottom>
      <diagonal/>
    </border>
    <border>
      <left style="medium">
        <color rgb="FF1F1F1F"/>
      </left>
      <right style="medium">
        <color rgb="FF1F1F1F"/>
      </right>
      <top style="medium">
        <color rgb="FF1F1F1F"/>
      </top>
      <bottom style="medium">
        <color rgb="FF1F1F1F"/>
      </bottom>
      <diagonal/>
    </border>
    <border>
      <left style="medium">
        <color rgb="FF1F1F1F"/>
      </left>
      <right style="medium">
        <color rgb="FF1F1F1F"/>
      </right>
      <top style="medium">
        <color rgb="FF1F1F1F"/>
      </top>
      <bottom/>
      <diagonal/>
    </border>
    <border>
      <left style="medium">
        <color rgb="FF1F1F1F"/>
      </left>
      <right style="medium">
        <color rgb="FF1F1F1F"/>
      </right>
      <top/>
      <bottom/>
      <diagonal/>
    </border>
    <border>
      <left style="medium">
        <color rgb="FF1F1F1F"/>
      </left>
      <right style="medium">
        <color rgb="FF1F1F1F"/>
      </right>
      <top/>
      <bottom style="medium">
        <color rgb="FF1F1F1F"/>
      </bottom>
      <diagonal/>
    </border>
    <border>
      <left style="medium">
        <color rgb="FFDDDDDD"/>
      </left>
      <right style="medium">
        <color rgb="FFDDDDDD"/>
      </right>
      <top style="medium">
        <color rgb="FFDDDDDD"/>
      </top>
      <bottom style="medium">
        <color rgb="FFDDDDDD"/>
      </bottom>
      <diagonal/>
    </border>
    <border>
      <left style="thin">
        <color theme="4" tint="0.399975585192419"/>
      </left>
      <right style="thin">
        <color auto="1"/>
      </right>
      <top/>
      <bottom style="thin">
        <color theme="4" tint="0.399975585192419"/>
      </bottom>
      <diagonal/>
    </border>
    <border>
      <left style="thin">
        <color auto="1"/>
      </left>
      <right/>
      <top/>
      <bottom style="thin">
        <color theme="4" tint="0.399975585192419"/>
      </bottom>
      <diagonal/>
    </border>
    <border>
      <left/>
      <right style="thin">
        <color theme="0"/>
      </right>
      <top/>
      <bottom style="thin">
        <color theme="4" tint="0.399975585192419"/>
      </bottom>
      <diagonal/>
    </border>
    <border>
      <left style="thin">
        <color theme="0"/>
      </left>
      <right style="thin">
        <color theme="0"/>
      </right>
      <top/>
      <bottom style="thin">
        <color theme="4" tint="0.399975585192419"/>
      </bottom>
      <diagonal/>
    </border>
    <border>
      <left style="thin">
        <color theme="0"/>
      </left>
      <right style="thin">
        <color auto="1"/>
      </right>
      <top/>
      <bottom style="thin">
        <color theme="4" tint="0.399975585192419"/>
      </bottom>
      <diagonal/>
    </border>
    <border>
      <left style="thin">
        <color theme="0"/>
      </left>
      <right/>
      <top/>
      <bottom style="thin">
        <color theme="4" tint="0.399975585192419"/>
      </bottom>
      <diagonal/>
    </border>
    <border>
      <left/>
      <right style="thin">
        <color auto="1"/>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auto="1"/>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auto="1"/>
      </right>
      <top style="thin">
        <color theme="0"/>
      </top>
      <bottom/>
      <diagonal/>
    </border>
    <border>
      <left/>
      <right style="thin">
        <color theme="0"/>
      </right>
      <top style="thin">
        <color theme="0"/>
      </top>
      <bottom/>
      <diagonal/>
    </border>
    <border>
      <left style="thin">
        <color theme="0"/>
      </left>
      <right/>
      <top style="thin">
        <color theme="0"/>
      </top>
      <bottom/>
      <diagonal/>
    </border>
    <border>
      <left style="thin">
        <color auto="1"/>
      </left>
      <right/>
      <top style="thin">
        <color theme="0"/>
      </top>
      <bottom style="thin">
        <color theme="0"/>
      </bottom>
      <diagonal/>
    </border>
    <border>
      <left style="thin">
        <color auto="1"/>
      </left>
      <right/>
      <top style="thin">
        <color theme="0"/>
      </top>
      <bottom/>
      <diagonal/>
    </border>
    <border>
      <left style="thin">
        <color theme="0"/>
      </left>
      <right style="thin">
        <color theme="0"/>
      </right>
      <top/>
      <bottom style="thin">
        <color theme="0"/>
      </bottom>
      <diagonal/>
    </border>
    <border>
      <left style="thin">
        <color theme="4" tint="0.399975585192419"/>
      </left>
      <right style="thin">
        <color auto="1"/>
      </right>
      <top style="thin">
        <color theme="4" tint="0.399975585192419"/>
      </top>
      <bottom style="thin">
        <color theme="4" tint="0.399975585192419"/>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hair">
        <color auto="1"/>
      </right>
      <top style="thin">
        <color auto="1"/>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style="thin">
        <color auto="1"/>
      </left>
      <right style="thin">
        <color auto="1"/>
      </right>
      <top/>
      <bottom style="medium">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bottom style="thick">
        <color auto="1"/>
      </bottom>
      <diagonal/>
    </border>
    <border>
      <left style="thin">
        <color auto="1"/>
      </left>
      <right style="hair">
        <color auto="1"/>
      </right>
      <top style="thin">
        <color auto="1"/>
      </top>
      <bottom style="thick">
        <color auto="1"/>
      </bottom>
      <diagonal/>
    </border>
    <border>
      <left/>
      <right style="thin">
        <color auto="1"/>
      </right>
      <top style="thin">
        <color auto="1"/>
      </top>
      <bottom style="thick">
        <color auto="1"/>
      </bottom>
      <diagonal/>
    </border>
    <border>
      <left/>
      <right/>
      <top style="thin">
        <color auto="1"/>
      </top>
      <bottom style="thick">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ck">
        <color auto="1"/>
      </right>
      <top style="thin">
        <color auto="1"/>
      </top>
      <bottom style="thick">
        <color auto="1"/>
      </bottom>
      <diagonal/>
    </border>
    <border>
      <left/>
      <right style="thin">
        <color auto="1"/>
      </right>
      <top/>
      <bottom style="hair">
        <color auto="1"/>
      </bottom>
      <diagonal/>
    </border>
    <border>
      <left/>
      <right/>
      <top/>
      <bottom style="hair">
        <color auto="1"/>
      </bottom>
      <diagonal/>
    </border>
    <border>
      <left/>
      <right/>
      <top style="thin">
        <color theme="4" tint="0.399975585192419"/>
      </top>
      <bottom style="hair">
        <color auto="1"/>
      </bottom>
      <diagonal/>
    </border>
    <border>
      <left/>
      <right style="thin">
        <color auto="1"/>
      </right>
      <top/>
      <bottom style="thin">
        <color theme="4" tint="0.399975585192419"/>
      </bottom>
      <diagonal/>
    </border>
    <border>
      <left/>
      <right style="hair">
        <color auto="1"/>
      </right>
      <top/>
      <bottom style="thin">
        <color theme="4" tint="0.399975585192419"/>
      </bottom>
      <diagonal/>
    </border>
    <border>
      <left/>
      <right style="thin">
        <color auto="1"/>
      </right>
      <top style="thin">
        <color theme="4" tint="0.399975585192419"/>
      </top>
      <bottom style="thin">
        <color theme="4" tint="0.399975585192419"/>
      </bottom>
      <diagonal/>
    </border>
    <border>
      <left/>
      <right style="hair">
        <color auto="1"/>
      </right>
      <top style="thin">
        <color theme="4" tint="0.399975585192419"/>
      </top>
      <bottom style="thin">
        <color theme="4" tint="0.399975585192419"/>
      </bottom>
      <diagonal/>
    </border>
    <border>
      <left/>
      <right style="thin">
        <color auto="1"/>
      </right>
      <top style="thin">
        <color theme="4" tint="0.399975585192419"/>
      </top>
      <bottom style="hair">
        <color auto="1"/>
      </bottom>
      <diagonal/>
    </border>
    <border>
      <left/>
      <right style="hair">
        <color auto="1"/>
      </right>
      <top style="thin">
        <color theme="4" tint="0.399975585192419"/>
      </top>
      <bottom style="hair">
        <color auto="1"/>
      </bottom>
      <diagonal/>
    </border>
    <border>
      <left/>
      <right style="thin">
        <color auto="1"/>
      </right>
      <top style="thin">
        <color theme="4" tint="0.399975585192419"/>
      </top>
      <bottom/>
      <diagonal/>
    </border>
    <border>
      <left style="thin">
        <color auto="1"/>
      </left>
      <right/>
      <top style="thin">
        <color theme="4" tint="0.399975585192419"/>
      </top>
      <bottom style="hair">
        <color auto="1"/>
      </bottom>
      <diagonal/>
    </border>
    <border>
      <left style="thin">
        <color auto="1"/>
      </left>
      <right/>
      <top/>
      <bottom style="hair">
        <color auto="1"/>
      </bottom>
      <diagonal/>
    </border>
    <border>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style="thin">
        <color theme="4" tint="0.399975585192419"/>
      </top>
      <bottom/>
      <diagonal/>
    </border>
    <border>
      <left/>
      <right style="hair">
        <color auto="1"/>
      </right>
      <top/>
      <bottom/>
      <diagonal/>
    </border>
    <border>
      <left style="thin">
        <color auto="1"/>
      </left>
      <right style="hair">
        <color auto="1"/>
      </right>
      <top style="thin">
        <color auto="1"/>
      </top>
      <bottom style="medium">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style="hair">
        <color auto="1"/>
      </right>
      <top/>
      <bottom style="thin">
        <color auto="1"/>
      </bottom>
      <diagonal/>
    </border>
    <border>
      <left/>
      <right style="hair">
        <color auto="1"/>
      </right>
      <top/>
      <bottom style="thin">
        <color auto="1"/>
      </bottom>
      <diagonal/>
    </border>
    <border>
      <left style="hair">
        <color auto="1"/>
      </left>
      <right style="thin">
        <color auto="1"/>
      </right>
      <top/>
      <bottom style="thin">
        <color auto="1"/>
      </bottom>
      <diagonal/>
    </border>
    <border>
      <left style="medium">
        <color auto="1"/>
      </left>
      <right style="medium">
        <color auto="1"/>
      </right>
      <top style="medium">
        <color auto="1"/>
      </top>
      <bottom style="hair">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hair">
        <color auto="1"/>
      </top>
      <bottom style="medium">
        <color auto="1"/>
      </bottom>
      <diagonal/>
    </border>
    <border>
      <left style="hair">
        <color auto="1"/>
      </left>
      <right style="thin">
        <color auto="1"/>
      </right>
      <top style="medium">
        <color auto="1"/>
      </top>
      <bottom style="thin">
        <color auto="1"/>
      </bottom>
      <diagonal/>
    </border>
    <border>
      <left style="thin">
        <color auto="1"/>
      </left>
      <right style="thin">
        <color auto="1"/>
      </right>
      <top style="thin">
        <color auto="1"/>
      </top>
      <bottom style="hair">
        <color auto="1"/>
      </bottom>
      <diagonal/>
    </border>
    <border>
      <left style="hair">
        <color auto="1"/>
      </left>
      <right/>
      <top style="thin">
        <color auto="1"/>
      </top>
      <bottom/>
      <diagonal/>
    </border>
    <border>
      <left style="hair">
        <color auto="1"/>
      </left>
      <right/>
      <top/>
      <bottom style="thin">
        <color auto="1"/>
      </bottom>
      <diagonal/>
    </border>
    <border>
      <left style="hair">
        <color auto="1"/>
      </left>
      <right style="hair">
        <color auto="1"/>
      </right>
      <top/>
      <bottom style="thin">
        <color auto="1"/>
      </bottom>
      <diagonal/>
    </border>
    <border>
      <left style="hair">
        <color auto="1"/>
      </left>
      <right/>
      <top style="thin">
        <color auto="1"/>
      </top>
      <bottom style="thin">
        <color auto="1"/>
      </bottom>
      <diagonal/>
    </border>
    <border>
      <left style="hair">
        <color auto="1"/>
      </left>
      <right style="hair">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hair">
        <color auto="1"/>
      </right>
      <top style="thin">
        <color auto="1"/>
      </top>
      <bottom/>
      <diagonal/>
    </border>
    <border>
      <left style="thin">
        <color theme="4" tint="0.399975585192419"/>
      </left>
      <right style="thin">
        <color auto="1"/>
      </right>
      <top/>
      <bottom/>
      <diagonal/>
    </border>
    <border>
      <left style="hair">
        <color auto="1"/>
      </left>
      <right/>
      <top style="hair">
        <color auto="1"/>
      </top>
      <bottom/>
      <diagonal/>
    </border>
    <border>
      <left/>
      <right/>
      <top style="hair">
        <color auto="1"/>
      </top>
      <bottom/>
      <diagonal/>
    </border>
    <border>
      <left style="medium">
        <color auto="1"/>
      </left>
      <right/>
      <top/>
      <bottom/>
      <diagonal/>
    </border>
    <border>
      <left/>
      <right style="thin">
        <color theme="4" tint="0.399975585192419"/>
      </right>
      <top/>
      <bottom style="thin">
        <color theme="4" tint="0.399975585192419"/>
      </bottom>
      <diagonal/>
    </border>
    <border>
      <left/>
      <right style="hair">
        <color auto="1"/>
      </right>
      <top style="hair">
        <color auto="1"/>
      </top>
      <bottom/>
      <diagonal/>
    </border>
    <border>
      <left style="thin">
        <color theme="4" tint="0.399975585192419"/>
      </left>
      <right/>
      <top/>
      <bottom style="thin">
        <color theme="4" tint="0.399975585192419"/>
      </bottom>
      <diagonal/>
    </border>
    <border>
      <left style="thin">
        <color auto="1"/>
      </left>
      <right/>
      <top style="thin">
        <color auto="1"/>
      </top>
      <bottom style="medium">
        <color auto="1"/>
      </bottom>
      <diagonal/>
    </border>
    <border>
      <left/>
      <right/>
      <top style="medium">
        <color auto="1"/>
      </top>
      <bottom/>
      <diagonal/>
    </border>
    <border>
      <left style="thin">
        <color theme="9"/>
      </left>
      <right style="thin">
        <color theme="9"/>
      </right>
      <top style="thin">
        <color theme="9"/>
      </top>
      <bottom style="medium">
        <color theme="9"/>
      </bottom>
      <diagonal/>
    </border>
    <border>
      <left style="thin">
        <color theme="9"/>
      </left>
      <right style="thin">
        <color theme="9"/>
      </right>
      <top style="medium">
        <color theme="9"/>
      </top>
      <bottom style="thin">
        <color theme="9"/>
      </bottom>
      <diagonal/>
    </border>
    <border>
      <left style="thin">
        <color theme="9"/>
      </left>
      <right style="thin">
        <color theme="9"/>
      </right>
      <top style="thin">
        <color theme="9"/>
      </top>
      <bottom style="thin">
        <color theme="9"/>
      </bottom>
      <diagonal/>
    </border>
    <border>
      <left style="thin">
        <color theme="9"/>
      </left>
      <right style="thin">
        <color theme="9"/>
      </right>
      <top/>
      <bottom style="thin">
        <color theme="9"/>
      </bottom>
      <diagonal/>
    </border>
    <border>
      <left style="dashed">
        <color auto="1"/>
      </left>
      <right style="dashed">
        <color auto="1"/>
      </right>
      <top/>
      <bottom/>
      <diagonal/>
    </border>
    <border>
      <left style="dashed">
        <color auto="1"/>
      </left>
      <right style="dashed">
        <color auto="1"/>
      </right>
      <top/>
      <bottom style="thin">
        <color auto="1"/>
      </bottom>
      <diagonal/>
    </border>
    <border>
      <left/>
      <right style="dashed">
        <color auto="1"/>
      </right>
      <top/>
      <bottom/>
      <diagonal/>
    </border>
    <border>
      <left style="thin">
        <color auto="1"/>
      </left>
      <right style="dashed">
        <color auto="1"/>
      </right>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right style="dashed">
        <color auto="1"/>
      </right>
      <top/>
      <bottom style="thin">
        <color auto="1"/>
      </bottom>
      <diagonal/>
    </border>
    <border>
      <left style="dashed">
        <color auto="1"/>
      </left>
      <right/>
      <top style="medium">
        <color auto="1"/>
      </top>
      <bottom style="thin">
        <color auto="1"/>
      </bottom>
      <diagonal/>
    </border>
    <border>
      <left style="dashed">
        <color auto="1"/>
      </left>
      <right style="thin">
        <color auto="1"/>
      </right>
      <top style="medium">
        <color auto="1"/>
      </top>
      <bottom/>
      <diagonal/>
    </border>
    <border>
      <left style="dashed">
        <color auto="1"/>
      </left>
      <right style="dashed">
        <color auto="1"/>
      </right>
      <top style="thin">
        <color auto="1"/>
      </top>
      <bottom/>
      <diagonal/>
    </border>
    <border>
      <left/>
      <right style="dashed">
        <color auto="1"/>
      </right>
      <top/>
      <bottom style="medium">
        <color auto="1"/>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style="medium">
        <color auto="1"/>
      </left>
      <right/>
      <top/>
      <bottom style="medium">
        <color auto="1"/>
      </bottom>
      <diagonal/>
    </border>
    <border>
      <left/>
      <right style="dashed">
        <color auto="1"/>
      </right>
      <top style="thin">
        <color auto="1"/>
      </top>
      <bottom/>
      <diagonal/>
    </border>
    <border>
      <left style="dashed">
        <color auto="1"/>
      </left>
      <right/>
      <top style="thin">
        <color auto="1"/>
      </top>
      <bottom/>
      <diagonal/>
    </border>
    <border>
      <left style="thin">
        <color auto="1"/>
      </left>
      <right style="medium">
        <color auto="1"/>
      </right>
      <top/>
      <bottom style="medium">
        <color auto="1"/>
      </bottom>
      <diagonal/>
    </border>
    <border>
      <left style="thin">
        <color auto="1"/>
      </left>
      <right style="thin">
        <color auto="1"/>
      </right>
      <top style="medium">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177" fontId="0" fillId="0" borderId="0" applyFont="0" applyFill="0" applyBorder="0" applyAlignment="0" applyProtection="0">
      <alignment vertical="center"/>
    </xf>
    <xf numFmtId="0" fontId="50" fillId="82" borderId="0" applyNumberFormat="0" applyBorder="0" applyAlignment="0" applyProtection="0">
      <alignment vertical="center"/>
    </xf>
    <xf numFmtId="0" fontId="52" fillId="84" borderId="148" applyNumberFormat="0" applyAlignment="0" applyProtection="0">
      <alignment vertical="center"/>
    </xf>
    <xf numFmtId="176" fontId="0" fillId="0" borderId="0" applyFont="0" applyFill="0" applyBorder="0" applyAlignment="0" applyProtection="0">
      <alignment vertical="center"/>
    </xf>
    <xf numFmtId="41" fontId="0" fillId="0" borderId="0" applyFont="0" applyFill="0" applyBorder="0" applyAlignment="0" applyProtection="0">
      <alignment vertical="center"/>
    </xf>
    <xf numFmtId="0" fontId="50" fillId="85" borderId="0" applyNumberFormat="0" applyBorder="0" applyAlignment="0" applyProtection="0">
      <alignment vertical="center"/>
    </xf>
    <xf numFmtId="0" fontId="55" fillId="86" borderId="0" applyNumberFormat="0" applyBorder="0" applyAlignment="0" applyProtection="0">
      <alignment vertical="center"/>
    </xf>
    <xf numFmtId="43" fontId="0" fillId="0" borderId="0" applyFont="0" applyFill="0" applyBorder="0" applyAlignment="0" applyProtection="0">
      <alignment vertical="center"/>
    </xf>
    <xf numFmtId="0" fontId="56" fillId="87" borderId="0" applyNumberFormat="0" applyBorder="0" applyAlignment="0" applyProtection="0">
      <alignment vertical="center"/>
    </xf>
    <xf numFmtId="0" fontId="57" fillId="0" borderId="0" applyNumberFormat="0" applyFill="0" applyBorder="0" applyAlignment="0" applyProtection="0">
      <alignment vertical="center"/>
    </xf>
    <xf numFmtId="9" fontId="0" fillId="0" borderId="0" applyFont="0" applyFill="0" applyBorder="0" applyAlignment="0" applyProtection="0">
      <alignment vertical="center"/>
    </xf>
    <xf numFmtId="0" fontId="54" fillId="0" borderId="0" applyNumberFormat="0" applyFill="0" applyBorder="0" applyAlignment="0" applyProtection="0">
      <alignment vertical="center"/>
    </xf>
    <xf numFmtId="0" fontId="0" fillId="88" borderId="149" applyNumberFormat="0" applyFont="0" applyAlignment="0" applyProtection="0">
      <alignment vertical="center"/>
    </xf>
    <xf numFmtId="0" fontId="56" fillId="89" borderId="0" applyNumberFormat="0" applyBorder="0" applyAlignment="0" applyProtection="0">
      <alignment vertical="center"/>
    </xf>
    <xf numFmtId="0" fontId="59"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61" fillId="0" borderId="152" applyNumberFormat="0" applyFill="0" applyAlignment="0" applyProtection="0">
      <alignment vertical="center"/>
    </xf>
    <xf numFmtId="0" fontId="62" fillId="0" borderId="152" applyNumberFormat="0" applyFill="0" applyAlignment="0" applyProtection="0">
      <alignment vertical="center"/>
    </xf>
    <xf numFmtId="0" fontId="56" fillId="91" borderId="0" applyNumberFormat="0" applyBorder="0" applyAlignment="0" applyProtection="0">
      <alignment vertical="center"/>
    </xf>
    <xf numFmtId="0" fontId="59" fillId="0" borderId="153" applyNumberFormat="0" applyFill="0" applyAlignment="0" applyProtection="0">
      <alignment vertical="center"/>
    </xf>
    <xf numFmtId="0" fontId="56" fillId="90" borderId="0" applyNumberFormat="0" applyBorder="0" applyAlignment="0" applyProtection="0">
      <alignment vertical="center"/>
    </xf>
    <xf numFmtId="0" fontId="58" fillId="25" borderId="150" applyNumberFormat="0" applyAlignment="0" applyProtection="0">
      <alignment vertical="center"/>
    </xf>
    <xf numFmtId="0" fontId="53" fillId="25" borderId="148" applyNumberFormat="0" applyAlignment="0" applyProtection="0">
      <alignment vertical="center"/>
    </xf>
    <xf numFmtId="0" fontId="51" fillId="83" borderId="147" applyNumberFormat="0" applyAlignment="0" applyProtection="0">
      <alignment vertical="center"/>
    </xf>
    <xf numFmtId="0" fontId="50" fillId="94" borderId="0" applyNumberFormat="0" applyBorder="0" applyAlignment="0" applyProtection="0">
      <alignment vertical="center"/>
    </xf>
    <xf numFmtId="0" fontId="56" fillId="76" borderId="0" applyNumberFormat="0" applyBorder="0" applyAlignment="0" applyProtection="0">
      <alignment vertical="center"/>
    </xf>
    <xf numFmtId="0" fontId="60" fillId="0" borderId="151" applyNumberFormat="0" applyFill="0" applyAlignment="0" applyProtection="0">
      <alignment vertical="center"/>
    </xf>
    <xf numFmtId="0" fontId="64" fillId="0" borderId="154" applyNumberFormat="0" applyFill="0" applyAlignment="0" applyProtection="0">
      <alignment vertical="center"/>
    </xf>
    <xf numFmtId="0" fontId="63" fillId="96" borderId="0" applyNumberFormat="0" applyBorder="0" applyAlignment="0" applyProtection="0">
      <alignment vertical="center"/>
    </xf>
    <xf numFmtId="0" fontId="65" fillId="98" borderId="0" applyNumberFormat="0" applyBorder="0" applyAlignment="0" applyProtection="0">
      <alignment vertical="center"/>
    </xf>
    <xf numFmtId="0" fontId="50" fillId="99" borderId="0" applyNumberFormat="0" applyBorder="0" applyAlignment="0" applyProtection="0">
      <alignment vertical="center"/>
    </xf>
    <xf numFmtId="0" fontId="56" fillId="95" borderId="0" applyNumberFormat="0" applyBorder="0" applyAlignment="0" applyProtection="0">
      <alignment vertical="center"/>
    </xf>
    <xf numFmtId="0" fontId="50" fillId="55" borderId="0" applyNumberFormat="0" applyBorder="0" applyAlignment="0" applyProtection="0">
      <alignment vertical="center"/>
    </xf>
    <xf numFmtId="0" fontId="50" fillId="24" borderId="0" applyNumberFormat="0" applyBorder="0" applyAlignment="0" applyProtection="0">
      <alignment vertical="center"/>
    </xf>
    <xf numFmtId="0" fontId="50" fillId="93" borderId="0" applyNumberFormat="0" applyBorder="0" applyAlignment="0" applyProtection="0">
      <alignment vertical="center"/>
    </xf>
    <xf numFmtId="0" fontId="50" fillId="97" borderId="0" applyNumberFormat="0" applyBorder="0" applyAlignment="0" applyProtection="0">
      <alignment vertical="center"/>
    </xf>
    <xf numFmtId="0" fontId="56" fillId="100" borderId="0" applyNumberFormat="0" applyBorder="0" applyAlignment="0" applyProtection="0">
      <alignment vertical="center"/>
    </xf>
    <xf numFmtId="0" fontId="56" fillId="101" borderId="0" applyNumberFormat="0" applyBorder="0" applyAlignment="0" applyProtection="0">
      <alignment vertical="center"/>
    </xf>
    <xf numFmtId="0" fontId="50" fillId="59" borderId="0" applyNumberFormat="0" applyBorder="0" applyAlignment="0" applyProtection="0">
      <alignment vertical="center"/>
    </xf>
    <xf numFmtId="0" fontId="50" fillId="50" borderId="0" applyNumberFormat="0" applyBorder="0" applyAlignment="0" applyProtection="0">
      <alignment vertical="center"/>
    </xf>
    <xf numFmtId="0" fontId="56" fillId="104" borderId="0" applyNumberFormat="0" applyBorder="0" applyAlignment="0" applyProtection="0">
      <alignment vertical="center"/>
    </xf>
    <xf numFmtId="0" fontId="50" fillId="102" borderId="0" applyNumberFormat="0" applyBorder="0" applyAlignment="0" applyProtection="0">
      <alignment vertical="center"/>
    </xf>
    <xf numFmtId="0" fontId="56" fillId="92" borderId="0" applyNumberFormat="0" applyBorder="0" applyAlignment="0" applyProtection="0">
      <alignment vertical="center"/>
    </xf>
    <xf numFmtId="0" fontId="56" fillId="103" borderId="0" applyNumberFormat="0" applyBorder="0" applyAlignment="0" applyProtection="0">
      <alignment vertical="center"/>
    </xf>
    <xf numFmtId="0" fontId="50" fillId="23" borderId="0" applyNumberFormat="0" applyBorder="0" applyAlignment="0" applyProtection="0">
      <alignment vertical="center"/>
    </xf>
    <xf numFmtId="0" fontId="56" fillId="54" borderId="0" applyNumberFormat="0" applyBorder="0" applyAlignment="0" applyProtection="0">
      <alignment vertical="center"/>
    </xf>
  </cellStyleXfs>
  <cellXfs count="823">
    <xf numFmtId="0" fontId="0" fillId="0" borderId="0" xfId="0">
      <alignment vertical="center"/>
    </xf>
    <xf numFmtId="0" fontId="1" fillId="0" borderId="0" xfId="0" applyFont="1" applyFill="1" applyAlignment="1">
      <alignment horizontal="left" vertical="center"/>
    </xf>
    <xf numFmtId="0" fontId="1" fillId="0" borderId="0" xfId="0" applyFont="1" applyFill="1" applyAlignment="1">
      <alignment horizontal="center" vertical="center"/>
    </xf>
    <xf numFmtId="0" fontId="0" fillId="0" borderId="0" xfId="0" applyFill="1">
      <alignment vertical="center"/>
    </xf>
    <xf numFmtId="0" fontId="2"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Border="1" applyAlignment="1">
      <alignment vertical="center" wrapText="1"/>
    </xf>
    <xf numFmtId="0" fontId="0" fillId="0" borderId="0" xfId="0" applyFill="1" applyAlignment="1">
      <alignment horizontal="left" vertical="center"/>
    </xf>
    <xf numFmtId="0" fontId="0" fillId="0" borderId="0" xfId="0" applyFill="1" applyAlignment="1">
      <alignment vertical="center"/>
    </xf>
    <xf numFmtId="0" fontId="3" fillId="0" borderId="0" xfId="0" applyFont="1" applyFill="1" applyAlignment="1">
      <alignment vertical="center" wrapText="1"/>
    </xf>
    <xf numFmtId="0" fontId="3" fillId="0" borderId="0" xfId="0" applyFont="1" applyFill="1" applyAlignment="1">
      <alignment horizontal="left" vertical="center" wrapText="1"/>
    </xf>
    <xf numFmtId="0" fontId="4" fillId="0" borderId="0" xfId="0" applyFont="1" applyFill="1" applyBorder="1" applyAlignment="1">
      <alignment vertical="center" wrapText="1"/>
    </xf>
    <xf numFmtId="0" fontId="0" fillId="2" borderId="0" xfId="0" applyFill="1" applyAlignment="1">
      <alignment vertical="center"/>
    </xf>
    <xf numFmtId="0" fontId="4" fillId="0" borderId="0" xfId="0" applyFont="1" applyFill="1" applyAlignment="1">
      <alignment vertical="center" wrapText="1"/>
    </xf>
    <xf numFmtId="0" fontId="1" fillId="3" borderId="0" xfId="0" applyFont="1" applyFill="1" applyBorder="1" applyAlignment="1"/>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4" fillId="0" borderId="2" xfId="0" applyFont="1" applyFill="1" applyBorder="1" applyAlignment="1">
      <alignment vertical="center" wrapText="1"/>
    </xf>
    <xf numFmtId="0" fontId="0" fillId="0" borderId="0" xfId="0" applyAlignment="1">
      <alignment horizontal="center" vertical="center"/>
    </xf>
    <xf numFmtId="0" fontId="5" fillId="0" borderId="0" xfId="0" applyFont="1">
      <alignment vertical="center"/>
    </xf>
    <xf numFmtId="0" fontId="0" fillId="4" borderId="0" xfId="0" applyFill="1" applyAlignment="1"/>
    <xf numFmtId="0" fontId="0" fillId="5" borderId="0" xfId="0" applyFill="1" applyAlignment="1">
      <alignment vertical="center" wrapText="1"/>
    </xf>
    <xf numFmtId="0" fontId="0" fillId="6" borderId="0" xfId="0" applyFill="1" applyAlignment="1">
      <alignment vertical="center" wrapText="1"/>
    </xf>
    <xf numFmtId="0" fontId="0" fillId="7" borderId="0" xfId="0" applyFill="1" applyAlignment="1">
      <alignment vertical="center" wrapText="1"/>
    </xf>
    <xf numFmtId="0" fontId="0" fillId="8" borderId="0" xfId="0" applyFill="1" applyAlignment="1">
      <alignment vertical="center" wrapText="1"/>
    </xf>
    <xf numFmtId="0" fontId="6" fillId="9" borderId="3"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5" xfId="0" applyFont="1" applyFill="1" applyBorder="1" applyAlignment="1">
      <alignment horizontal="center" vertical="center"/>
    </xf>
    <xf numFmtId="0" fontId="6" fillId="9" borderId="6" xfId="0" applyFont="1" applyFill="1" applyBorder="1" applyAlignment="1">
      <alignment horizontal="center" vertical="center"/>
    </xf>
    <xf numFmtId="0" fontId="6" fillId="9" borderId="7" xfId="0" applyFont="1" applyFill="1" applyBorder="1" applyAlignment="1">
      <alignment horizontal="center" vertical="center"/>
    </xf>
    <xf numFmtId="0" fontId="6" fillId="9" borderId="8" xfId="0" applyFont="1" applyFill="1" applyBorder="1" applyAlignment="1">
      <alignment horizontal="center" vertical="center"/>
    </xf>
    <xf numFmtId="0" fontId="7" fillId="10" borderId="1" xfId="0" applyFont="1" applyFill="1" applyBorder="1" applyAlignment="1"/>
    <xf numFmtId="0" fontId="7" fillId="10" borderId="9" xfId="0" applyFont="1" applyFill="1" applyBorder="1" applyAlignment="1">
      <alignment horizontal="center"/>
    </xf>
    <xf numFmtId="0" fontId="7" fillId="10" borderId="1" xfId="0" applyFont="1" applyFill="1" applyBorder="1" applyAlignment="1">
      <alignment horizontal="center"/>
    </xf>
    <xf numFmtId="0" fontId="7" fillId="10" borderId="10" xfId="0" applyFont="1" applyFill="1" applyBorder="1" applyAlignment="1">
      <alignment horizontal="center"/>
    </xf>
    <xf numFmtId="0" fontId="8" fillId="11" borderId="2" xfId="0" applyFont="1" applyFill="1" applyBorder="1" applyAlignment="1">
      <alignment vertical="center" wrapText="1"/>
    </xf>
    <xf numFmtId="0" fontId="1" fillId="12" borderId="11" xfId="0" applyFont="1" applyFill="1" applyBorder="1" applyAlignment="1">
      <alignment vertical="center" wrapText="1"/>
    </xf>
    <xf numFmtId="0" fontId="1" fillId="13" borderId="2" xfId="0" applyFont="1" applyFill="1" applyBorder="1" applyAlignment="1">
      <alignment vertical="center" wrapText="1"/>
    </xf>
    <xf numFmtId="0" fontId="1" fillId="14" borderId="2" xfId="0" applyFont="1" applyFill="1" applyBorder="1" applyAlignment="1">
      <alignment vertical="center" wrapText="1"/>
    </xf>
    <xf numFmtId="0" fontId="1" fillId="13" borderId="12" xfId="0" applyFont="1" applyFill="1" applyBorder="1" applyAlignment="1">
      <alignment vertical="center" wrapText="1"/>
    </xf>
    <xf numFmtId="0" fontId="9" fillId="15" borderId="2" xfId="0" applyFont="1" applyFill="1" applyBorder="1" applyAlignment="1">
      <alignment vertical="center" wrapText="1"/>
    </xf>
    <xf numFmtId="0" fontId="1" fillId="12" borderId="2" xfId="0" applyFont="1" applyFill="1" applyBorder="1" applyAlignment="1">
      <alignment vertical="center" wrapText="1"/>
    </xf>
    <xf numFmtId="0" fontId="1" fillId="16" borderId="2" xfId="0" applyFont="1" applyFill="1" applyBorder="1" applyAlignment="1">
      <alignment vertical="center" wrapText="1"/>
    </xf>
    <xf numFmtId="0" fontId="1" fillId="13" borderId="11" xfId="0" applyFont="1" applyFill="1" applyBorder="1" applyAlignment="1">
      <alignment vertical="center" wrapText="1"/>
    </xf>
    <xf numFmtId="0" fontId="9" fillId="15" borderId="2" xfId="0" applyFont="1" applyFill="1" applyBorder="1" applyAlignment="1"/>
    <xf numFmtId="0" fontId="1" fillId="14" borderId="11" xfId="0" applyFont="1" applyFill="1" applyBorder="1" applyAlignment="1">
      <alignment vertical="center" wrapText="1"/>
    </xf>
    <xf numFmtId="0" fontId="8" fillId="11" borderId="2" xfId="0" applyFont="1" applyFill="1" applyBorder="1" applyAlignment="1"/>
    <xf numFmtId="0" fontId="8" fillId="15" borderId="2" xfId="0" applyFont="1" applyFill="1" applyBorder="1" applyAlignment="1"/>
    <xf numFmtId="0" fontId="1" fillId="14" borderId="12" xfId="0" applyFont="1" applyFill="1" applyBorder="1" applyAlignment="1">
      <alignment vertical="center" wrapText="1"/>
    </xf>
    <xf numFmtId="0" fontId="9" fillId="11" borderId="2" xfId="0" applyFont="1" applyFill="1" applyBorder="1" applyAlignment="1">
      <alignment vertical="center" wrapText="1"/>
    </xf>
    <xf numFmtId="0" fontId="1" fillId="17" borderId="2" xfId="0" applyFont="1" applyFill="1" applyBorder="1" applyAlignment="1">
      <alignment vertical="center" wrapText="1"/>
    </xf>
    <xf numFmtId="0" fontId="1" fillId="17" borderId="12" xfId="0" applyFont="1" applyFill="1" applyBorder="1" applyAlignment="1">
      <alignment vertical="center" wrapText="1"/>
    </xf>
    <xf numFmtId="0" fontId="8" fillId="15" borderId="2" xfId="0" applyFont="1" applyFill="1" applyBorder="1" applyAlignment="1">
      <alignment vertical="center" wrapText="1"/>
    </xf>
    <xf numFmtId="0" fontId="9" fillId="11" borderId="2" xfId="0" applyFont="1" applyFill="1" applyBorder="1" applyAlignment="1"/>
    <xf numFmtId="0" fontId="1" fillId="17" borderId="11" xfId="0" applyFont="1" applyFill="1" applyBorder="1" applyAlignment="1">
      <alignment vertical="center" wrapText="1"/>
    </xf>
    <xf numFmtId="0" fontId="1" fillId="16" borderId="11" xfId="0" applyFont="1" applyFill="1" applyBorder="1" applyAlignment="1">
      <alignment vertical="center" wrapText="1"/>
    </xf>
    <xf numFmtId="0" fontId="1" fillId="16" borderId="12" xfId="0" applyFont="1" applyFill="1" applyBorder="1" applyAlignment="1">
      <alignment vertical="center" wrapText="1"/>
    </xf>
    <xf numFmtId="0" fontId="8" fillId="11" borderId="13" xfId="0" applyFont="1" applyFill="1" applyBorder="1" applyAlignment="1">
      <alignment vertical="center" wrapText="1"/>
    </xf>
    <xf numFmtId="0" fontId="1" fillId="17" borderId="14" xfId="0" applyFont="1" applyFill="1" applyBorder="1" applyAlignment="1">
      <alignment vertical="center" wrapText="1"/>
    </xf>
    <xf numFmtId="0" fontId="1" fillId="14" borderId="13" xfId="0" applyFont="1" applyFill="1" applyBorder="1" applyAlignment="1">
      <alignment vertical="center" wrapText="1"/>
    </xf>
    <xf numFmtId="0" fontId="1" fillId="13" borderId="13" xfId="0" applyFont="1" applyFill="1" applyBorder="1" applyAlignment="1">
      <alignment vertical="center" wrapText="1"/>
    </xf>
    <xf numFmtId="0" fontId="1" fillId="13" borderId="15" xfId="0" applyFont="1" applyFill="1" applyBorder="1" applyAlignment="1">
      <alignment vertical="center" wrapText="1"/>
    </xf>
    <xf numFmtId="0" fontId="7" fillId="10" borderId="0" xfId="0" applyFont="1" applyFill="1" applyBorder="1" applyAlignment="1">
      <alignment horizontal="center"/>
    </xf>
    <xf numFmtId="0" fontId="8" fillId="11" borderId="16" xfId="0" applyFont="1" applyFill="1" applyBorder="1" applyAlignment="1"/>
    <xf numFmtId="0" fontId="1" fillId="14" borderId="16" xfId="0" applyFont="1" applyFill="1" applyBorder="1" applyAlignment="1">
      <alignment vertical="center" wrapText="1"/>
    </xf>
    <xf numFmtId="0" fontId="1" fillId="13" borderId="16" xfId="0" applyFont="1" applyFill="1" applyBorder="1" applyAlignment="1">
      <alignment vertical="center" wrapText="1"/>
    </xf>
    <xf numFmtId="0" fontId="1" fillId="17" borderId="16" xfId="0" applyFont="1" applyFill="1" applyBorder="1" applyAlignment="1">
      <alignment vertical="center" wrapText="1"/>
    </xf>
    <xf numFmtId="0" fontId="9" fillId="15" borderId="0" xfId="0" applyFont="1" applyFill="1" applyBorder="1" applyAlignment="1"/>
    <xf numFmtId="0" fontId="1" fillId="16" borderId="16" xfId="0" applyFont="1" applyFill="1" applyBorder="1" applyAlignment="1">
      <alignment vertical="center" wrapText="1"/>
    </xf>
    <xf numFmtId="0" fontId="8" fillId="11" borderId="0" xfId="0" applyFont="1" applyFill="1" applyAlignment="1"/>
    <xf numFmtId="0" fontId="9" fillId="15" borderId="0" xfId="0" applyFont="1" applyFill="1" applyAlignment="1"/>
    <xf numFmtId="0" fontId="9" fillId="11" borderId="0" xfId="0" applyFont="1" applyFill="1" applyAlignment="1"/>
    <xf numFmtId="0" fontId="9" fillId="11" borderId="0" xfId="0" applyFont="1" applyFill="1" applyBorder="1" applyAlignment="1"/>
    <xf numFmtId="0" fontId="1" fillId="12" borderId="16" xfId="0" applyFont="1" applyFill="1" applyBorder="1" applyAlignment="1">
      <alignment vertical="center" wrapText="1"/>
    </xf>
    <xf numFmtId="0" fontId="9" fillId="11" borderId="0" xfId="0" applyFont="1" applyFill="1" applyBorder="1" applyAlignment="1">
      <alignment vertical="center" wrapText="1"/>
    </xf>
    <xf numFmtId="0" fontId="9" fillId="15" borderId="0" xfId="0" applyFont="1" applyFill="1" applyBorder="1" applyAlignment="1">
      <alignment vertical="center" wrapText="1"/>
    </xf>
    <xf numFmtId="0" fontId="6" fillId="9" borderId="9" xfId="0" applyFont="1" applyFill="1" applyBorder="1" applyAlignment="1">
      <alignment horizontal="center" vertical="center"/>
    </xf>
    <xf numFmtId="0" fontId="6" fillId="9" borderId="0" xfId="0" applyFont="1" applyFill="1" applyBorder="1" applyAlignment="1">
      <alignment horizontal="center" vertical="center"/>
    </xf>
    <xf numFmtId="0" fontId="6" fillId="9" borderId="17" xfId="0" applyFont="1" applyFill="1" applyBorder="1" applyAlignment="1">
      <alignment horizontal="center" vertical="center"/>
    </xf>
    <xf numFmtId="0" fontId="7" fillId="10" borderId="18" xfId="0" applyFont="1" applyFill="1" applyBorder="1" applyAlignment="1"/>
    <xf numFmtId="0" fontId="7" fillId="10" borderId="3" xfId="0" applyFont="1" applyFill="1" applyBorder="1" applyAlignment="1">
      <alignment horizontal="center"/>
    </xf>
    <xf numFmtId="0" fontId="7" fillId="10" borderId="4" xfId="0" applyFont="1" applyFill="1" applyBorder="1" applyAlignment="1">
      <alignment horizontal="center"/>
    </xf>
    <xf numFmtId="0" fontId="8" fillId="15" borderId="0" xfId="0" applyFont="1" applyFill="1" applyBorder="1" applyAlignment="1"/>
    <xf numFmtId="0" fontId="9" fillId="15" borderId="11" xfId="0" applyFont="1" applyFill="1" applyBorder="1" applyAlignment="1">
      <alignment vertical="center" wrapText="1"/>
    </xf>
    <xf numFmtId="0" fontId="9" fillId="15" borderId="16" xfId="0" applyFont="1" applyFill="1" applyBorder="1" applyAlignment="1">
      <alignment vertical="center" wrapText="1"/>
    </xf>
    <xf numFmtId="0" fontId="8" fillId="11" borderId="0" xfId="0" applyFont="1" applyFill="1" applyBorder="1" applyAlignment="1"/>
    <xf numFmtId="0" fontId="1" fillId="11" borderId="11" xfId="0" applyFont="1" applyFill="1" applyBorder="1" applyAlignment="1"/>
    <xf numFmtId="0" fontId="1" fillId="11" borderId="16" xfId="0" applyFont="1" applyFill="1" applyBorder="1" applyAlignment="1"/>
    <xf numFmtId="0" fontId="7" fillId="10" borderId="11" xfId="0" applyFont="1" applyFill="1" applyBorder="1" applyAlignment="1">
      <alignment horizontal="left"/>
    </xf>
    <xf numFmtId="0" fontId="7" fillId="10" borderId="11" xfId="0" applyFont="1" applyFill="1" applyBorder="1" applyAlignment="1">
      <alignment horizontal="center"/>
    </xf>
    <xf numFmtId="0" fontId="7" fillId="10" borderId="16" xfId="0" applyFont="1" applyFill="1" applyBorder="1" applyAlignment="1">
      <alignment horizontal="center"/>
    </xf>
    <xf numFmtId="0" fontId="7" fillId="10" borderId="19" xfId="0" applyFont="1" applyFill="1" applyBorder="1" applyAlignment="1">
      <alignment horizontal="center"/>
    </xf>
    <xf numFmtId="0" fontId="9" fillId="11" borderId="11" xfId="0" applyFont="1" applyFill="1" applyBorder="1" applyAlignment="1">
      <alignment vertical="center" wrapText="1"/>
    </xf>
    <xf numFmtId="0" fontId="9" fillId="18" borderId="0" xfId="0" applyFont="1" applyFill="1" applyBorder="1" applyAlignment="1"/>
    <xf numFmtId="0" fontId="7" fillId="10" borderId="0" xfId="0" applyFont="1" applyFill="1" applyBorder="1" applyAlignment="1"/>
    <xf numFmtId="0" fontId="8" fillId="0" borderId="20" xfId="0" applyFont="1" applyFill="1" applyBorder="1" applyAlignment="1"/>
    <xf numFmtId="0" fontId="1" fillId="16" borderId="21" xfId="0" applyFont="1" applyFill="1" applyBorder="1" applyAlignment="1">
      <alignment vertical="center" wrapText="1"/>
    </xf>
    <xf numFmtId="0" fontId="1" fillId="12" borderId="15" xfId="0" applyFont="1" applyFill="1" applyBorder="1" applyAlignment="1">
      <alignment vertical="center" wrapText="1"/>
    </xf>
    <xf numFmtId="0" fontId="1" fillId="14" borderId="15" xfId="0" applyFont="1" applyFill="1" applyBorder="1" applyAlignment="1">
      <alignment vertical="center" wrapText="1"/>
    </xf>
    <xf numFmtId="0" fontId="0" fillId="0" borderId="20" xfId="0" applyFont="1" applyFill="1" applyBorder="1" applyAlignment="1"/>
    <xf numFmtId="0" fontId="1" fillId="12" borderId="21" xfId="0" applyFont="1" applyFill="1" applyBorder="1" applyAlignment="1">
      <alignment vertical="center" wrapText="1"/>
    </xf>
    <xf numFmtId="0" fontId="1" fillId="16" borderId="15" xfId="0" applyFont="1" applyFill="1" applyBorder="1" applyAlignment="1">
      <alignment vertical="center" wrapText="1"/>
    </xf>
    <xf numFmtId="0" fontId="1" fillId="17" borderId="15" xfId="0" applyFont="1" applyFill="1" applyBorder="1" applyAlignment="1">
      <alignment vertical="center" wrapText="1"/>
    </xf>
    <xf numFmtId="0" fontId="1" fillId="14" borderId="21" xfId="0" applyFont="1" applyFill="1" applyBorder="1" applyAlignment="1">
      <alignment vertical="center" wrapText="1"/>
    </xf>
    <xf numFmtId="0" fontId="1" fillId="13" borderId="21" xfId="0" applyFont="1" applyFill="1" applyBorder="1" applyAlignment="1">
      <alignment vertical="center" wrapText="1"/>
    </xf>
    <xf numFmtId="0" fontId="1" fillId="17" borderId="21" xfId="0" applyFont="1" applyFill="1" applyBorder="1" applyAlignment="1">
      <alignment vertical="center" wrapText="1"/>
    </xf>
    <xf numFmtId="0" fontId="1" fillId="12" borderId="13" xfId="0" applyFont="1" applyFill="1" applyBorder="1" applyAlignment="1">
      <alignment vertical="center" wrapText="1"/>
    </xf>
    <xf numFmtId="0" fontId="1" fillId="16" borderId="13" xfId="0" applyFont="1" applyFill="1" applyBorder="1" applyAlignment="1">
      <alignment vertical="center" wrapText="1"/>
    </xf>
    <xf numFmtId="0" fontId="1" fillId="17" borderId="13" xfId="0" applyFont="1" applyFill="1" applyBorder="1" applyAlignment="1">
      <alignment vertical="center" wrapText="1"/>
    </xf>
    <xf numFmtId="0" fontId="8" fillId="15" borderId="0" xfId="0" applyFont="1" applyFill="1" applyAlignment="1"/>
    <xf numFmtId="0" fontId="9" fillId="15" borderId="1" xfId="0" applyFont="1" applyFill="1" applyBorder="1" applyAlignment="1"/>
    <xf numFmtId="0" fontId="1" fillId="13" borderId="9" xfId="0" applyFont="1" applyFill="1" applyBorder="1" applyAlignment="1">
      <alignment vertical="center" wrapText="1"/>
    </xf>
    <xf numFmtId="0" fontId="1" fillId="13" borderId="0" xfId="0" applyFont="1" applyFill="1" applyBorder="1" applyAlignment="1">
      <alignment vertical="center" wrapText="1"/>
    </xf>
    <xf numFmtId="0" fontId="1" fillId="17" borderId="0" xfId="0" applyFont="1" applyFill="1" applyBorder="1" applyAlignment="1">
      <alignment vertical="center" wrapText="1"/>
    </xf>
    <xf numFmtId="0" fontId="1" fillId="14" borderId="0" xfId="0" applyFont="1" applyFill="1" applyBorder="1" applyAlignment="1">
      <alignment vertical="center" wrapText="1"/>
    </xf>
    <xf numFmtId="0" fontId="9" fillId="15" borderId="22" xfId="0" applyFont="1" applyFill="1" applyBorder="1" applyAlignment="1"/>
    <xf numFmtId="0" fontId="1" fillId="12" borderId="14" xfId="0" applyFont="1" applyFill="1" applyBorder="1" applyAlignment="1">
      <alignment vertical="center" wrapText="1"/>
    </xf>
    <xf numFmtId="0" fontId="1" fillId="14" borderId="23" xfId="0" applyFont="1" applyFill="1" applyBorder="1" applyAlignment="1">
      <alignment vertical="center" wrapText="1"/>
    </xf>
    <xf numFmtId="0" fontId="1" fillId="13" borderId="23" xfId="0" applyFont="1" applyFill="1" applyBorder="1" applyAlignment="1">
      <alignment vertical="center" wrapText="1"/>
    </xf>
    <xf numFmtId="0" fontId="1" fillId="17" borderId="23" xfId="0" applyFont="1" applyFill="1" applyBorder="1" applyAlignment="1">
      <alignment vertical="center" wrapText="1"/>
    </xf>
    <xf numFmtId="0" fontId="8" fillId="0" borderId="19" xfId="0" applyFont="1" applyFill="1" applyBorder="1" applyAlignment="1"/>
    <xf numFmtId="0" fontId="1" fillId="16" borderId="24" xfId="0" applyFont="1" applyFill="1" applyBorder="1" applyAlignment="1">
      <alignment vertical="center" wrapText="1"/>
    </xf>
    <xf numFmtId="0" fontId="1" fillId="12" borderId="12" xfId="0" applyFont="1" applyFill="1" applyBorder="1" applyAlignment="1">
      <alignment vertical="center" wrapText="1"/>
    </xf>
    <xf numFmtId="0" fontId="0" fillId="19" borderId="0" xfId="0" applyFill="1" applyAlignment="1">
      <alignment horizontal="center" vertical="center"/>
    </xf>
    <xf numFmtId="0" fontId="0" fillId="9" borderId="0" xfId="0" applyFill="1" applyAlignment="1"/>
    <xf numFmtId="0" fontId="0" fillId="4" borderId="0" xfId="0" applyFill="1" applyAlignment="1">
      <alignment horizontal="center"/>
    </xf>
    <xf numFmtId="0" fontId="0" fillId="9" borderId="0" xfId="0" applyFill="1" applyAlignment="1">
      <alignment horizontal="center" vertical="center" wrapText="1"/>
    </xf>
    <xf numFmtId="0" fontId="0" fillId="20" borderId="0" xfId="0" applyFill="1" applyAlignment="1"/>
    <xf numFmtId="0" fontId="0" fillId="21" borderId="0" xfId="0" applyFill="1" applyAlignment="1"/>
    <xf numFmtId="0" fontId="0" fillId="22" borderId="0" xfId="0" applyFill="1" applyAlignment="1"/>
    <xf numFmtId="0" fontId="0" fillId="4" borderId="25" xfId="0" applyFill="1" applyBorder="1" applyAlignment="1">
      <alignment horizontal="center"/>
    </xf>
    <xf numFmtId="0" fontId="0" fillId="9" borderId="26" xfId="0" applyFill="1" applyBorder="1" applyAlignment="1"/>
    <xf numFmtId="0" fontId="0" fillId="23" borderId="27" xfId="0" applyFill="1" applyBorder="1" applyAlignment="1" applyProtection="1">
      <protection locked="0"/>
    </xf>
    <xf numFmtId="0" fontId="0" fillId="4" borderId="28" xfId="0" applyFill="1" applyBorder="1" applyAlignment="1"/>
    <xf numFmtId="0" fontId="0" fillId="24" borderId="27" xfId="0" applyFill="1" applyBorder="1" applyAlignment="1"/>
    <xf numFmtId="0" fontId="10" fillId="0" borderId="0" xfId="0" applyFont="1">
      <alignment vertical="center"/>
    </xf>
    <xf numFmtId="0" fontId="11" fillId="0" borderId="0" xfId="0" applyFont="1" applyAlignment="1">
      <alignment horizontal="left" vertical="center" indent="1"/>
    </xf>
    <xf numFmtId="0" fontId="11" fillId="0" borderId="29" xfId="0" applyFont="1" applyBorder="1" applyAlignment="1">
      <alignment vertical="center" wrapText="1"/>
    </xf>
    <xf numFmtId="0" fontId="12" fillId="0" borderId="29" xfId="0" applyFont="1" applyBorder="1" applyAlignment="1">
      <alignment vertical="center" wrapText="1"/>
    </xf>
    <xf numFmtId="0" fontId="13" fillId="0" borderId="29" xfId="0" applyFont="1" applyBorder="1" applyAlignment="1">
      <alignment vertical="center" wrapText="1"/>
    </xf>
    <xf numFmtId="0" fontId="12" fillId="0" borderId="0" xfId="0" applyFont="1">
      <alignment vertical="center"/>
    </xf>
    <xf numFmtId="0" fontId="11" fillId="0" borderId="0" xfId="0" applyFont="1">
      <alignment vertical="center"/>
    </xf>
    <xf numFmtId="0" fontId="0" fillId="0" borderId="0" xfId="0" applyFont="1" applyAlignment="1">
      <alignment horizontal="center" vertical="center"/>
    </xf>
    <xf numFmtId="0" fontId="0" fillId="0" borderId="0" xfId="0" applyFont="1" applyAlignment="1">
      <alignment horizontal="left" vertical="center"/>
    </xf>
    <xf numFmtId="0" fontId="14" fillId="0" borderId="29" xfId="0" applyFont="1" applyBorder="1" applyAlignment="1">
      <alignment horizontal="left" vertical="center" wrapText="1" readingOrder="1"/>
    </xf>
    <xf numFmtId="0" fontId="15" fillId="0" borderId="29" xfId="0" applyFont="1" applyBorder="1" applyAlignment="1">
      <alignment horizontal="center" vertical="center" wrapText="1"/>
    </xf>
    <xf numFmtId="0" fontId="14" fillId="0" borderId="29" xfId="0" applyFont="1" applyBorder="1" applyAlignment="1">
      <alignment horizontal="center" vertical="center" wrapText="1" readingOrder="1"/>
    </xf>
    <xf numFmtId="0" fontId="16" fillId="0" borderId="0" xfId="0" applyFont="1" applyAlignment="1">
      <alignment horizontal="left" vertical="center" wrapText="1" readingOrder="1"/>
    </xf>
    <xf numFmtId="0" fontId="12" fillId="0" borderId="29" xfId="0" applyFont="1" applyBorder="1" applyAlignment="1">
      <alignment horizontal="center" vertical="center" wrapText="1"/>
    </xf>
    <xf numFmtId="0" fontId="16" fillId="0" borderId="29" xfId="0" applyFont="1" applyBorder="1" applyAlignment="1">
      <alignment horizontal="center" vertical="center" wrapText="1" readingOrder="1"/>
    </xf>
    <xf numFmtId="0" fontId="17" fillId="0" borderId="29" xfId="0" applyFont="1" applyBorder="1" applyAlignment="1">
      <alignment horizontal="left" vertical="center" wrapText="1" readingOrder="1"/>
    </xf>
    <xf numFmtId="0" fontId="16" fillId="0" borderId="0" xfId="0" applyFont="1" applyAlignment="1">
      <alignment horizontal="center" vertical="center" wrapText="1" readingOrder="1"/>
    </xf>
    <xf numFmtId="0" fontId="12" fillId="0" borderId="0" xfId="0" applyFont="1" applyAlignment="1">
      <alignment horizontal="center" vertical="center"/>
    </xf>
    <xf numFmtId="0" fontId="12" fillId="0" borderId="0" xfId="0" applyFont="1" applyAlignment="1">
      <alignment horizontal="left" vertical="center"/>
    </xf>
    <xf numFmtId="0" fontId="18" fillId="0" borderId="30" xfId="0" applyFont="1" applyBorder="1" applyAlignment="1">
      <alignment vertical="center" wrapText="1" readingOrder="1"/>
    </xf>
    <xf numFmtId="0" fontId="18" fillId="0" borderId="31" xfId="0" applyFont="1" applyBorder="1" applyAlignment="1">
      <alignment vertical="center" wrapText="1" readingOrder="1"/>
    </xf>
    <xf numFmtId="0" fontId="0" fillId="0" borderId="32" xfId="0" applyBorder="1">
      <alignment vertical="center"/>
    </xf>
    <xf numFmtId="0" fontId="16" fillId="0" borderId="33" xfId="0" applyFont="1" applyBorder="1" applyAlignment="1">
      <alignment vertical="center" wrapText="1" readingOrder="1"/>
    </xf>
    <xf numFmtId="0" fontId="19" fillId="0" borderId="31" xfId="0" applyFont="1" applyBorder="1" applyAlignment="1">
      <alignment vertical="center" wrapText="1" readingOrder="1"/>
    </xf>
    <xf numFmtId="0" fontId="16" fillId="0" borderId="30" xfId="0" applyFont="1" applyBorder="1" applyAlignment="1">
      <alignment vertical="center" wrapText="1" readingOrder="1"/>
    </xf>
    <xf numFmtId="0" fontId="5"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0" fillId="0" borderId="0" xfId="0" applyFont="1">
      <alignment vertical="center"/>
    </xf>
    <xf numFmtId="0" fontId="23" fillId="0" borderId="0" xfId="0" applyFont="1" applyAlignment="1">
      <alignment vertical="center" wrapText="1"/>
    </xf>
    <xf numFmtId="0" fontId="0" fillId="0" borderId="0" xfId="0" applyAlignment="1">
      <alignment horizontal="left" vertical="center"/>
    </xf>
    <xf numFmtId="0" fontId="11" fillId="25" borderId="34" xfId="0" applyFont="1" applyFill="1" applyBorder="1" applyAlignment="1">
      <alignment horizontal="left" vertical="center" wrapText="1"/>
    </xf>
    <xf numFmtId="0" fontId="24" fillId="25" borderId="34" xfId="0" applyFont="1" applyFill="1" applyBorder="1" applyAlignment="1">
      <alignment horizontal="left" vertical="center" wrapText="1"/>
    </xf>
    <xf numFmtId="0" fontId="12" fillId="0" borderId="34" xfId="0" applyFont="1" applyBorder="1" applyAlignment="1">
      <alignment horizontal="left" vertical="center" wrapText="1"/>
    </xf>
    <xf numFmtId="0" fontId="11" fillId="0" borderId="34" xfId="0" applyFont="1" applyBorder="1" applyAlignment="1">
      <alignment horizontal="left" vertical="center" wrapText="1"/>
    </xf>
    <xf numFmtId="0" fontId="15" fillId="0" borderId="34" xfId="0" applyFont="1" applyBorder="1" applyAlignment="1">
      <alignment horizontal="left" vertical="center" wrapText="1"/>
    </xf>
    <xf numFmtId="0" fontId="25" fillId="0" borderId="0" xfId="0" applyFont="1">
      <alignment vertical="center"/>
    </xf>
    <xf numFmtId="0" fontId="25" fillId="0" borderId="0" xfId="0" applyFont="1" applyAlignment="1">
      <alignment horizontal="left" vertical="center" indent="1"/>
    </xf>
    <xf numFmtId="0" fontId="0" fillId="0" borderId="0" xfId="0" applyAlignment="1">
      <alignment horizontal="left" vertical="center" indent="1"/>
    </xf>
    <xf numFmtId="0" fontId="26" fillId="0" borderId="0" xfId="0" applyFont="1">
      <alignment vertical="center"/>
    </xf>
    <xf numFmtId="0" fontId="0" fillId="0" borderId="0" xfId="0" applyAlignment="1">
      <alignment horizontal="left" vertical="center" indent="2"/>
    </xf>
    <xf numFmtId="0" fontId="25" fillId="0" borderId="0" xfId="0" applyFont="1" applyAlignment="1">
      <alignment horizontal="left" vertical="center" indent="2"/>
    </xf>
    <xf numFmtId="0" fontId="18" fillId="0" borderId="29" xfId="0" applyFont="1" applyBorder="1" applyAlignment="1">
      <alignment vertical="center" wrapText="1" readingOrder="1"/>
    </xf>
    <xf numFmtId="0" fontId="16" fillId="0" borderId="29" xfId="0" applyFont="1" applyBorder="1" applyAlignment="1">
      <alignment vertical="center" wrapText="1" readingOrder="1"/>
    </xf>
    <xf numFmtId="0" fontId="27" fillId="0" borderId="0" xfId="0" applyFont="1">
      <alignment vertical="center"/>
    </xf>
    <xf numFmtId="0" fontId="7" fillId="26" borderId="35" xfId="0" applyFont="1" applyFill="1" applyBorder="1" applyAlignment="1"/>
    <xf numFmtId="0" fontId="7" fillId="26" borderId="36" xfId="0" applyFont="1" applyFill="1" applyBorder="1" applyAlignment="1"/>
    <xf numFmtId="0" fontId="7" fillId="26" borderId="37" xfId="0" applyFont="1" applyFill="1" applyBorder="1" applyAlignment="1"/>
    <xf numFmtId="0" fontId="7" fillId="26" borderId="38" xfId="0" applyFont="1" applyFill="1" applyBorder="1" applyAlignment="1"/>
    <xf numFmtId="0" fontId="7" fillId="26" borderId="39" xfId="0" applyFont="1" applyFill="1" applyBorder="1" applyAlignment="1"/>
    <xf numFmtId="0" fontId="7" fillId="26" borderId="40" xfId="0" applyFont="1" applyFill="1" applyBorder="1" applyAlignment="1"/>
    <xf numFmtId="0" fontId="0" fillId="0" borderId="41" xfId="0" applyFill="1" applyBorder="1" applyAlignment="1"/>
    <xf numFmtId="0" fontId="0" fillId="0" borderId="42" xfId="0" applyFill="1" applyBorder="1" applyAlignment="1"/>
    <xf numFmtId="0" fontId="0" fillId="0" borderId="43" xfId="0" applyFill="1" applyBorder="1" applyAlignment="1"/>
    <xf numFmtId="0" fontId="0" fillId="0" borderId="44" xfId="0" applyFill="1" applyBorder="1" applyAlignment="1"/>
    <xf numFmtId="0" fontId="0" fillId="0" borderId="45" xfId="0" applyFill="1" applyBorder="1" applyAlignment="1"/>
    <xf numFmtId="0" fontId="0" fillId="0" borderId="46" xfId="0" applyFill="1" applyBorder="1" applyAlignment="1"/>
    <xf numFmtId="0" fontId="0" fillId="0" borderId="43" xfId="0" applyFill="1" applyBorder="1" applyAlignment="1">
      <alignment horizontal="right"/>
    </xf>
    <xf numFmtId="0" fontId="0" fillId="19" borderId="41" xfId="0" applyFill="1" applyBorder="1" applyAlignment="1"/>
    <xf numFmtId="16" fontId="0" fillId="0" borderId="43" xfId="0" applyNumberFormat="1" applyFill="1" applyBorder="1" applyAlignment="1">
      <alignment horizontal="right"/>
    </xf>
    <xf numFmtId="0" fontId="4" fillId="23" borderId="41" xfId="0" applyFont="1" applyFill="1" applyBorder="1" applyAlignment="1"/>
    <xf numFmtId="0" fontId="0" fillId="23" borderId="42" xfId="0" applyFill="1" applyBorder="1" applyAlignment="1"/>
    <xf numFmtId="0" fontId="0" fillId="23" borderId="43" xfId="0" applyFill="1" applyBorder="1" applyAlignment="1"/>
    <xf numFmtId="0" fontId="0" fillId="23" borderId="44" xfId="0" applyFill="1" applyBorder="1" applyAlignment="1"/>
    <xf numFmtId="0" fontId="0" fillId="23" borderId="45" xfId="0" applyFill="1" applyBorder="1" applyAlignment="1"/>
    <xf numFmtId="0" fontId="0" fillId="23" borderId="46" xfId="0" applyFill="1" applyBorder="1" applyAlignment="1"/>
    <xf numFmtId="0" fontId="0" fillId="0" borderId="47" xfId="0" applyFill="1" applyBorder="1" applyAlignment="1"/>
    <xf numFmtId="0" fontId="0" fillId="0" borderId="48" xfId="0" applyFill="1" applyBorder="1" applyAlignment="1"/>
    <xf numFmtId="0" fontId="0" fillId="0" borderId="49" xfId="0" applyFill="1" applyBorder="1" applyAlignment="1"/>
    <xf numFmtId="0" fontId="0" fillId="0" borderId="50" xfId="0" applyFill="1" applyBorder="1" applyAlignment="1"/>
    <xf numFmtId="0" fontId="0" fillId="0" borderId="51" xfId="0" applyFill="1" applyBorder="1" applyAlignment="1"/>
    <xf numFmtId="0" fontId="0" fillId="0" borderId="52" xfId="0" applyFill="1" applyBorder="1" applyAlignment="1"/>
    <xf numFmtId="0" fontId="0" fillId="0" borderId="53" xfId="0" applyFill="1" applyBorder="1" applyAlignment="1"/>
    <xf numFmtId="0" fontId="0" fillId="23" borderId="41" xfId="0" applyFill="1" applyBorder="1" applyAlignment="1"/>
    <xf numFmtId="0" fontId="0" fillId="23" borderId="53" xfId="0" applyFill="1" applyBorder="1" applyAlignment="1"/>
    <xf numFmtId="0" fontId="0" fillId="0" borderId="54" xfId="0" applyFill="1" applyBorder="1" applyAlignment="1"/>
    <xf numFmtId="0" fontId="0" fillId="0" borderId="49" xfId="0" applyFill="1" applyBorder="1" applyAlignment="1">
      <alignment horizontal="right"/>
    </xf>
    <xf numFmtId="0" fontId="0" fillId="19" borderId="47" xfId="0" applyFill="1" applyBorder="1" applyAlignment="1"/>
    <xf numFmtId="0" fontId="4" fillId="0" borderId="47" xfId="0" applyFont="1" applyFill="1" applyBorder="1" applyAlignment="1"/>
    <xf numFmtId="0" fontId="0" fillId="0" borderId="55" xfId="0" applyFill="1" applyBorder="1" applyAlignment="1"/>
    <xf numFmtId="0" fontId="0" fillId="23" borderId="49" xfId="0" applyFill="1" applyBorder="1" applyAlignment="1"/>
    <xf numFmtId="0" fontId="25" fillId="0" borderId="0" xfId="0" applyFont="1" applyFill="1" applyAlignment="1">
      <alignment horizontal="center" vertical="center" wrapText="1"/>
    </xf>
    <xf numFmtId="0" fontId="28" fillId="27" borderId="0" xfId="0" applyFont="1" applyFill="1" applyAlignment="1">
      <alignment vertical="center" wrapText="1"/>
    </xf>
    <xf numFmtId="0" fontId="0" fillId="0" borderId="0" xfId="0" applyFill="1" applyAlignment="1">
      <alignment vertical="center" wrapText="1"/>
    </xf>
    <xf numFmtId="0" fontId="0" fillId="27" borderId="0" xfId="0" applyFill="1" applyAlignment="1">
      <alignment vertical="center" wrapText="1"/>
    </xf>
    <xf numFmtId="0" fontId="28" fillId="0" borderId="0" xfId="0" applyFont="1" applyFill="1" applyAlignment="1">
      <alignment vertical="center" wrapText="1"/>
    </xf>
    <xf numFmtId="0" fontId="0" fillId="28" borderId="0" xfId="0" applyFill="1" applyAlignment="1">
      <alignment vertical="center" wrapText="1"/>
    </xf>
    <xf numFmtId="0" fontId="25" fillId="0" borderId="0" xfId="0" applyFont="1" applyFill="1" applyAlignment="1">
      <alignment vertical="center" wrapText="1"/>
    </xf>
    <xf numFmtId="0" fontId="25" fillId="2" borderId="0" xfId="0" applyFont="1" applyFill="1" applyAlignment="1">
      <alignment vertical="center" wrapText="1"/>
    </xf>
    <xf numFmtId="0" fontId="0" fillId="29" borderId="0" xfId="0" applyFill="1" applyAlignment="1">
      <alignment vertical="center" wrapText="1"/>
    </xf>
    <xf numFmtId="0" fontId="7" fillId="26" borderId="56" xfId="0" applyFont="1" applyFill="1" applyBorder="1" applyAlignment="1"/>
    <xf numFmtId="0" fontId="7" fillId="26" borderId="14" xfId="0" applyFont="1" applyFill="1" applyBorder="1" applyAlignment="1"/>
    <xf numFmtId="0" fontId="7" fillId="26" borderId="23" xfId="0" applyFont="1" applyFill="1" applyBorder="1" applyAlignment="1"/>
    <xf numFmtId="0" fontId="0" fillId="0" borderId="17" xfId="0" applyFill="1" applyBorder="1" applyAlignment="1"/>
    <xf numFmtId="0" fontId="0" fillId="0" borderId="0" xfId="0" applyFill="1" applyAlignment="1"/>
    <xf numFmtId="0" fontId="0" fillId="0" borderId="0" xfId="0" applyFill="1" applyAlignment="1">
      <alignment horizontal="right"/>
    </xf>
    <xf numFmtId="0" fontId="29" fillId="0" borderId="0" xfId="0" applyFont="1" applyFill="1" applyAlignment="1"/>
    <xf numFmtId="0" fontId="0" fillId="4" borderId="20" xfId="0" applyFill="1" applyBorder="1" applyAlignment="1"/>
    <xf numFmtId="0" fontId="0" fillId="4" borderId="7" xfId="0" applyFill="1" applyBorder="1" applyAlignment="1"/>
    <xf numFmtId="0" fontId="0" fillId="4" borderId="17" xfId="0" applyFill="1" applyBorder="1" applyAlignment="1"/>
    <xf numFmtId="0" fontId="7" fillId="10" borderId="17" xfId="0" applyFont="1" applyFill="1" applyBorder="1" applyAlignment="1"/>
    <xf numFmtId="0" fontId="7" fillId="10" borderId="0" xfId="0" applyFont="1" applyFill="1" applyAlignment="1">
      <alignment horizontal="center"/>
    </xf>
    <xf numFmtId="0" fontId="7" fillId="30" borderId="5" xfId="0" applyFont="1" applyFill="1" applyBorder="1" applyAlignment="1">
      <alignment horizontal="left"/>
    </xf>
    <xf numFmtId="0" fontId="9" fillId="30" borderId="4" xfId="0" applyFont="1" applyFill="1" applyBorder="1" applyAlignment="1">
      <alignment horizontal="center"/>
    </xf>
    <xf numFmtId="0" fontId="9" fillId="31" borderId="4" xfId="0" applyFont="1" applyFill="1" applyBorder="1" applyAlignment="1">
      <alignment horizontal="center"/>
    </xf>
    <xf numFmtId="0" fontId="7" fillId="32" borderId="17" xfId="0" applyFont="1" applyFill="1" applyBorder="1" applyAlignment="1">
      <alignment horizontal="left"/>
    </xf>
    <xf numFmtId="0" fontId="9" fillId="32" borderId="0" xfId="0" applyFont="1" applyFill="1" applyAlignment="1">
      <alignment horizontal="center"/>
    </xf>
    <xf numFmtId="0" fontId="7" fillId="30" borderId="17" xfId="0" applyFont="1" applyFill="1" applyBorder="1" applyAlignment="1">
      <alignment horizontal="left"/>
    </xf>
    <xf numFmtId="0" fontId="9" fillId="31" borderId="0" xfId="0" applyFont="1" applyFill="1" applyAlignment="1">
      <alignment horizontal="center"/>
    </xf>
    <xf numFmtId="0" fontId="9" fillId="30" borderId="0" xfId="0" applyFont="1" applyFill="1" applyAlignment="1">
      <alignment horizontal="center"/>
    </xf>
    <xf numFmtId="0" fontId="0" fillId="4" borderId="8" xfId="0" applyFill="1" applyBorder="1" applyAlignment="1"/>
    <xf numFmtId="0" fontId="0" fillId="4" borderId="3" xfId="0" applyFill="1" applyBorder="1" applyAlignment="1"/>
    <xf numFmtId="0" fontId="0" fillId="4" borderId="9" xfId="0" applyFill="1" applyBorder="1" applyAlignment="1"/>
    <xf numFmtId="0" fontId="9" fillId="33" borderId="0" xfId="0" applyFont="1" applyFill="1" applyAlignment="1">
      <alignment horizontal="center"/>
    </xf>
    <xf numFmtId="0" fontId="0" fillId="4" borderId="5" xfId="0" applyFill="1" applyBorder="1" applyAlignment="1"/>
    <xf numFmtId="0" fontId="0" fillId="4" borderId="6" xfId="0" applyFill="1" applyBorder="1" applyAlignment="1"/>
    <xf numFmtId="0" fontId="9" fillId="34" borderId="0" xfId="0" applyFont="1" applyFill="1" applyAlignment="1">
      <alignment horizontal="center"/>
    </xf>
    <xf numFmtId="0" fontId="9" fillId="35" borderId="0" xfId="0" applyFont="1" applyFill="1" applyAlignment="1">
      <alignment horizontal="center"/>
    </xf>
    <xf numFmtId="0" fontId="9" fillId="35" borderId="4" xfId="0" applyFont="1" applyFill="1" applyBorder="1" applyAlignment="1">
      <alignment horizontal="center"/>
    </xf>
    <xf numFmtId="0" fontId="9" fillId="30" borderId="26" xfId="0" applyFont="1" applyFill="1" applyBorder="1" applyAlignment="1"/>
    <xf numFmtId="0" fontId="9" fillId="32" borderId="25" xfId="0" applyFont="1" applyFill="1" applyBorder="1" applyAlignment="1"/>
    <xf numFmtId="0" fontId="9" fillId="30" borderId="25" xfId="0" applyFont="1" applyFill="1" applyBorder="1" applyAlignment="1"/>
    <xf numFmtId="0" fontId="9" fillId="32" borderId="27" xfId="0" applyFont="1" applyFill="1" applyBorder="1" applyAlignment="1"/>
    <xf numFmtId="0" fontId="0" fillId="9" borderId="28" xfId="0" applyFill="1" applyBorder="1" applyAlignment="1">
      <alignment horizontal="center"/>
    </xf>
    <xf numFmtId="0" fontId="0" fillId="0" borderId="57" xfId="0" applyFill="1" applyBorder="1" applyAlignment="1"/>
    <xf numFmtId="0" fontId="0" fillId="0" borderId="58" xfId="0" applyFill="1" applyBorder="1" applyAlignment="1"/>
    <xf numFmtId="2" fontId="0" fillId="9" borderId="28" xfId="0" applyNumberFormat="1" applyFill="1" applyBorder="1" applyAlignment="1"/>
    <xf numFmtId="0" fontId="7" fillId="10" borderId="27" xfId="0" applyFont="1" applyFill="1" applyBorder="1" applyAlignment="1"/>
    <xf numFmtId="178" fontId="9" fillId="30" borderId="26" xfId="0" applyNumberFormat="1" applyFont="1" applyFill="1" applyBorder="1" applyAlignment="1"/>
    <xf numFmtId="0" fontId="30" fillId="36" borderId="0" xfId="0" applyFont="1" applyFill="1" applyAlignment="1"/>
    <xf numFmtId="0" fontId="31" fillId="19" borderId="0" xfId="0" applyFont="1" applyFill="1" applyAlignment="1"/>
    <xf numFmtId="0" fontId="32" fillId="37" borderId="0" xfId="0" applyFont="1" applyFill="1" applyAlignment="1"/>
    <xf numFmtId="178" fontId="9" fillId="32" borderId="25" xfId="0" applyNumberFormat="1" applyFont="1" applyFill="1" applyBorder="1" applyAlignment="1"/>
    <xf numFmtId="178" fontId="9" fillId="30" borderId="25" xfId="0" applyNumberFormat="1" applyFont="1" applyFill="1" applyBorder="1" applyAlignment="1"/>
    <xf numFmtId="10" fontId="0" fillId="4" borderId="0" xfId="0" applyNumberFormat="1" applyFill="1" applyAlignment="1"/>
    <xf numFmtId="0" fontId="0" fillId="4" borderId="59" xfId="0" applyFill="1" applyBorder="1" applyAlignment="1"/>
    <xf numFmtId="0" fontId="0" fillId="4" borderId="57" xfId="0" applyFill="1" applyBorder="1" applyAlignment="1"/>
    <xf numFmtId="179" fontId="0" fillId="9" borderId="60" xfId="0" applyNumberFormat="1" applyFill="1" applyBorder="1" applyAlignment="1"/>
    <xf numFmtId="0" fontId="0" fillId="9" borderId="58" xfId="0" applyFill="1" applyBorder="1" applyAlignment="1">
      <alignment horizontal="center"/>
    </xf>
    <xf numFmtId="178" fontId="0" fillId="9" borderId="60" xfId="0" applyNumberFormat="1" applyFill="1" applyBorder="1" applyAlignment="1"/>
    <xf numFmtId="178" fontId="0" fillId="9" borderId="28" xfId="0" applyNumberFormat="1" applyFill="1" applyBorder="1" applyAlignment="1"/>
    <xf numFmtId="0" fontId="0" fillId="4" borderId="57" xfId="0" applyFill="1" applyBorder="1" applyAlignment="1">
      <alignment horizontal="center"/>
    </xf>
    <xf numFmtId="0" fontId="0" fillId="4" borderId="58" xfId="0" applyFill="1" applyBorder="1" applyAlignment="1"/>
    <xf numFmtId="10" fontId="0" fillId="4" borderId="0" xfId="0" applyNumberFormat="1" applyFill="1" applyAlignment="1">
      <alignment horizontal="center"/>
    </xf>
    <xf numFmtId="0" fontId="7" fillId="32" borderId="61" xfId="0" applyFont="1" applyFill="1" applyBorder="1" applyAlignment="1">
      <alignment horizontal="left"/>
    </xf>
    <xf numFmtId="0" fontId="9" fillId="32" borderId="62" xfId="0" applyFont="1" applyFill="1" applyBorder="1" applyAlignment="1">
      <alignment horizontal="center"/>
    </xf>
    <xf numFmtId="0" fontId="9" fillId="34" borderId="63" xfId="0" applyFont="1" applyFill="1" applyBorder="1" applyAlignment="1">
      <alignment horizontal="center"/>
    </xf>
    <xf numFmtId="0" fontId="9" fillId="32" borderId="63" xfId="0" applyFont="1" applyFill="1" applyBorder="1" applyAlignment="1">
      <alignment horizontal="center"/>
    </xf>
    <xf numFmtId="0" fontId="9" fillId="32" borderId="6" xfId="0" applyFont="1" applyFill="1" applyBorder="1" applyAlignment="1">
      <alignment horizontal="center"/>
    </xf>
    <xf numFmtId="0" fontId="9" fillId="32" borderId="7" xfId="0" applyFont="1" applyFill="1" applyBorder="1" applyAlignment="1">
      <alignment horizontal="center"/>
    </xf>
    <xf numFmtId="0" fontId="9" fillId="33" borderId="63" xfId="0" applyFont="1" applyFill="1" applyBorder="1" applyAlignment="1">
      <alignment horizontal="center"/>
    </xf>
    <xf numFmtId="0" fontId="9" fillId="32" borderId="61" xfId="0" applyFont="1" applyFill="1" applyBorder="1" applyAlignment="1">
      <alignment horizontal="center"/>
    </xf>
    <xf numFmtId="0" fontId="9" fillId="32" borderId="64" xfId="0" applyFont="1" applyFill="1" applyBorder="1" applyAlignment="1"/>
    <xf numFmtId="0" fontId="9" fillId="34" borderId="7" xfId="0" applyFont="1" applyFill="1" applyBorder="1" applyAlignment="1">
      <alignment horizontal="center"/>
    </xf>
    <xf numFmtId="0" fontId="9" fillId="32" borderId="8" xfId="0" applyFont="1" applyFill="1" applyBorder="1" applyAlignment="1">
      <alignment horizontal="center"/>
    </xf>
    <xf numFmtId="178" fontId="9" fillId="32" borderId="27" xfId="0" applyNumberFormat="1" applyFont="1" applyFill="1" applyBorder="1" applyAlignment="1"/>
    <xf numFmtId="178" fontId="9" fillId="32" borderId="64" xfId="0" applyNumberFormat="1" applyFont="1" applyFill="1" applyBorder="1" applyAlignment="1"/>
    <xf numFmtId="0" fontId="7" fillId="32" borderId="65" xfId="0" applyFont="1" applyFill="1" applyBorder="1" applyAlignment="1">
      <alignment horizontal="left"/>
    </xf>
    <xf numFmtId="0" fontId="9" fillId="34" borderId="66" xfId="0" applyFont="1" applyFill="1" applyBorder="1" applyAlignment="1">
      <alignment horizontal="center"/>
    </xf>
    <xf numFmtId="0" fontId="9" fillId="33" borderId="66" xfId="0" applyFont="1" applyFill="1" applyBorder="1" applyAlignment="1">
      <alignment horizontal="center"/>
    </xf>
    <xf numFmtId="0" fontId="9" fillId="32" borderId="66" xfId="0" applyFont="1" applyFill="1" applyBorder="1" applyAlignment="1">
      <alignment horizontal="center"/>
    </xf>
    <xf numFmtId="0" fontId="7" fillId="32" borderId="8" xfId="0" applyFont="1" applyFill="1" applyBorder="1" applyAlignment="1">
      <alignment horizontal="left"/>
    </xf>
    <xf numFmtId="0" fontId="9" fillId="33" borderId="7" xfId="0" applyFont="1" applyFill="1" applyBorder="1" applyAlignment="1">
      <alignment horizontal="center"/>
    </xf>
    <xf numFmtId="0" fontId="9" fillId="32" borderId="67" xfId="0" applyFont="1" applyFill="1" applyBorder="1" applyAlignment="1"/>
    <xf numFmtId="178" fontId="9" fillId="32" borderId="67" xfId="0" applyNumberFormat="1" applyFont="1" applyFill="1" applyBorder="1" applyAlignment="1"/>
    <xf numFmtId="178" fontId="0" fillId="9" borderId="68" xfId="0" applyNumberFormat="1" applyFill="1" applyBorder="1" applyAlignment="1"/>
    <xf numFmtId="0" fontId="0" fillId="9" borderId="69" xfId="0" applyFill="1" applyBorder="1" applyAlignment="1">
      <alignment horizontal="center"/>
    </xf>
    <xf numFmtId="0" fontId="0" fillId="0" borderId="70" xfId="0" applyFill="1" applyBorder="1" applyAlignment="1"/>
    <xf numFmtId="0" fontId="0" fillId="0" borderId="69" xfId="0" applyFill="1" applyBorder="1" applyAlignment="1"/>
    <xf numFmtId="0" fontId="0" fillId="4" borderId="66" xfId="0" applyFill="1" applyBorder="1" applyAlignment="1"/>
    <xf numFmtId="0" fontId="0" fillId="9" borderId="71" xfId="0" applyFill="1" applyBorder="1" applyAlignment="1">
      <alignment horizontal="center"/>
    </xf>
    <xf numFmtId="0" fontId="0" fillId="0" borderId="72" xfId="0" applyFill="1" applyBorder="1" applyAlignment="1"/>
    <xf numFmtId="180" fontId="0" fillId="9" borderId="73" xfId="0" applyNumberFormat="1" applyFill="1" applyBorder="1" applyAlignment="1"/>
    <xf numFmtId="0" fontId="0" fillId="9" borderId="74" xfId="0" applyFill="1" applyBorder="1" applyAlignment="1">
      <alignment horizontal="center"/>
    </xf>
    <xf numFmtId="0" fontId="0" fillId="0" borderId="75" xfId="0" applyFill="1" applyBorder="1" applyAlignment="1"/>
    <xf numFmtId="0" fontId="9" fillId="37" borderId="7" xfId="0" applyFont="1" applyFill="1" applyBorder="1" applyAlignment="1">
      <alignment horizontal="center"/>
    </xf>
    <xf numFmtId="0" fontId="0" fillId="4" borderId="4" xfId="0" applyFill="1" applyBorder="1" applyAlignment="1"/>
    <xf numFmtId="0" fontId="7" fillId="26" borderId="76" xfId="0" applyFont="1" applyFill="1" applyBorder="1" applyAlignment="1"/>
    <xf numFmtId="0" fontId="7" fillId="26" borderId="77" xfId="0" applyFont="1" applyFill="1" applyBorder="1" applyAlignment="1"/>
    <xf numFmtId="0" fontId="7" fillId="26" borderId="78" xfId="0" applyFont="1" applyFill="1" applyBorder="1" applyAlignment="1"/>
    <xf numFmtId="2" fontId="1" fillId="38" borderId="79" xfId="0" applyNumberFormat="1" applyFont="1" applyFill="1" applyBorder="1" applyAlignment="1"/>
    <xf numFmtId="0" fontId="0" fillId="0" borderId="22" xfId="0" applyFill="1" applyBorder="1" applyAlignment="1"/>
    <xf numFmtId="0" fontId="0" fillId="0" borderId="79" xfId="0" applyFill="1" applyBorder="1" applyAlignment="1"/>
    <xf numFmtId="0" fontId="0" fillId="0" borderId="80" xfId="0" applyFill="1" applyBorder="1" applyAlignment="1"/>
    <xf numFmtId="2" fontId="1" fillId="0" borderId="81" xfId="0" applyNumberFormat="1" applyFont="1" applyFill="1" applyBorder="1" applyAlignment="1"/>
    <xf numFmtId="0" fontId="0" fillId="0" borderId="23" xfId="0" applyFill="1" applyBorder="1" applyAlignment="1"/>
    <xf numFmtId="0" fontId="0" fillId="0" borderId="81" xfId="0" applyFill="1" applyBorder="1" applyAlignment="1"/>
    <xf numFmtId="0" fontId="0" fillId="0" borderId="82" xfId="0" applyFill="1" applyBorder="1" applyAlignment="1"/>
    <xf numFmtId="2" fontId="1" fillId="38" borderId="81" xfId="0" applyNumberFormat="1" applyFont="1" applyFill="1" applyBorder="1" applyAlignment="1"/>
    <xf numFmtId="2" fontId="1" fillId="0" borderId="83" xfId="0" applyNumberFormat="1" applyFont="1" applyFill="1" applyBorder="1" applyAlignment="1"/>
    <xf numFmtId="0" fontId="0" fillId="0" borderId="78" xfId="0" applyFill="1" applyBorder="1" applyAlignment="1"/>
    <xf numFmtId="0" fontId="0" fillId="0" borderId="83" xfId="0" applyFill="1" applyBorder="1" applyAlignment="1"/>
    <xf numFmtId="0" fontId="0" fillId="0" borderId="84" xfId="0" applyFill="1" applyBorder="1" applyAlignment="1"/>
    <xf numFmtId="2" fontId="1" fillId="0" borderId="79" xfId="0" applyNumberFormat="1" applyFont="1" applyFill="1" applyBorder="1" applyAlignment="1"/>
    <xf numFmtId="0" fontId="0" fillId="0" borderId="16" xfId="0" applyFill="1" applyBorder="1" applyAlignment="1"/>
    <xf numFmtId="0" fontId="0" fillId="0" borderId="85" xfId="0" applyFill="1" applyBorder="1" applyAlignment="1"/>
    <xf numFmtId="2" fontId="1" fillId="38" borderId="83" xfId="0" applyNumberFormat="1" applyFont="1" applyFill="1" applyBorder="1" applyAlignment="1"/>
    <xf numFmtId="2" fontId="1" fillId="0" borderId="17" xfId="0" applyNumberFormat="1" applyFont="1" applyFill="1" applyBorder="1" applyAlignment="1"/>
    <xf numFmtId="2" fontId="1" fillId="0" borderId="85" xfId="0" applyNumberFormat="1" applyFont="1" applyFill="1" applyBorder="1" applyAlignment="1"/>
    <xf numFmtId="0" fontId="0" fillId="0" borderId="14" xfId="0" applyFill="1" applyBorder="1" applyAlignment="1"/>
    <xf numFmtId="0" fontId="0" fillId="0" borderId="86" xfId="0" applyFill="1" applyBorder="1" applyAlignment="1"/>
    <xf numFmtId="0" fontId="0" fillId="0" borderId="36" xfId="0" applyFill="1" applyBorder="1" applyAlignment="1"/>
    <xf numFmtId="0" fontId="0" fillId="39" borderId="0" xfId="0" applyFill="1" applyAlignment="1"/>
    <xf numFmtId="22" fontId="0" fillId="4" borderId="0" xfId="0" applyNumberFormat="1" applyFill="1" applyAlignment="1">
      <alignment horizontal="center"/>
    </xf>
    <xf numFmtId="0" fontId="9" fillId="30" borderId="87" xfId="0" applyFont="1" applyFill="1" applyBorder="1" applyAlignment="1">
      <alignment horizontal="center"/>
    </xf>
    <xf numFmtId="0" fontId="9" fillId="30" borderId="77" xfId="0" applyFont="1" applyFill="1" applyBorder="1" applyAlignment="1">
      <alignment horizontal="center"/>
    </xf>
    <xf numFmtId="0" fontId="9" fillId="40" borderId="0" xfId="0" applyFont="1" applyFill="1" applyAlignment="1">
      <alignment horizontal="center"/>
    </xf>
    <xf numFmtId="0" fontId="9" fillId="41" borderId="4" xfId="0" applyFont="1" applyFill="1" applyBorder="1" applyAlignment="1">
      <alignment horizontal="center"/>
    </xf>
    <xf numFmtId="0" fontId="9" fillId="30" borderId="76" xfId="0" applyFont="1" applyFill="1" applyBorder="1" applyAlignment="1">
      <alignment horizontal="center"/>
    </xf>
    <xf numFmtId="0" fontId="0" fillId="9" borderId="60" xfId="0" applyFill="1" applyBorder="1" applyAlignment="1">
      <alignment horizontal="center"/>
    </xf>
    <xf numFmtId="0" fontId="0" fillId="0" borderId="88" xfId="0" applyFill="1" applyBorder="1" applyAlignment="1"/>
    <xf numFmtId="2" fontId="0" fillId="9" borderId="58" xfId="0" applyNumberFormat="1" applyFill="1" applyBorder="1" applyAlignment="1"/>
    <xf numFmtId="178" fontId="0" fillId="9" borderId="59" xfId="0" applyNumberFormat="1" applyFill="1" applyBorder="1" applyAlignment="1"/>
    <xf numFmtId="0" fontId="0" fillId="9" borderId="59" xfId="0" applyFill="1" applyBorder="1" applyAlignment="1">
      <alignment horizontal="center"/>
    </xf>
    <xf numFmtId="2" fontId="0" fillId="9" borderId="89" xfId="0" applyNumberFormat="1" applyFill="1" applyBorder="1" applyAlignment="1"/>
    <xf numFmtId="0" fontId="0" fillId="9" borderId="89" xfId="0" applyFill="1" applyBorder="1" applyAlignment="1">
      <alignment horizontal="center"/>
    </xf>
    <xf numFmtId="0" fontId="0" fillId="0" borderId="11" xfId="0" applyFill="1" applyBorder="1" applyAlignment="1"/>
    <xf numFmtId="0" fontId="9" fillId="41" borderId="3" xfId="0" applyFont="1" applyFill="1" applyBorder="1" applyAlignment="1">
      <alignment horizontal="center"/>
    </xf>
    <xf numFmtId="0" fontId="9" fillId="32" borderId="9" xfId="0" applyFont="1" applyFill="1" applyBorder="1" applyAlignment="1">
      <alignment horizontal="center"/>
    </xf>
    <xf numFmtId="0" fontId="9" fillId="30" borderId="9" xfId="0" applyFont="1" applyFill="1" applyBorder="1" applyAlignment="1">
      <alignment horizontal="center"/>
    </xf>
    <xf numFmtId="0" fontId="9" fillId="41" borderId="0" xfId="0" applyFont="1" applyFill="1" applyAlignment="1">
      <alignment horizontal="center"/>
    </xf>
    <xf numFmtId="0" fontId="31" fillId="41" borderId="0" xfId="0" applyFont="1" applyFill="1" applyAlignment="1">
      <alignment horizontal="center"/>
    </xf>
    <xf numFmtId="0" fontId="33" fillId="41" borderId="0" xfId="0" applyFont="1" applyFill="1" applyAlignment="1">
      <alignment horizontal="center"/>
    </xf>
    <xf numFmtId="0" fontId="9" fillId="40" borderId="7" xfId="0" applyFont="1" applyFill="1" applyBorder="1" applyAlignment="1">
      <alignment horizontal="center"/>
    </xf>
    <xf numFmtId="0" fontId="9" fillId="30" borderId="3" xfId="0" applyFont="1" applyFill="1" applyBorder="1" applyAlignment="1"/>
    <xf numFmtId="0" fontId="9" fillId="32" borderId="9" xfId="0" applyFont="1" applyFill="1" applyBorder="1" applyAlignment="1"/>
    <xf numFmtId="0" fontId="9" fillId="30" borderId="9" xfId="0" applyFont="1" applyFill="1" applyBorder="1" applyAlignment="1"/>
    <xf numFmtId="0" fontId="33" fillId="34" borderId="7" xfId="0" applyFont="1" applyFill="1" applyBorder="1" applyAlignment="1">
      <alignment horizontal="center"/>
    </xf>
    <xf numFmtId="0" fontId="34" fillId="36" borderId="0" xfId="0" applyFont="1" applyFill="1" applyAlignment="1"/>
    <xf numFmtId="0" fontId="0" fillId="0" borderId="9" xfId="0" applyFill="1" applyBorder="1" applyAlignment="1"/>
    <xf numFmtId="0" fontId="0" fillId="0" borderId="81" xfId="0" applyFill="1" applyBorder="1" applyAlignment="1">
      <alignment horizontal="right"/>
    </xf>
    <xf numFmtId="0" fontId="0" fillId="0" borderId="90" xfId="0" applyFill="1" applyBorder="1" applyAlignment="1"/>
    <xf numFmtId="0" fontId="0" fillId="0" borderId="91" xfId="0" applyFill="1" applyBorder="1" applyAlignment="1"/>
    <xf numFmtId="2" fontId="0" fillId="0" borderId="85" xfId="0" applyNumberFormat="1" applyFill="1" applyBorder="1" applyAlignment="1"/>
    <xf numFmtId="2" fontId="0" fillId="4" borderId="0" xfId="0" applyNumberFormat="1" applyFill="1" applyAlignment="1"/>
    <xf numFmtId="0" fontId="35" fillId="40" borderId="0" xfId="0" applyFont="1" applyFill="1" applyAlignment="1">
      <alignment horizontal="center"/>
    </xf>
    <xf numFmtId="0" fontId="36" fillId="41" borderId="0" xfId="0" applyFont="1" applyFill="1" applyAlignment="1">
      <alignment horizontal="center"/>
    </xf>
    <xf numFmtId="0" fontId="35" fillId="41" borderId="0" xfId="0" applyFont="1" applyFill="1" applyAlignment="1">
      <alignment horizontal="center"/>
    </xf>
    <xf numFmtId="0" fontId="33" fillId="40" borderId="0" xfId="0" applyFont="1" applyFill="1" applyAlignment="1">
      <alignment horizontal="center"/>
    </xf>
    <xf numFmtId="0" fontId="36" fillId="31" borderId="0" xfId="0" applyFont="1" applyFill="1" applyAlignment="1">
      <alignment horizontal="center"/>
    </xf>
    <xf numFmtId="0" fontId="9" fillId="34" borderId="61" xfId="0" applyFont="1" applyFill="1" applyBorder="1" applyAlignment="1">
      <alignment horizontal="center"/>
    </xf>
    <xf numFmtId="178" fontId="0" fillId="9" borderId="92" xfId="0" applyNumberFormat="1" applyFill="1" applyBorder="1" applyAlignment="1"/>
    <xf numFmtId="0" fontId="0" fillId="9" borderId="93" xfId="0" applyFill="1" applyBorder="1" applyAlignment="1">
      <alignment horizontal="center"/>
    </xf>
    <xf numFmtId="0" fontId="0" fillId="0" borderId="94" xfId="0" applyFill="1" applyBorder="1" applyAlignment="1"/>
    <xf numFmtId="0" fontId="0" fillId="0" borderId="93" xfId="0" applyFill="1" applyBorder="1" applyAlignment="1"/>
    <xf numFmtId="0" fontId="0" fillId="4" borderId="63" xfId="0" applyFill="1" applyBorder="1" applyAlignment="1"/>
    <xf numFmtId="0" fontId="0" fillId="9" borderId="95" xfId="0" applyFill="1" applyBorder="1" applyAlignment="1">
      <alignment horizontal="center"/>
    </xf>
    <xf numFmtId="0" fontId="0" fillId="0" borderId="96" xfId="0" applyFill="1" applyBorder="1" applyAlignment="1"/>
    <xf numFmtId="180" fontId="0" fillId="9" borderId="97" xfId="0" applyNumberFormat="1" applyFill="1" applyBorder="1" applyAlignment="1"/>
    <xf numFmtId="0" fontId="0" fillId="9" borderId="98" xfId="0" applyFill="1" applyBorder="1" applyAlignment="1">
      <alignment horizontal="center"/>
    </xf>
    <xf numFmtId="0" fontId="0" fillId="0" borderId="99" xfId="0" applyFill="1" applyBorder="1" applyAlignment="1"/>
    <xf numFmtId="0" fontId="9" fillId="34" borderId="6" xfId="0" applyFont="1" applyFill="1" applyBorder="1" applyAlignment="1">
      <alignment horizontal="center"/>
    </xf>
    <xf numFmtId="0" fontId="36" fillId="31" borderId="7" xfId="0" applyFont="1" applyFill="1" applyBorder="1" applyAlignment="1">
      <alignment horizontal="center"/>
    </xf>
    <xf numFmtId="0" fontId="0" fillId="9" borderId="100" xfId="0" applyFill="1" applyBorder="1" applyAlignment="1">
      <alignment horizontal="center"/>
    </xf>
    <xf numFmtId="0" fontId="0" fillId="0" borderId="7" xfId="0" applyFill="1" applyBorder="1" applyAlignment="1"/>
    <xf numFmtId="0" fontId="0" fillId="0" borderId="101" xfId="0" applyFill="1" applyBorder="1" applyAlignment="1"/>
    <xf numFmtId="181" fontId="0" fillId="9" borderId="8" xfId="0" applyNumberFormat="1" applyFill="1" applyBorder="1" applyAlignment="1"/>
    <xf numFmtId="178" fontId="0" fillId="9" borderId="6" xfId="0" applyNumberFormat="1" applyFill="1" applyBorder="1" applyAlignment="1"/>
    <xf numFmtId="0" fontId="0" fillId="9" borderId="102" xfId="0" applyFill="1" applyBorder="1" applyAlignment="1">
      <alignment horizontal="center"/>
    </xf>
    <xf numFmtId="0" fontId="0" fillId="0" borderId="8" xfId="0" applyFill="1" applyBorder="1" applyAlignment="1"/>
    <xf numFmtId="0" fontId="37" fillId="37" borderId="0" xfId="0" applyFont="1" applyFill="1" applyAlignment="1"/>
    <xf numFmtId="0" fontId="0" fillId="42" borderId="0" xfId="0" applyFont="1" applyFill="1" applyBorder="1" applyAlignment="1"/>
    <xf numFmtId="0" fontId="0" fillId="43" borderId="0" xfId="0" applyFont="1" applyFill="1" applyBorder="1" applyAlignment="1"/>
    <xf numFmtId="0" fontId="0" fillId="44" borderId="0" xfId="0" applyFont="1" applyFill="1" applyBorder="1" applyAlignment="1"/>
    <xf numFmtId="0" fontId="0" fillId="45" borderId="0" xfId="0" applyFont="1" applyFill="1" applyBorder="1" applyAlignment="1"/>
    <xf numFmtId="0" fontId="0" fillId="4" borderId="0" xfId="0" applyFont="1" applyFill="1" applyBorder="1" applyAlignment="1"/>
    <xf numFmtId="0" fontId="0" fillId="46" borderId="0" xfId="0" applyFont="1" applyFill="1" applyBorder="1" applyAlignment="1"/>
    <xf numFmtId="0" fontId="0" fillId="47" borderId="0" xfId="0" applyFont="1" applyFill="1" applyBorder="1" applyAlignment="1"/>
    <xf numFmtId="0" fontId="7" fillId="26" borderId="0" xfId="0" applyFont="1" applyFill="1" applyBorder="1" applyAlignment="1" applyProtection="1">
      <alignment horizontal="left"/>
      <protection locked="0"/>
    </xf>
    <xf numFmtId="0" fontId="7" fillId="26" borderId="1" xfId="0" applyFont="1" applyFill="1" applyBorder="1" applyAlignment="1" applyProtection="1">
      <alignment horizontal="left"/>
      <protection locked="0"/>
    </xf>
    <xf numFmtId="0" fontId="7" fillId="26" borderId="1" xfId="0" applyFont="1" applyFill="1" applyBorder="1" applyAlignment="1" applyProtection="1">
      <protection locked="0"/>
    </xf>
    <xf numFmtId="0" fontId="7" fillId="26" borderId="9" xfId="0" applyFont="1" applyFill="1" applyBorder="1" applyAlignment="1" applyProtection="1">
      <protection locked="0"/>
    </xf>
    <xf numFmtId="0" fontId="7" fillId="26" borderId="9" xfId="0" applyFont="1" applyFill="1" applyBorder="1" applyAlignment="1" applyProtection="1">
      <alignment horizontal="center"/>
    </xf>
    <xf numFmtId="0" fontId="7" fillId="26" borderId="0" xfId="0" applyFont="1" applyFill="1" applyBorder="1" applyAlignment="1" applyProtection="1">
      <alignment horizontal="center"/>
    </xf>
    <xf numFmtId="0" fontId="0" fillId="42" borderId="0" xfId="0" applyFill="1" applyBorder="1" applyAlignment="1" applyProtection="1">
      <protection locked="0"/>
    </xf>
    <xf numFmtId="0" fontId="0" fillId="0" borderId="0" xfId="0" applyFill="1" applyBorder="1" applyAlignment="1" applyProtection="1">
      <protection locked="0"/>
    </xf>
    <xf numFmtId="0" fontId="0" fillId="48" borderId="0" xfId="0" applyFill="1" applyBorder="1" applyAlignment="1" applyProtection="1">
      <protection locked="0"/>
    </xf>
    <xf numFmtId="0" fontId="0" fillId="48" borderId="0" xfId="0" applyFill="1" applyAlignment="1" applyProtection="1">
      <protection locked="0"/>
    </xf>
    <xf numFmtId="0" fontId="0" fillId="17" borderId="11" xfId="0" applyFont="1" applyFill="1" applyBorder="1" applyAlignment="1" applyProtection="1">
      <alignment vertical="center" wrapText="1"/>
    </xf>
    <xf numFmtId="0" fontId="0" fillId="13" borderId="16" xfId="0" applyFont="1" applyFill="1" applyBorder="1" applyAlignment="1" applyProtection="1">
      <alignment vertical="center" wrapText="1"/>
    </xf>
    <xf numFmtId="0" fontId="0" fillId="12" borderId="16" xfId="0" applyFont="1" applyFill="1" applyBorder="1" applyAlignment="1" applyProtection="1">
      <alignment vertical="center" wrapText="1"/>
    </xf>
    <xf numFmtId="0" fontId="0" fillId="12" borderId="11" xfId="0" applyFont="1" applyFill="1" applyBorder="1" applyAlignment="1" applyProtection="1">
      <alignment vertical="center" wrapText="1"/>
    </xf>
    <xf numFmtId="0" fontId="0" fillId="16" borderId="16" xfId="0" applyFont="1" applyFill="1" applyBorder="1" applyAlignment="1" applyProtection="1">
      <alignment vertical="center" wrapText="1"/>
    </xf>
    <xf numFmtId="0" fontId="0" fillId="17" borderId="16" xfId="0" applyFont="1" applyFill="1" applyBorder="1" applyAlignment="1" applyProtection="1">
      <alignment vertical="center" wrapText="1"/>
    </xf>
    <xf numFmtId="0" fontId="0" fillId="16" borderId="11" xfId="0" applyFont="1" applyFill="1" applyBorder="1" applyAlignment="1" applyProtection="1">
      <alignment vertical="center" wrapText="1"/>
    </xf>
    <xf numFmtId="0" fontId="8" fillId="49" borderId="0" xfId="0" applyFont="1" applyFill="1" applyBorder="1" applyAlignment="1" applyProtection="1">
      <protection locked="0"/>
    </xf>
    <xf numFmtId="0" fontId="8" fillId="49" borderId="0" xfId="0" applyFont="1" applyFill="1" applyAlignment="1" applyProtection="1">
      <protection locked="0"/>
    </xf>
    <xf numFmtId="0" fontId="0" fillId="14" borderId="16" xfId="0" applyFont="1" applyFill="1" applyBorder="1" applyAlignment="1" applyProtection="1">
      <alignment vertical="center" wrapText="1"/>
    </xf>
    <xf numFmtId="0" fontId="0" fillId="46" borderId="0" xfId="0" applyFill="1" applyBorder="1" applyAlignment="1" applyProtection="1">
      <protection locked="0"/>
    </xf>
    <xf numFmtId="0" fontId="0" fillId="19" borderId="0" xfId="0" applyFill="1" applyBorder="1" applyAlignment="1" applyProtection="1">
      <protection locked="0"/>
    </xf>
    <xf numFmtId="0" fontId="0" fillId="14" borderId="11" xfId="0" applyFont="1" applyFill="1" applyBorder="1" applyAlignment="1" applyProtection="1">
      <alignment vertical="center" wrapText="1"/>
    </xf>
    <xf numFmtId="0" fontId="0" fillId="50" borderId="0" xfId="0" applyFill="1" applyBorder="1" applyAlignment="1" applyProtection="1">
      <protection locked="0"/>
    </xf>
    <xf numFmtId="0" fontId="0" fillId="50" borderId="0" xfId="0" applyFill="1" applyAlignment="1" applyProtection="1">
      <protection locked="0"/>
    </xf>
    <xf numFmtId="0" fontId="0" fillId="51" borderId="0" xfId="0" applyFill="1" applyBorder="1" applyAlignment="1" applyProtection="1">
      <protection locked="0"/>
    </xf>
    <xf numFmtId="0" fontId="0" fillId="51" borderId="0" xfId="0" applyFill="1" applyAlignment="1" applyProtection="1">
      <protection locked="0"/>
    </xf>
    <xf numFmtId="0" fontId="0" fillId="52" borderId="0" xfId="0" applyFill="1" applyBorder="1" applyAlignment="1" applyProtection="1">
      <protection locked="0"/>
    </xf>
    <xf numFmtId="0" fontId="0" fillId="52" borderId="0" xfId="0" applyFill="1" applyAlignment="1" applyProtection="1">
      <protection locked="0"/>
    </xf>
    <xf numFmtId="0" fontId="8" fillId="52" borderId="0" xfId="0" applyFont="1" applyFill="1" applyBorder="1" applyAlignment="1" applyProtection="1">
      <protection locked="0"/>
    </xf>
    <xf numFmtId="0" fontId="8" fillId="52" borderId="0" xfId="0" applyFont="1" applyFill="1" applyAlignment="1" applyProtection="1">
      <protection locked="0"/>
    </xf>
    <xf numFmtId="0" fontId="0" fillId="13" borderId="11" xfId="0" applyFont="1" applyFill="1" applyBorder="1" applyAlignment="1" applyProtection="1">
      <alignment vertical="center" wrapText="1"/>
    </xf>
    <xf numFmtId="0" fontId="0" fillId="53" borderId="0" xfId="0" applyFill="1" applyBorder="1" applyAlignment="1" applyProtection="1">
      <protection locked="0"/>
    </xf>
    <xf numFmtId="0" fontId="0" fillId="53" borderId="0" xfId="0" applyFill="1" applyAlignment="1" applyProtection="1">
      <protection locked="0"/>
    </xf>
    <xf numFmtId="0" fontId="8" fillId="53" borderId="0" xfId="0" applyFont="1" applyFill="1" applyBorder="1" applyAlignment="1" applyProtection="1">
      <protection locked="0"/>
    </xf>
    <xf numFmtId="0" fontId="8" fillId="53" borderId="0" xfId="0" applyFont="1" applyFill="1" applyAlignment="1" applyProtection="1">
      <protection locked="0"/>
    </xf>
    <xf numFmtId="0" fontId="8" fillId="0" borderId="0" xfId="0" applyFont="1" applyFill="1" applyBorder="1" applyAlignment="1" applyProtection="1">
      <protection locked="0"/>
    </xf>
    <xf numFmtId="0" fontId="8" fillId="0" borderId="0" xfId="0" applyFont="1" applyFill="1" applyAlignment="1" applyProtection="1">
      <protection locked="0"/>
    </xf>
    <xf numFmtId="0" fontId="0" fillId="0" borderId="0" xfId="0" applyFont="1" applyFill="1" applyBorder="1" applyAlignment="1" applyProtection="1">
      <protection locked="0"/>
    </xf>
    <xf numFmtId="0" fontId="0" fillId="0" borderId="11" xfId="0" applyFont="1" applyFill="1" applyBorder="1" applyAlignment="1" applyProtection="1">
      <alignment vertical="center" wrapText="1"/>
    </xf>
    <xf numFmtId="0" fontId="0" fillId="0" borderId="16" xfId="0" applyFont="1" applyFill="1" applyBorder="1" applyAlignment="1" applyProtection="1">
      <alignment vertical="center" wrapText="1"/>
    </xf>
    <xf numFmtId="0" fontId="0" fillId="0" borderId="11" xfId="0" applyFont="1" applyFill="1" applyBorder="1" applyAlignment="1" applyProtection="1"/>
    <xf numFmtId="0" fontId="0" fillId="0" borderId="16" xfId="0" applyFont="1" applyFill="1" applyBorder="1" applyAlignment="1" applyProtection="1"/>
    <xf numFmtId="0" fontId="0" fillId="0" borderId="0" xfId="0" applyFill="1" applyAlignment="1" applyProtection="1">
      <protection locked="0"/>
    </xf>
    <xf numFmtId="0" fontId="0" fillId="38" borderId="11" xfId="0" applyFont="1" applyFill="1" applyBorder="1" applyAlignment="1" applyProtection="1">
      <alignment vertical="center" wrapText="1"/>
    </xf>
    <xf numFmtId="0" fontId="0" fillId="38" borderId="16" xfId="0" applyFont="1" applyFill="1" applyBorder="1" applyAlignment="1" applyProtection="1">
      <alignment vertical="center" wrapText="1"/>
    </xf>
    <xf numFmtId="0" fontId="0" fillId="0" borderId="2" xfId="0" applyFill="1" applyBorder="1" applyAlignment="1" applyProtection="1">
      <protection locked="0"/>
    </xf>
    <xf numFmtId="0" fontId="8" fillId="0" borderId="2" xfId="0" applyFont="1" applyFill="1" applyBorder="1" applyAlignment="1" applyProtection="1">
      <protection locked="0"/>
    </xf>
    <xf numFmtId="0" fontId="0" fillId="0" borderId="2" xfId="0" applyFont="1" applyFill="1" applyBorder="1" applyAlignment="1" applyProtection="1">
      <protection locked="0"/>
    </xf>
    <xf numFmtId="0" fontId="0" fillId="0" borderId="1" xfId="0" applyFill="1" applyBorder="1" applyAlignment="1" applyProtection="1">
      <protection locked="0"/>
    </xf>
    <xf numFmtId="0" fontId="0" fillId="0" borderId="9" xfId="0" applyFont="1" applyFill="1" applyBorder="1" applyAlignment="1" applyProtection="1">
      <alignment vertical="center" wrapText="1"/>
    </xf>
    <xf numFmtId="0" fontId="0" fillId="0" borderId="0" xfId="0" applyFont="1" applyFill="1" applyBorder="1" applyAlignment="1" applyProtection="1">
      <alignment vertical="center" wrapText="1"/>
    </xf>
    <xf numFmtId="0" fontId="0" fillId="0" borderId="1" xfId="0" applyFont="1" applyFill="1" applyBorder="1" applyAlignment="1" applyProtection="1">
      <protection locked="0"/>
    </xf>
    <xf numFmtId="0" fontId="0" fillId="0" borderId="9" xfId="0" applyFont="1" applyFill="1" applyBorder="1" applyAlignment="1" applyProtection="1">
      <protection locked="0"/>
    </xf>
    <xf numFmtId="0" fontId="0" fillId="42" borderId="0" xfId="0" applyFill="1" applyBorder="1" applyAlignment="1"/>
    <xf numFmtId="0" fontId="0" fillId="44" borderId="0" xfId="0" applyFill="1" applyBorder="1" applyAlignment="1"/>
    <xf numFmtId="0" fontId="0" fillId="46" borderId="0" xfId="0" applyFill="1" applyBorder="1" applyAlignment="1"/>
    <xf numFmtId="0" fontId="38" fillId="9" borderId="0" xfId="0" applyFont="1" applyFill="1" applyBorder="1" applyAlignment="1"/>
    <xf numFmtId="0" fontId="0" fillId="9" borderId="0" xfId="0" applyFont="1" applyFill="1" applyBorder="1" applyAlignment="1"/>
    <xf numFmtId="0" fontId="8" fillId="9" borderId="0" xfId="0" applyFont="1" applyFill="1" applyBorder="1" applyAlignment="1"/>
    <xf numFmtId="0" fontId="0" fillId="4" borderId="0" xfId="0" applyFill="1" applyBorder="1" applyAlignment="1"/>
    <xf numFmtId="0" fontId="0" fillId="4" borderId="77" xfId="0" applyFill="1" applyBorder="1" applyAlignment="1"/>
    <xf numFmtId="0" fontId="0" fillId="9" borderId="103" xfId="0" applyFill="1" applyBorder="1" applyAlignment="1"/>
    <xf numFmtId="0" fontId="0" fillId="9" borderId="104" xfId="0" applyFill="1" applyBorder="1" applyAlignment="1"/>
    <xf numFmtId="0" fontId="0" fillId="54" borderId="105" xfId="0" applyFill="1" applyBorder="1" applyAlignment="1" applyProtection="1">
      <protection locked="0"/>
    </xf>
    <xf numFmtId="0" fontId="0" fillId="54" borderId="106" xfId="0" applyFill="1" applyBorder="1" applyAlignment="1" applyProtection="1">
      <protection locked="0"/>
    </xf>
    <xf numFmtId="0" fontId="0" fillId="4" borderId="107" xfId="0" applyFill="1" applyBorder="1" applyAlignment="1"/>
    <xf numFmtId="0" fontId="0" fillId="9" borderId="108" xfId="0" applyFill="1" applyBorder="1" applyAlignment="1">
      <alignment horizontal="center"/>
    </xf>
    <xf numFmtId="0" fontId="0" fillId="9" borderId="59" xfId="0" applyFill="1" applyBorder="1" applyAlignment="1"/>
    <xf numFmtId="0" fontId="25" fillId="19" borderId="27" xfId="0" applyFont="1" applyFill="1" applyBorder="1" applyAlignment="1">
      <alignment horizontal="center"/>
    </xf>
    <xf numFmtId="0" fontId="0" fillId="4" borderId="109" xfId="0" applyFill="1" applyBorder="1" applyAlignment="1"/>
    <xf numFmtId="0" fontId="0" fillId="55" borderId="110" xfId="0" applyFill="1" applyBorder="1" applyAlignment="1"/>
    <xf numFmtId="0" fontId="0" fillId="55" borderId="111" xfId="0" applyFill="1" applyBorder="1" applyAlignment="1"/>
    <xf numFmtId="0" fontId="0" fillId="55" borderId="101" xfId="0" applyFill="1" applyBorder="1" applyAlignment="1"/>
    <xf numFmtId="182" fontId="0" fillId="55" borderId="112" xfId="0" applyNumberFormat="1" applyFill="1" applyBorder="1" applyAlignment="1"/>
    <xf numFmtId="182" fontId="0" fillId="55" borderId="113" xfId="0" applyNumberFormat="1" applyFill="1" applyBorder="1" applyAlignment="1"/>
    <xf numFmtId="182" fontId="0" fillId="55" borderId="88" xfId="0" applyNumberFormat="1" applyFill="1" applyBorder="1" applyAlignment="1"/>
    <xf numFmtId="0" fontId="0" fillId="55" borderId="112" xfId="0" applyFill="1" applyBorder="1" applyAlignment="1"/>
    <xf numFmtId="0" fontId="0" fillId="55" borderId="113" xfId="0" applyFill="1" applyBorder="1" applyAlignment="1"/>
    <xf numFmtId="0" fontId="0" fillId="55" borderId="88" xfId="0" applyFill="1" applyBorder="1" applyAlignment="1"/>
    <xf numFmtId="0" fontId="25" fillId="9" borderId="28" xfId="0" applyFont="1" applyFill="1" applyBorder="1" applyAlignment="1"/>
    <xf numFmtId="0" fontId="25" fillId="9" borderId="59" xfId="0" applyFont="1" applyFill="1" applyBorder="1" applyAlignment="1">
      <alignment horizontal="left" vertical="center" wrapText="1"/>
    </xf>
    <xf numFmtId="0" fontId="25" fillId="9" borderId="57" xfId="0" applyFont="1" applyFill="1" applyBorder="1" applyAlignment="1">
      <alignment horizontal="center" vertical="center" wrapText="1"/>
    </xf>
    <xf numFmtId="0" fontId="0" fillId="9" borderId="0" xfId="0" applyFill="1" applyAlignment="1">
      <alignment horizontal="left" vertical="center" wrapText="1"/>
    </xf>
    <xf numFmtId="0" fontId="25" fillId="9" borderId="26" xfId="0" applyFont="1" applyFill="1" applyBorder="1" applyAlignment="1"/>
    <xf numFmtId="0" fontId="25" fillId="9" borderId="59" xfId="0" applyFont="1" applyFill="1" applyBorder="1" applyAlignment="1">
      <alignment horizontal="center" vertical="center" wrapText="1"/>
    </xf>
    <xf numFmtId="0" fontId="0" fillId="9" borderId="0" xfId="0" applyFill="1" applyAlignment="1">
      <alignment vertical="center" wrapText="1"/>
    </xf>
    <xf numFmtId="0" fontId="0" fillId="9" borderId="28" xfId="0" applyFill="1" applyBorder="1" applyAlignment="1"/>
    <xf numFmtId="0" fontId="0" fillId="54" borderId="28" xfId="0" applyFill="1" applyBorder="1" applyAlignment="1" applyProtection="1">
      <protection locked="0"/>
    </xf>
    <xf numFmtId="0" fontId="0" fillId="19" borderId="28" xfId="0" applyFill="1" applyBorder="1" applyAlignment="1"/>
    <xf numFmtId="0" fontId="25" fillId="7" borderId="0" xfId="0" applyFont="1" applyFill="1" applyAlignment="1">
      <alignment vertical="center"/>
    </xf>
    <xf numFmtId="0" fontId="0" fillId="9" borderId="0" xfId="0" applyFill="1" applyAlignment="1">
      <alignment vertical="center"/>
    </xf>
    <xf numFmtId="0" fontId="0" fillId="4" borderId="0" xfId="0" applyFill="1" applyAlignment="1">
      <alignment vertical="center"/>
    </xf>
    <xf numFmtId="0" fontId="0" fillId="0" borderId="16" xfId="0" applyFont="1" applyFill="1" applyBorder="1" applyAlignment="1" applyProtection="1">
      <protection locked="0"/>
    </xf>
    <xf numFmtId="0" fontId="0" fillId="0" borderId="16" xfId="0" applyFill="1" applyBorder="1" applyAlignment="1" applyProtection="1">
      <protection locked="0"/>
    </xf>
    <xf numFmtId="0" fontId="39" fillId="56" borderId="0" xfId="0" applyFont="1" applyFill="1" applyAlignment="1">
      <alignment horizontal="center" vertical="center"/>
    </xf>
    <xf numFmtId="0" fontId="0" fillId="28" borderId="114" xfId="0" applyFill="1" applyBorder="1" applyAlignment="1"/>
    <xf numFmtId="0" fontId="0" fillId="4" borderId="91" xfId="0" applyFill="1" applyBorder="1" applyAlignment="1"/>
    <xf numFmtId="0" fontId="0" fillId="4" borderId="101" xfId="0" applyFill="1" applyBorder="1" applyAlignment="1"/>
    <xf numFmtId="0" fontId="0" fillId="4" borderId="115" xfId="0" applyFill="1" applyBorder="1" applyAlignment="1"/>
    <xf numFmtId="0" fontId="0" fillId="55" borderId="58" xfId="0" applyFill="1" applyBorder="1" applyAlignment="1"/>
    <xf numFmtId="182" fontId="0" fillId="55" borderId="58" xfId="0" applyNumberFormat="1" applyFill="1" applyBorder="1" applyAlignment="1"/>
    <xf numFmtId="0" fontId="25" fillId="9" borderId="58" xfId="0" applyFont="1" applyFill="1" applyBorder="1" applyAlignment="1">
      <alignment horizontal="center" vertical="center" wrapText="1"/>
    </xf>
    <xf numFmtId="0" fontId="0" fillId="4" borderId="0" xfId="0" applyFont="1" applyFill="1" applyAlignment="1"/>
    <xf numFmtId="0" fontId="7" fillId="26" borderId="9" xfId="0" applyFont="1" applyFill="1" applyBorder="1" applyAlignment="1"/>
    <xf numFmtId="0" fontId="7" fillId="26" borderId="1" xfId="0" applyFont="1" applyFill="1" applyBorder="1" applyAlignment="1"/>
    <xf numFmtId="0" fontId="7" fillId="26" borderId="9" xfId="0" applyFont="1" applyFill="1" applyBorder="1" applyAlignment="1">
      <alignment horizontal="center"/>
    </xf>
    <xf numFmtId="0" fontId="7" fillId="26" borderId="0" xfId="0" applyFont="1" applyFill="1" applyBorder="1" applyAlignment="1">
      <alignment horizontal="center"/>
    </xf>
    <xf numFmtId="0" fontId="0" fillId="0" borderId="0" xfId="0" applyFill="1" applyBorder="1" applyAlignment="1"/>
    <xf numFmtId="0" fontId="0" fillId="0" borderId="0" xfId="0" applyFont="1" applyFill="1" applyBorder="1" applyAlignment="1"/>
    <xf numFmtId="0" fontId="0" fillId="12" borderId="11" xfId="0" applyFont="1" applyFill="1" applyBorder="1" applyAlignment="1">
      <alignment vertical="center" wrapText="1"/>
    </xf>
    <xf numFmtId="0" fontId="0" fillId="14" borderId="16" xfId="0" applyFont="1" applyFill="1" applyBorder="1" applyAlignment="1">
      <alignment vertical="center" wrapText="1"/>
    </xf>
    <xf numFmtId="0" fontId="0" fillId="16" borderId="11" xfId="0" applyFont="1" applyFill="1" applyBorder="1" applyAlignment="1">
      <alignment vertical="center" wrapText="1"/>
    </xf>
    <xf numFmtId="0" fontId="0" fillId="17" borderId="16" xfId="0" applyFont="1" applyFill="1" applyBorder="1" applyAlignment="1">
      <alignment vertical="center" wrapText="1"/>
    </xf>
    <xf numFmtId="0" fontId="8" fillId="0" borderId="0" xfId="0" applyFont="1" applyFill="1" applyAlignment="1"/>
    <xf numFmtId="0" fontId="0" fillId="12" borderId="16" xfId="0" applyFont="1" applyFill="1" applyBorder="1" applyAlignment="1">
      <alignment vertical="center" wrapText="1"/>
    </xf>
    <xf numFmtId="0" fontId="0" fillId="16" borderId="16" xfId="0" applyFont="1" applyFill="1" applyBorder="1" applyAlignment="1">
      <alignment vertical="center" wrapText="1"/>
    </xf>
    <xf numFmtId="0" fontId="0" fillId="13" borderId="16" xfId="0" applyFont="1" applyFill="1" applyBorder="1" applyAlignment="1">
      <alignment vertical="center" wrapText="1"/>
    </xf>
    <xf numFmtId="0" fontId="0" fillId="17" borderId="11" xfId="0" applyFont="1" applyFill="1" applyBorder="1" applyAlignment="1">
      <alignment vertical="center" wrapText="1"/>
    </xf>
    <xf numFmtId="0" fontId="0" fillId="13" borderId="11" xfId="0" applyFont="1" applyFill="1" applyBorder="1" applyAlignment="1">
      <alignment vertical="center" wrapText="1"/>
    </xf>
    <xf numFmtId="0" fontId="0" fillId="14" borderId="11" xfId="0" applyFont="1" applyFill="1" applyBorder="1" applyAlignment="1">
      <alignment vertical="center" wrapText="1"/>
    </xf>
    <xf numFmtId="0" fontId="0" fillId="18" borderId="0" xfId="0" applyFill="1" applyBorder="1" applyAlignment="1" applyProtection="1">
      <protection locked="0"/>
    </xf>
    <xf numFmtId="0" fontId="0" fillId="18" borderId="0" xfId="0" applyFill="1" applyAlignment="1" applyProtection="1">
      <protection locked="0"/>
    </xf>
    <xf numFmtId="0" fontId="0" fillId="0" borderId="2" xfId="0" applyFont="1" applyFill="1" applyBorder="1" applyAlignment="1"/>
    <xf numFmtId="0" fontId="0" fillId="0" borderId="11" xfId="0" applyFont="1" applyFill="1" applyBorder="1" applyAlignment="1"/>
    <xf numFmtId="0" fontId="0" fillId="0" borderId="16" xfId="0" applyFont="1" applyFill="1" applyBorder="1" applyAlignment="1"/>
    <xf numFmtId="0" fontId="1" fillId="0" borderId="0" xfId="0" applyFont="1" applyFill="1" applyAlignment="1"/>
    <xf numFmtId="0" fontId="1" fillId="4" borderId="0" xfId="0" applyFont="1" applyFill="1" applyAlignment="1"/>
    <xf numFmtId="0" fontId="7" fillId="26" borderId="0" xfId="0" applyFont="1" applyFill="1" applyBorder="1" applyAlignment="1"/>
    <xf numFmtId="0" fontId="0" fillId="4" borderId="16" xfId="0" applyFont="1" applyFill="1" applyBorder="1" applyAlignment="1"/>
    <xf numFmtId="0" fontId="7" fillId="0" borderId="1" xfId="0" applyFont="1" applyFill="1" applyBorder="1" applyAlignment="1">
      <alignment horizontal="left"/>
    </xf>
    <xf numFmtId="0" fontId="7" fillId="26" borderId="1" xfId="0" applyFont="1" applyFill="1" applyBorder="1" applyAlignment="1">
      <alignment horizontal="left"/>
    </xf>
    <xf numFmtId="0" fontId="7" fillId="26" borderId="116" xfId="0" applyFont="1" applyFill="1" applyBorder="1" applyAlignment="1"/>
    <xf numFmtId="0" fontId="0" fillId="19" borderId="0" xfId="0" applyFill="1" applyAlignment="1"/>
    <xf numFmtId="0" fontId="8" fillId="48" borderId="17" xfId="0" applyFont="1" applyFill="1" applyBorder="1" applyAlignment="1"/>
    <xf numFmtId="0" fontId="8" fillId="48" borderId="0" xfId="0" applyFont="1" applyFill="1" applyBorder="1" applyAlignment="1"/>
    <xf numFmtId="0" fontId="0" fillId="0" borderId="17" xfId="0" applyFont="1" applyFill="1" applyBorder="1" applyAlignment="1"/>
    <xf numFmtId="0" fontId="0" fillId="0" borderId="0" xfId="0" applyFont="1" applyFill="1" applyAlignment="1"/>
    <xf numFmtId="0" fontId="7" fillId="26" borderId="9" xfId="0" applyFont="1" applyFill="1" applyBorder="1" applyAlignment="1">
      <alignment horizontal="left"/>
    </xf>
    <xf numFmtId="0" fontId="7" fillId="26" borderId="0" xfId="0" applyFont="1" applyFill="1" applyBorder="1" applyAlignment="1">
      <alignment horizontal="left"/>
    </xf>
    <xf numFmtId="0" fontId="0" fillId="0" borderId="9" xfId="0" applyFill="1" applyBorder="1" applyAlignment="1">
      <alignment horizontal="center"/>
    </xf>
    <xf numFmtId="0" fontId="0" fillId="0" borderId="0" xfId="0" applyFill="1" applyAlignment="1">
      <alignment horizontal="center"/>
    </xf>
    <xf numFmtId="0" fontId="1" fillId="0" borderId="0" xfId="0" applyFont="1" applyFill="1" applyBorder="1" applyAlignment="1">
      <alignment horizontal="center"/>
    </xf>
    <xf numFmtId="0" fontId="0" fillId="2" borderId="0" xfId="0" applyFill="1" applyAlignment="1"/>
    <xf numFmtId="0" fontId="25" fillId="4" borderId="117" xfId="0" applyFont="1" applyFill="1" applyBorder="1" applyAlignment="1">
      <alignment horizontal="center"/>
    </xf>
    <xf numFmtId="0" fontId="25" fillId="4" borderId="118" xfId="0" applyFont="1" applyFill="1" applyBorder="1" applyAlignment="1">
      <alignment horizontal="center"/>
    </xf>
    <xf numFmtId="0" fontId="0" fillId="28" borderId="0" xfId="0" applyFill="1" applyAlignment="1"/>
    <xf numFmtId="0" fontId="0" fillId="37" borderId="0" xfId="0" applyFill="1" applyAlignment="1"/>
    <xf numFmtId="0" fontId="0" fillId="4" borderId="119" xfId="0" applyFill="1" applyBorder="1" applyAlignment="1"/>
    <xf numFmtId="182" fontId="0" fillId="55" borderId="112" xfId="0" applyNumberFormat="1" applyFill="1" applyBorder="1" applyAlignment="1" applyProtection="1"/>
    <xf numFmtId="182" fontId="0" fillId="55" borderId="113" xfId="0" applyNumberFormat="1" applyFill="1" applyBorder="1" applyAlignment="1" applyProtection="1"/>
    <xf numFmtId="182" fontId="0" fillId="55" borderId="88" xfId="0" applyNumberFormat="1" applyFill="1" applyBorder="1" applyAlignment="1" applyProtection="1"/>
    <xf numFmtId="0" fontId="0" fillId="54" borderId="106" xfId="0" applyFont="1" applyFill="1" applyBorder="1" applyAlignment="1" applyProtection="1">
      <protection locked="0"/>
    </xf>
    <xf numFmtId="0" fontId="8" fillId="57" borderId="15" xfId="0" applyFont="1" applyFill="1" applyBorder="1" applyAlignment="1"/>
    <xf numFmtId="0" fontId="0" fillId="9" borderId="57" xfId="0" applyFill="1" applyBorder="1" applyAlignment="1">
      <alignment horizontal="center"/>
    </xf>
    <xf numFmtId="0" fontId="0" fillId="9" borderId="7" xfId="0" applyFill="1" applyBorder="1" applyAlignment="1">
      <alignment horizontal="center"/>
    </xf>
    <xf numFmtId="0" fontId="8" fillId="38" borderId="15" xfId="0" applyFont="1" applyFill="1" applyBorder="1" applyAlignment="1"/>
    <xf numFmtId="1" fontId="25" fillId="19" borderId="27" xfId="0" applyNumberFormat="1" applyFont="1" applyFill="1" applyBorder="1" applyAlignment="1">
      <alignment horizontal="center"/>
    </xf>
    <xf numFmtId="0" fontId="0" fillId="36" borderId="0" xfId="0" applyFill="1" applyAlignment="1">
      <alignment horizontal="center"/>
    </xf>
    <xf numFmtId="0" fontId="0" fillId="36" borderId="0" xfId="0" applyFill="1" applyAlignment="1"/>
    <xf numFmtId="0" fontId="0" fillId="38" borderId="15" xfId="0" applyFont="1" applyFill="1" applyBorder="1" applyAlignment="1"/>
    <xf numFmtId="0" fontId="7" fillId="26" borderId="120" xfId="0" applyFont="1" applyFill="1" applyBorder="1" applyAlignment="1"/>
    <xf numFmtId="0" fontId="25" fillId="4" borderId="121" xfId="0" applyFont="1" applyFill="1" applyBorder="1" applyAlignment="1">
      <alignment horizontal="center"/>
    </xf>
    <xf numFmtId="0" fontId="1" fillId="28" borderId="17" xfId="0" applyFont="1" applyFill="1" applyBorder="1" applyAlignment="1">
      <alignment horizontal="center"/>
    </xf>
    <xf numFmtId="0" fontId="1" fillId="36" borderId="17" xfId="0" applyFont="1" applyFill="1" applyBorder="1" applyAlignment="1">
      <alignment horizontal="center"/>
    </xf>
    <xf numFmtId="0" fontId="0" fillId="12" borderId="21" xfId="0" applyFont="1" applyFill="1" applyBorder="1" applyAlignment="1">
      <alignment vertical="center" wrapText="1"/>
    </xf>
    <xf numFmtId="0" fontId="0" fillId="16" borderId="15" xfId="0" applyFont="1" applyFill="1" applyBorder="1" applyAlignment="1">
      <alignment vertical="center" wrapText="1"/>
    </xf>
    <xf numFmtId="0" fontId="1" fillId="37" borderId="17" xfId="0" applyFont="1" applyFill="1" applyBorder="1" applyAlignment="1">
      <alignment horizontal="center"/>
    </xf>
    <xf numFmtId="0" fontId="0" fillId="12" borderId="15" xfId="0" applyFont="1" applyFill="1" applyBorder="1" applyAlignment="1">
      <alignment vertical="center" wrapText="1"/>
    </xf>
    <xf numFmtId="0" fontId="1" fillId="0" borderId="17" xfId="0" applyFont="1" applyFill="1" applyBorder="1" applyAlignment="1">
      <alignment horizontal="center"/>
    </xf>
    <xf numFmtId="0" fontId="0" fillId="17" borderId="21" xfId="0" applyFont="1" applyFill="1" applyBorder="1" applyAlignment="1">
      <alignment vertical="center" wrapText="1"/>
    </xf>
    <xf numFmtId="0" fontId="0" fillId="13" borderId="15" xfId="0" applyFont="1" applyFill="1" applyBorder="1" applyAlignment="1">
      <alignment vertical="center" wrapText="1"/>
    </xf>
    <xf numFmtId="0" fontId="0" fillId="13" borderId="21" xfId="0" applyFont="1" applyFill="1" applyBorder="1" applyAlignment="1">
      <alignment vertical="center" wrapText="1"/>
    </xf>
    <xf numFmtId="0" fontId="1" fillId="27" borderId="17" xfId="0" applyFont="1" applyFill="1" applyBorder="1" applyAlignment="1">
      <alignment horizontal="center"/>
    </xf>
    <xf numFmtId="0" fontId="0" fillId="38" borderId="21" xfId="0" applyFont="1" applyFill="1" applyBorder="1" applyAlignment="1"/>
    <xf numFmtId="0" fontId="1" fillId="2" borderId="17" xfId="0" applyFont="1" applyFill="1" applyBorder="1" applyAlignment="1">
      <alignment horizontal="center"/>
    </xf>
    <xf numFmtId="0" fontId="0" fillId="14" borderId="21" xfId="0" applyFont="1" applyFill="1" applyBorder="1" applyAlignment="1">
      <alignment vertical="center" wrapText="1"/>
    </xf>
    <xf numFmtId="0" fontId="0" fillId="17" borderId="15" xfId="0" applyFont="1" applyFill="1" applyBorder="1" applyAlignment="1">
      <alignment vertical="center" wrapText="1"/>
    </xf>
    <xf numFmtId="0" fontId="0" fillId="16" borderId="21" xfId="0" applyFont="1" applyFill="1" applyBorder="1" applyAlignment="1">
      <alignment vertical="center" wrapText="1"/>
    </xf>
    <xf numFmtId="0" fontId="0" fillId="14" borderId="15" xfId="0" applyFont="1" applyFill="1" applyBorder="1" applyAlignment="1">
      <alignment vertical="center" wrapText="1"/>
    </xf>
    <xf numFmtId="0" fontId="0" fillId="57" borderId="21" xfId="0" applyFont="1" applyFill="1" applyBorder="1" applyAlignment="1"/>
    <xf numFmtId="0" fontId="0" fillId="57" borderId="15" xfId="0" applyFont="1" applyFill="1" applyBorder="1" applyAlignment="1"/>
    <xf numFmtId="182" fontId="0" fillId="55" borderId="58" xfId="0" applyNumberFormat="1" applyFill="1" applyBorder="1" applyAlignment="1" applyProtection="1"/>
    <xf numFmtId="0" fontId="0" fillId="38" borderId="21" xfId="0" applyFont="1" applyFill="1" applyBorder="1" applyAlignment="1">
      <alignment vertical="center" wrapText="1"/>
    </xf>
    <xf numFmtId="0" fontId="0" fillId="38" borderId="15" xfId="0" applyFont="1" applyFill="1" applyBorder="1" applyAlignment="1">
      <alignment vertical="center" wrapText="1"/>
    </xf>
    <xf numFmtId="0" fontId="0" fillId="57" borderId="21" xfId="0" applyFont="1" applyFill="1" applyBorder="1" applyAlignment="1">
      <alignment vertical="center" wrapText="1"/>
    </xf>
    <xf numFmtId="0" fontId="0" fillId="57" borderId="15" xfId="0" applyFont="1" applyFill="1" applyBorder="1" applyAlignment="1">
      <alignment vertical="center" wrapText="1"/>
    </xf>
    <xf numFmtId="0" fontId="7" fillId="26" borderId="122" xfId="0" applyFont="1" applyFill="1" applyBorder="1" applyAlignment="1">
      <alignment horizontal="left"/>
    </xf>
    <xf numFmtId="0" fontId="0" fillId="57" borderId="13" xfId="0" applyFont="1" applyFill="1" applyBorder="1" applyAlignment="1"/>
    <xf numFmtId="0" fontId="0" fillId="38" borderId="13" xfId="0" applyFont="1" applyFill="1" applyBorder="1" applyAlignment="1"/>
    <xf numFmtId="0" fontId="0" fillId="19" borderId="13" xfId="0" applyFont="1" applyFill="1" applyBorder="1" applyAlignment="1"/>
    <xf numFmtId="0" fontId="8" fillId="48" borderId="56" xfId="0" applyFont="1" applyFill="1" applyBorder="1" applyAlignment="1"/>
    <xf numFmtId="0" fontId="8" fillId="48" borderId="15" xfId="0" applyFont="1" applyFill="1" applyBorder="1" applyAlignment="1"/>
    <xf numFmtId="0" fontId="0" fillId="38" borderId="21" xfId="0" applyFont="1" applyFill="1" applyBorder="1" applyAlignment="1">
      <alignment horizontal="center"/>
    </xf>
    <xf numFmtId="0" fontId="0" fillId="38" borderId="15" xfId="0" applyFont="1" applyFill="1" applyBorder="1" applyAlignment="1">
      <alignment horizontal="center"/>
    </xf>
    <xf numFmtId="0" fontId="0" fillId="57" borderId="21" xfId="0" applyFont="1" applyFill="1" applyBorder="1" applyAlignment="1">
      <alignment horizontal="center"/>
    </xf>
    <xf numFmtId="0" fontId="0" fillId="57" borderId="15" xfId="0" applyFont="1" applyFill="1" applyBorder="1" applyAlignment="1">
      <alignment horizontal="center"/>
    </xf>
    <xf numFmtId="0" fontId="0" fillId="19" borderId="15" xfId="0" applyFont="1" applyFill="1" applyBorder="1" applyAlignment="1"/>
    <xf numFmtId="0" fontId="0" fillId="4" borderId="0" xfId="0" applyFill="1" applyAlignment="1" applyProtection="1">
      <protection locked="0"/>
    </xf>
    <xf numFmtId="0" fontId="0" fillId="4" borderId="0" xfId="0" applyFill="1" applyAlignment="1" applyProtection="1"/>
    <xf numFmtId="0" fontId="9" fillId="58" borderId="0" xfId="0" applyFont="1" applyFill="1" applyAlignment="1"/>
    <xf numFmtId="0" fontId="7" fillId="26" borderId="9" xfId="0" applyFont="1" applyFill="1" applyBorder="1" applyAlignment="1" applyProtection="1">
      <alignment horizontal="center"/>
      <protection locked="0"/>
    </xf>
    <xf numFmtId="0" fontId="7" fillId="26" borderId="0" xfId="0" applyFont="1" applyFill="1" applyBorder="1" applyAlignment="1" applyProtection="1">
      <alignment horizontal="center"/>
      <protection locked="0"/>
    </xf>
    <xf numFmtId="0" fontId="0" fillId="2" borderId="16" xfId="0" applyFill="1" applyBorder="1" applyAlignment="1" applyProtection="1">
      <protection locked="0"/>
    </xf>
    <xf numFmtId="0" fontId="0" fillId="44" borderId="2" xfId="0" applyFill="1" applyBorder="1" applyAlignment="1" applyProtection="1">
      <protection locked="0"/>
    </xf>
    <xf numFmtId="0" fontId="0" fillId="49" borderId="85" xfId="0" applyFill="1" applyBorder="1" applyAlignment="1" applyProtection="1">
      <protection locked="0"/>
    </xf>
    <xf numFmtId="0" fontId="0" fillId="42" borderId="0" xfId="0" applyFill="1" applyAlignment="1" applyProtection="1">
      <protection locked="0"/>
    </xf>
    <xf numFmtId="0" fontId="0" fillId="19" borderId="0" xfId="0" applyFill="1" applyAlignment="1" applyProtection="1">
      <protection locked="0"/>
    </xf>
    <xf numFmtId="0" fontId="0" fillId="49" borderId="0" xfId="0" applyFill="1" applyAlignment="1" applyProtection="1">
      <protection locked="0"/>
    </xf>
    <xf numFmtId="0" fontId="0" fillId="44" borderId="0" xfId="0" applyFill="1" applyAlignment="1" applyProtection="1">
      <protection locked="0"/>
    </xf>
    <xf numFmtId="0" fontId="0" fillId="49" borderId="0" xfId="0" applyFill="1" applyBorder="1" applyAlignment="1" applyProtection="1">
      <protection locked="0"/>
    </xf>
    <xf numFmtId="0" fontId="0" fillId="19" borderId="0" xfId="0" applyFont="1" applyFill="1" applyBorder="1" applyAlignment="1" applyProtection="1">
      <protection locked="0"/>
    </xf>
    <xf numFmtId="0" fontId="0" fillId="49" borderId="0" xfId="0" applyFont="1" applyFill="1" applyBorder="1" applyAlignment="1" applyProtection="1">
      <protection locked="0"/>
    </xf>
    <xf numFmtId="0" fontId="0" fillId="59" borderId="0" xfId="0" applyFill="1" applyBorder="1" applyAlignment="1" applyProtection="1">
      <protection locked="0"/>
    </xf>
    <xf numFmtId="0" fontId="0" fillId="59" borderId="0" xfId="0" applyFill="1" applyAlignment="1" applyProtection="1">
      <protection locked="0"/>
    </xf>
    <xf numFmtId="0" fontId="0" fillId="46" borderId="0" xfId="0" applyFill="1" applyAlignment="1" applyProtection="1">
      <protection locked="0"/>
    </xf>
    <xf numFmtId="0" fontId="8" fillId="59" borderId="0" xfId="0" applyFont="1" applyFill="1" applyAlignment="1" applyProtection="1">
      <protection locked="0"/>
    </xf>
    <xf numFmtId="0" fontId="0" fillId="60" borderId="0" xfId="0" applyFont="1" applyFill="1" applyBorder="1" applyAlignment="1" applyProtection="1">
      <alignment vertical="center" wrapText="1"/>
      <protection locked="0"/>
    </xf>
    <xf numFmtId="0" fontId="0" fillId="60" borderId="0" xfId="0" applyFill="1" applyAlignment="1" applyProtection="1">
      <alignment vertical="center" wrapText="1"/>
      <protection locked="0"/>
    </xf>
    <xf numFmtId="0" fontId="0" fillId="61" borderId="0" xfId="0" applyFill="1" applyBorder="1" applyAlignment="1" applyProtection="1">
      <protection locked="0"/>
    </xf>
    <xf numFmtId="0" fontId="0" fillId="53" borderId="0" xfId="0" applyFont="1" applyFill="1" applyBorder="1" applyAlignment="1" applyProtection="1">
      <alignment vertical="center" wrapText="1"/>
      <protection locked="0"/>
    </xf>
    <xf numFmtId="0" fontId="0" fillId="53" borderId="0" xfId="0" applyFill="1" applyAlignment="1" applyProtection="1">
      <alignment vertical="center" wrapText="1"/>
      <protection locked="0"/>
    </xf>
    <xf numFmtId="0" fontId="0" fillId="61" borderId="0" xfId="0" applyFill="1" applyAlignment="1" applyProtection="1">
      <protection locked="0"/>
    </xf>
    <xf numFmtId="0" fontId="0" fillId="0" borderId="11" xfId="0" applyFont="1" applyFill="1" applyBorder="1" applyAlignment="1" applyProtection="1">
      <protection locked="0"/>
    </xf>
    <xf numFmtId="0" fontId="0" fillId="53" borderId="15" xfId="0" applyFont="1" applyFill="1" applyBorder="1" applyAlignment="1" applyProtection="1">
      <protection locked="0"/>
    </xf>
    <xf numFmtId="0" fontId="0" fillId="28" borderId="106" xfId="0" applyFill="1" applyBorder="1" applyAlignment="1" applyProtection="1">
      <protection locked="0"/>
    </xf>
    <xf numFmtId="0" fontId="0" fillId="38" borderId="0" xfId="0" applyFont="1" applyFill="1" applyBorder="1" applyAlignment="1" applyProtection="1">
      <alignment vertical="center" wrapText="1"/>
      <protection locked="0"/>
    </xf>
    <xf numFmtId="0" fontId="0" fillId="9" borderId="123" xfId="0" applyFill="1" applyBorder="1" applyAlignment="1"/>
    <xf numFmtId="0" fontId="0" fillId="9" borderId="97" xfId="0" applyFill="1" applyBorder="1" applyAlignment="1"/>
    <xf numFmtId="0" fontId="0" fillId="28" borderId="114" xfId="0" applyFill="1" applyBorder="1" applyAlignment="1" applyProtection="1">
      <protection locked="0"/>
    </xf>
    <xf numFmtId="0" fontId="25" fillId="19" borderId="114" xfId="0" applyFont="1" applyFill="1" applyBorder="1" applyAlignment="1"/>
    <xf numFmtId="0" fontId="0" fillId="55" borderId="28" xfId="0" applyFill="1" applyBorder="1" applyAlignment="1" applyProtection="1"/>
    <xf numFmtId="0" fontId="0" fillId="4" borderId="124" xfId="0" applyFill="1" applyBorder="1" applyAlignment="1"/>
    <xf numFmtId="0" fontId="0" fillId="0" borderId="0" xfId="0" applyFont="1" applyFill="1" applyBorder="1" applyAlignment="1" applyProtection="1">
      <alignment vertical="center" wrapText="1"/>
      <protection locked="0"/>
    </xf>
    <xf numFmtId="0" fontId="40" fillId="9" borderId="59" xfId="0" applyFont="1" applyFill="1" applyBorder="1" applyAlignment="1">
      <alignment horizontal="center" vertical="center" wrapText="1"/>
    </xf>
    <xf numFmtId="0" fontId="7" fillId="0" borderId="79" xfId="0" applyFont="1" applyFill="1" applyBorder="1" applyAlignment="1"/>
    <xf numFmtId="0" fontId="0" fillId="0" borderId="81" xfId="0" applyFont="1" applyFill="1" applyBorder="1" applyAlignment="1"/>
    <xf numFmtId="0" fontId="0" fillId="0" borderId="85" xfId="0" applyFont="1" applyFill="1" applyBorder="1" applyAlignment="1"/>
    <xf numFmtId="0" fontId="7" fillId="0" borderId="22" xfId="0" applyFont="1" applyFill="1" applyBorder="1" applyAlignment="1">
      <alignment horizontal="center"/>
    </xf>
    <xf numFmtId="0" fontId="0" fillId="0" borderId="23" xfId="0" applyFont="1" applyFill="1" applyBorder="1" applyAlignment="1"/>
    <xf numFmtId="49" fontId="0" fillId="0" borderId="23" xfId="0" applyNumberFormat="1" applyFont="1" applyFill="1" applyBorder="1" applyAlignment="1"/>
    <xf numFmtId="0" fontId="0" fillId="0" borderId="0" xfId="0" applyFill="1" applyAlignment="1">
      <alignment horizontal="center" vertical="center"/>
    </xf>
    <xf numFmtId="0" fontId="1" fillId="0" borderId="0" xfId="0" applyFont="1" applyAlignment="1">
      <alignment horizontal="center" vertical="center"/>
    </xf>
    <xf numFmtId="0" fontId="4" fillId="0" borderId="0" xfId="0" applyFont="1" applyFill="1" applyBorder="1" applyAlignment="1">
      <alignment horizontal="left" vertical="center" wrapText="1"/>
    </xf>
    <xf numFmtId="0" fontId="4" fillId="0" borderId="0" xfId="0" applyFont="1" applyAlignment="1">
      <alignment horizontal="center" vertical="center"/>
    </xf>
    <xf numFmtId="0" fontId="1" fillId="0" borderId="0" xfId="0" applyFont="1" applyFill="1" applyBorder="1" applyAlignment="1">
      <alignment horizontal="left" vertical="center" wrapText="1"/>
    </xf>
    <xf numFmtId="0" fontId="0" fillId="62" borderId="0" xfId="0" applyFill="1" applyAlignment="1">
      <alignment horizontal="center" vertical="center"/>
    </xf>
    <xf numFmtId="0" fontId="4" fillId="0" borderId="0" xfId="0" applyFont="1" applyFill="1" applyAlignment="1">
      <alignment horizontal="center" vertical="center"/>
    </xf>
    <xf numFmtId="0" fontId="0" fillId="63" borderId="0" xfId="0" applyFill="1" applyAlignment="1">
      <alignment horizontal="center" vertical="center"/>
    </xf>
    <xf numFmtId="0" fontId="1" fillId="36" borderId="0" xfId="0" applyFont="1" applyFill="1" applyAlignment="1">
      <alignment horizontal="left" vertical="center"/>
    </xf>
    <xf numFmtId="0" fontId="0" fillId="2" borderId="0" xfId="0" applyFill="1" applyAlignment="1">
      <alignment horizontal="center" vertical="center"/>
    </xf>
    <xf numFmtId="0" fontId="1" fillId="3" borderId="0" xfId="0" applyFont="1" applyFill="1" applyBorder="1" applyAlignment="1">
      <alignment horizontal="left"/>
    </xf>
    <xf numFmtId="0" fontId="41" fillId="0" borderId="0" xfId="0" applyFont="1" applyFill="1" applyAlignment="1">
      <alignment horizontal="left" vertical="center" wrapText="1"/>
    </xf>
    <xf numFmtId="0" fontId="42" fillId="64" borderId="0" xfId="0" applyFont="1" applyFill="1" applyAlignment="1">
      <alignment horizontal="center" vertical="center" wrapText="1"/>
    </xf>
    <xf numFmtId="0" fontId="1" fillId="29" borderId="0" xfId="0" applyFont="1" applyFill="1" applyAlignment="1">
      <alignment horizontal="center" vertical="center"/>
    </xf>
    <xf numFmtId="0" fontId="0" fillId="0" borderId="0" xfId="0" applyFill="1" applyBorder="1" applyAlignment="1">
      <alignment horizontal="center" vertical="center" wrapText="1"/>
    </xf>
    <xf numFmtId="0" fontId="0" fillId="0" borderId="0" xfId="0" applyFill="1" applyAlignment="1">
      <alignment horizontal="center" vertical="center" wrapText="1"/>
    </xf>
    <xf numFmtId="0" fontId="43" fillId="64" borderId="0" xfId="0" applyFont="1" applyFill="1" applyAlignment="1">
      <alignment horizontal="center" vertical="center" wrapText="1"/>
    </xf>
    <xf numFmtId="0" fontId="41" fillId="62" borderId="0" xfId="0" applyFont="1" applyFill="1" applyAlignment="1">
      <alignment horizontal="left" vertical="center"/>
    </xf>
    <xf numFmtId="0" fontId="44" fillId="0" borderId="0" xfId="0" applyFont="1" applyFill="1" applyAlignment="1">
      <alignment horizontal="center" vertical="center" wrapText="1"/>
    </xf>
    <xf numFmtId="0" fontId="1" fillId="64" borderId="0" xfId="0" applyFont="1" applyFill="1" applyAlignment="1">
      <alignment horizontal="center" vertical="center" wrapText="1"/>
    </xf>
    <xf numFmtId="0" fontId="42" fillId="0" borderId="0" xfId="0" applyFont="1" applyFill="1" applyAlignment="1">
      <alignment horizontal="center" vertical="center" wrapText="1"/>
    </xf>
    <xf numFmtId="0" fontId="44" fillId="64" borderId="0" xfId="0" applyFont="1" applyFill="1" applyAlignment="1">
      <alignment horizontal="center" vertical="center" wrapText="1"/>
    </xf>
    <xf numFmtId="0" fontId="41" fillId="0" borderId="0" xfId="0" applyFont="1" applyFill="1" applyAlignment="1">
      <alignment horizontal="left" vertical="center"/>
    </xf>
    <xf numFmtId="0" fontId="45" fillId="0" borderId="0" xfId="0" applyFont="1" applyFill="1" applyAlignment="1">
      <alignment horizontal="center" vertical="center"/>
    </xf>
    <xf numFmtId="0" fontId="44" fillId="0" borderId="0" xfId="0" applyFont="1" applyFill="1" applyAlignment="1">
      <alignment horizontal="center" vertical="center"/>
    </xf>
    <xf numFmtId="0" fontId="44" fillId="0" borderId="0" xfId="0" applyFont="1" applyAlignment="1">
      <alignment horizontal="center" vertical="center"/>
    </xf>
    <xf numFmtId="0" fontId="0" fillId="27" borderId="0" xfId="0" applyFill="1" applyAlignment="1">
      <alignment horizontal="center" vertical="center"/>
    </xf>
    <xf numFmtId="0" fontId="43" fillId="0" borderId="0" xfId="0" applyFont="1" applyFill="1" applyAlignment="1">
      <alignment horizontal="center" vertical="center" wrapText="1"/>
    </xf>
    <xf numFmtId="0" fontId="1" fillId="62" borderId="0" xfId="0" applyFont="1" applyFill="1" applyAlignment="1">
      <alignment horizontal="left" vertical="center"/>
    </xf>
    <xf numFmtId="0" fontId="4" fillId="0" borderId="0" xfId="0" applyFont="1" applyFill="1" applyAlignment="1">
      <alignment horizontal="left"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1" fillId="3" borderId="2" xfId="0" applyFont="1" applyFill="1" applyBorder="1" applyAlignment="1">
      <alignment horizontal="left"/>
    </xf>
    <xf numFmtId="0" fontId="0" fillId="0" borderId="0" xfId="0" applyFont="1" applyFill="1" applyAlignment="1">
      <alignment horizontal="left" vertical="center" wrapText="1"/>
    </xf>
    <xf numFmtId="0" fontId="0" fillId="0" borderId="16"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9" xfId="0" applyFill="1" applyBorder="1" applyAlignment="1">
      <alignment horizontal="center" vertical="center" wrapText="1"/>
    </xf>
    <xf numFmtId="0" fontId="0" fillId="0" borderId="0" xfId="0" applyFill="1" applyBorder="1" applyAlignment="1">
      <alignment horizontal="center" vertical="center"/>
    </xf>
    <xf numFmtId="0" fontId="1" fillId="27" borderId="0" xfId="0" applyFont="1" applyFill="1" applyAlignment="1">
      <alignment horizontal="center" vertical="center"/>
    </xf>
    <xf numFmtId="0" fontId="2" fillId="27" borderId="0" xfId="0" applyFont="1" applyFill="1" applyAlignment="1">
      <alignment horizontal="center" vertical="center"/>
    </xf>
    <xf numFmtId="0" fontId="18" fillId="0" borderId="30" xfId="0" applyFont="1" applyBorder="1" applyAlignment="1">
      <alignment horizontal="center" vertical="center" wrapText="1" readingOrder="1"/>
    </xf>
    <xf numFmtId="0" fontId="19" fillId="0" borderId="0" xfId="0" applyFont="1" applyAlignment="1">
      <alignment horizontal="center" vertical="center" wrapText="1" readingOrder="1"/>
    </xf>
    <xf numFmtId="0" fontId="0" fillId="0" borderId="30" xfId="0" applyBorder="1" applyAlignment="1">
      <alignment horizontal="center" vertical="center"/>
    </xf>
    <xf numFmtId="0" fontId="18" fillId="0" borderId="0" xfId="0" applyFont="1" applyAlignment="1">
      <alignment horizontal="center" vertical="center" wrapText="1" readingOrder="1"/>
    </xf>
    <xf numFmtId="0" fontId="19" fillId="0" borderId="30" xfId="0" applyFont="1" applyBorder="1" applyAlignment="1">
      <alignment horizontal="center" vertical="center" wrapText="1" readingOrder="1"/>
    </xf>
    <xf numFmtId="0" fontId="18" fillId="0" borderId="0" xfId="0" applyFont="1" applyBorder="1" applyAlignment="1">
      <alignment horizontal="center" vertical="center" wrapText="1" readingOrder="1"/>
    </xf>
    <xf numFmtId="0" fontId="19" fillId="0" borderId="0" xfId="0" applyFont="1" applyBorder="1" applyAlignment="1">
      <alignment horizontal="center" vertical="center" wrapText="1" readingOrder="1"/>
    </xf>
    <xf numFmtId="0" fontId="16" fillId="0" borderId="30" xfId="0" applyFont="1" applyBorder="1" applyAlignment="1">
      <alignment horizontal="center" vertical="center" wrapText="1" readingOrder="1"/>
    </xf>
    <xf numFmtId="0" fontId="16" fillId="0" borderId="0" xfId="0" applyFont="1" applyBorder="1" applyAlignment="1">
      <alignment horizontal="center" vertical="center" wrapText="1" readingOrder="1"/>
    </xf>
    <xf numFmtId="0" fontId="0" fillId="0" borderId="0" xfId="0" applyBorder="1" applyAlignment="1">
      <alignment horizontal="center" vertical="center"/>
    </xf>
    <xf numFmtId="0" fontId="1" fillId="0" borderId="0" xfId="0" applyFont="1" applyFill="1">
      <alignment vertical="center"/>
    </xf>
    <xf numFmtId="0" fontId="1" fillId="0" borderId="0" xfId="0" applyFont="1">
      <alignment vertical="center"/>
    </xf>
    <xf numFmtId="0" fontId="0" fillId="0" borderId="0" xfId="0" applyFont="1" applyFill="1">
      <alignment vertical="center"/>
    </xf>
    <xf numFmtId="0" fontId="42" fillId="65" borderId="125" xfId="0" applyNumberFormat="1" applyFont="1" applyFill="1" applyBorder="1" applyAlignment="1" applyProtection="1">
      <alignment horizontal="center" vertical="center" wrapText="1" readingOrder="1"/>
    </xf>
    <xf numFmtId="0" fontId="42" fillId="65" borderId="125" xfId="0" applyNumberFormat="1" applyFont="1" applyFill="1" applyBorder="1" applyAlignment="1" applyProtection="1">
      <alignment horizontal="center" vertical="center" wrapText="1"/>
    </xf>
    <xf numFmtId="0" fontId="42" fillId="65" borderId="125" xfId="0" applyNumberFormat="1" applyFont="1" applyFill="1" applyBorder="1" applyAlignment="1" applyProtection="1">
      <alignment horizontal="left" vertical="center" wrapText="1" readingOrder="1"/>
    </xf>
    <xf numFmtId="0" fontId="1" fillId="66" borderId="126" xfId="0" applyNumberFormat="1" applyFont="1" applyFill="1" applyBorder="1" applyAlignment="1" applyProtection="1">
      <alignment horizontal="center" vertical="center"/>
    </xf>
    <xf numFmtId="0" fontId="4" fillId="67" borderId="127" xfId="0" applyNumberFormat="1" applyFont="1" applyFill="1" applyBorder="1" applyAlignment="1" applyProtection="1">
      <alignment horizontal="center" vertical="center"/>
    </xf>
    <xf numFmtId="0" fontId="0" fillId="67" borderId="126" xfId="0" applyNumberFormat="1" applyFont="1" applyFill="1" applyBorder="1" applyAlignment="1" applyProtection="1">
      <alignment horizontal="center" vertical="center"/>
    </xf>
    <xf numFmtId="0" fontId="0" fillId="68" borderId="126" xfId="0" applyNumberFormat="1" applyFont="1" applyFill="1" applyBorder="1" applyAlignment="1" applyProtection="1">
      <alignment horizontal="center" vertical="center"/>
    </xf>
    <xf numFmtId="0" fontId="0" fillId="69" borderId="126" xfId="0" applyNumberFormat="1" applyFont="1" applyFill="1" applyBorder="1" applyAlignment="1" applyProtection="1">
      <alignment horizontal="left" vertical="center"/>
    </xf>
    <xf numFmtId="0" fontId="1" fillId="66" borderId="127" xfId="0" applyNumberFormat="1" applyFont="1" applyFill="1" applyBorder="1" applyAlignment="1" applyProtection="1">
      <alignment horizontal="center" vertical="center"/>
    </xf>
    <xf numFmtId="0" fontId="4" fillId="70" borderId="127" xfId="0" applyNumberFormat="1" applyFont="1" applyFill="1" applyBorder="1" applyAlignment="1" applyProtection="1">
      <alignment horizontal="center" vertical="center"/>
    </xf>
    <xf numFmtId="0" fontId="0" fillId="70" borderId="127" xfId="0" applyNumberFormat="1" applyFont="1" applyFill="1" applyBorder="1" applyAlignment="1" applyProtection="1">
      <alignment horizontal="center" vertical="center"/>
    </xf>
    <xf numFmtId="0" fontId="0" fillId="36" borderId="127" xfId="0" applyNumberFormat="1" applyFont="1" applyFill="1" applyBorder="1" applyAlignment="1" applyProtection="1">
      <alignment horizontal="center" vertical="center"/>
    </xf>
    <xf numFmtId="0" fontId="0" fillId="69" borderId="127" xfId="0" applyNumberFormat="1" applyFont="1" applyFill="1" applyBorder="1" applyAlignment="1" applyProtection="1">
      <alignment horizontal="left" vertical="center"/>
    </xf>
    <xf numFmtId="0" fontId="1" fillId="70" borderId="127" xfId="0" applyNumberFormat="1" applyFont="1" applyFill="1" applyBorder="1" applyAlignment="1" applyProtection="1">
      <alignment horizontal="center" vertical="center"/>
    </xf>
    <xf numFmtId="0" fontId="0" fillId="70" borderId="127" xfId="0" applyNumberFormat="1" applyFont="1" applyFill="1" applyBorder="1" applyAlignment="1" applyProtection="1">
      <alignment horizontal="left" vertical="center"/>
    </xf>
    <xf numFmtId="0" fontId="1" fillId="67" borderId="127" xfId="0" applyNumberFormat="1" applyFont="1" applyFill="1" applyBorder="1" applyAlignment="1" applyProtection="1">
      <alignment horizontal="center" vertical="center"/>
    </xf>
    <xf numFmtId="0" fontId="0" fillId="67" borderId="127" xfId="0" applyNumberFormat="1" applyFont="1" applyFill="1" applyBorder="1" applyAlignment="1" applyProtection="1">
      <alignment horizontal="center" vertical="center"/>
    </xf>
    <xf numFmtId="0" fontId="0" fillId="71" borderId="127" xfId="0" applyNumberFormat="1" applyFont="1" applyFill="1" applyBorder="1" applyAlignment="1" applyProtection="1">
      <alignment horizontal="center" vertical="center"/>
    </xf>
    <xf numFmtId="0" fontId="0" fillId="72" borderId="127" xfId="0" applyNumberFormat="1" applyFont="1" applyFill="1" applyBorder="1" applyAlignment="1" applyProtection="1">
      <alignment horizontal="left" vertical="center"/>
    </xf>
    <xf numFmtId="0" fontId="0" fillId="73" borderId="127" xfId="0" applyNumberFormat="1" applyFont="1" applyFill="1" applyBorder="1" applyAlignment="1" applyProtection="1">
      <alignment horizontal="center" vertical="center"/>
    </xf>
    <xf numFmtId="0" fontId="0" fillId="68" borderId="127" xfId="0" applyNumberFormat="1" applyFont="1" applyFill="1" applyBorder="1" applyAlignment="1" applyProtection="1">
      <alignment horizontal="center" vertical="center"/>
    </xf>
    <xf numFmtId="0" fontId="46" fillId="67" borderId="127" xfId="0" applyNumberFormat="1" applyFont="1" applyFill="1" applyBorder="1" applyAlignment="1" applyProtection="1">
      <alignment horizontal="center" vertical="center"/>
    </xf>
    <xf numFmtId="0" fontId="0" fillId="74" borderId="127" xfId="0" applyNumberFormat="1" applyFont="1" applyFill="1" applyBorder="1" applyAlignment="1" applyProtection="1">
      <alignment horizontal="center" vertical="center"/>
    </xf>
    <xf numFmtId="0" fontId="0" fillId="75" borderId="127" xfId="0" applyNumberFormat="1" applyFont="1" applyFill="1" applyBorder="1" applyAlignment="1" applyProtection="1">
      <alignment horizontal="left" vertical="center"/>
    </xf>
    <xf numFmtId="0" fontId="0" fillId="67" borderId="127" xfId="0" applyNumberFormat="1" applyFont="1" applyFill="1" applyBorder="1" applyAlignment="1" applyProtection="1">
      <alignment horizontal="left" vertical="center"/>
    </xf>
    <xf numFmtId="0" fontId="0" fillId="28" borderId="127" xfId="0" applyNumberFormat="1" applyFont="1" applyFill="1" applyBorder="1" applyAlignment="1" applyProtection="1">
      <alignment horizontal="center" vertical="center"/>
    </xf>
    <xf numFmtId="0" fontId="0" fillId="76" borderId="127" xfId="0" applyNumberFormat="1" applyFont="1" applyFill="1" applyBorder="1" applyAlignment="1" applyProtection="1">
      <alignment horizontal="center" vertical="center"/>
    </xf>
    <xf numFmtId="0" fontId="1" fillId="67" borderId="127" xfId="0" applyNumberFormat="1" applyFont="1" applyFill="1" applyBorder="1" applyAlignment="1" applyProtection="1">
      <alignment horizontal="left" vertical="center"/>
    </xf>
    <xf numFmtId="0" fontId="1" fillId="70" borderId="127" xfId="0" applyNumberFormat="1" applyFont="1" applyFill="1" applyBorder="1" applyAlignment="1" applyProtection="1">
      <alignment horizontal="left" vertical="center"/>
    </xf>
    <xf numFmtId="0" fontId="1" fillId="36" borderId="127" xfId="0" applyNumberFormat="1" applyFont="1" applyFill="1" applyBorder="1" applyAlignment="1" applyProtection="1">
      <alignment horizontal="center" vertical="center"/>
    </xf>
    <xf numFmtId="0" fontId="1" fillId="75" borderId="127" xfId="0" applyNumberFormat="1" applyFont="1" applyFill="1" applyBorder="1" applyAlignment="1" applyProtection="1">
      <alignment horizontal="left" vertical="center"/>
    </xf>
    <xf numFmtId="0" fontId="1" fillId="66" borderId="0" xfId="0" applyNumberFormat="1" applyFont="1" applyFill="1" applyBorder="1" applyAlignment="1" applyProtection="1">
      <alignment horizontal="center" vertical="center"/>
    </xf>
    <xf numFmtId="0" fontId="0" fillId="66" borderId="127" xfId="0" applyNumberFormat="1" applyFont="1" applyFill="1" applyBorder="1" applyAlignment="1" applyProtection="1">
      <alignment horizontal="center" vertical="center"/>
    </xf>
    <xf numFmtId="0" fontId="1" fillId="76" borderId="127" xfId="0" applyNumberFormat="1" applyFont="1" applyFill="1" applyBorder="1" applyAlignment="1" applyProtection="1">
      <alignment horizontal="center" vertical="center"/>
    </xf>
    <xf numFmtId="0" fontId="0" fillId="77" borderId="127" xfId="0" applyNumberFormat="1" applyFont="1" applyFill="1" applyBorder="1" applyAlignment="1" applyProtection="1">
      <alignment horizontal="center" vertical="center"/>
    </xf>
    <xf numFmtId="0" fontId="1" fillId="72" borderId="127" xfId="0" applyNumberFormat="1" applyFont="1" applyFill="1" applyBorder="1" applyAlignment="1" applyProtection="1">
      <alignment horizontal="left" vertical="center"/>
    </xf>
    <xf numFmtId="0" fontId="1" fillId="69" borderId="127" xfId="0" applyNumberFormat="1" applyFont="1" applyFill="1" applyBorder="1" applyAlignment="1" applyProtection="1">
      <alignment horizontal="left" vertical="center"/>
    </xf>
    <xf numFmtId="0" fontId="1" fillId="78" borderId="127" xfId="0" applyFont="1" applyFill="1" applyBorder="1" applyAlignment="1">
      <alignment horizontal="center" vertical="center"/>
    </xf>
    <xf numFmtId="0" fontId="0" fillId="79" borderId="0" xfId="0" applyNumberFormat="1" applyFont="1" applyFill="1" applyBorder="1" applyAlignment="1" applyProtection="1">
      <alignment horizontal="center" vertical="center"/>
    </xf>
    <xf numFmtId="0" fontId="1" fillId="78" borderId="0" xfId="0" applyFont="1" applyFill="1" applyBorder="1" applyAlignment="1">
      <alignment horizontal="center" vertical="center"/>
    </xf>
    <xf numFmtId="0" fontId="0" fillId="80" borderId="0" xfId="0" applyNumberFormat="1" applyFont="1" applyFill="1" applyBorder="1" applyAlignment="1" applyProtection="1">
      <alignment horizontal="center" vertical="center"/>
    </xf>
    <xf numFmtId="0" fontId="0" fillId="80" borderId="127" xfId="0" applyNumberFormat="1" applyFont="1" applyFill="1" applyBorder="1" applyAlignment="1" applyProtection="1">
      <alignment horizontal="center" vertical="center"/>
    </xf>
    <xf numFmtId="0" fontId="0" fillId="0" borderId="0" xfId="0" applyBorder="1" applyAlignment="1">
      <alignment vertical="center"/>
    </xf>
    <xf numFmtId="0" fontId="1" fillId="0" borderId="0" xfId="0" applyFont="1" applyBorder="1" applyAlignment="1">
      <alignment vertical="center"/>
    </xf>
    <xf numFmtId="0" fontId="0" fillId="0" borderId="0" xfId="0" applyBorder="1" applyAlignment="1">
      <alignment horizontal="left" vertical="center"/>
    </xf>
    <xf numFmtId="0" fontId="0" fillId="0" borderId="0" xfId="0" applyAlignment="1">
      <alignment vertical="center"/>
    </xf>
    <xf numFmtId="0" fontId="1" fillId="0" borderId="0" xfId="0" applyFont="1" applyAlignment="1">
      <alignment vertical="center"/>
    </xf>
    <xf numFmtId="0" fontId="42" fillId="65" borderId="125" xfId="0" applyNumberFormat="1" applyFont="1" applyFill="1" applyBorder="1" applyAlignment="1" applyProtection="1">
      <alignment horizontal="center" vertical="center"/>
    </xf>
    <xf numFmtId="0" fontId="9" fillId="32" borderId="0" xfId="0" applyNumberFormat="1" applyFont="1" applyFill="1" applyBorder="1" applyAlignment="1" applyProtection="1">
      <alignment vertical="center"/>
    </xf>
    <xf numFmtId="0" fontId="42" fillId="32" borderId="125" xfId="0" applyNumberFormat="1" applyFont="1" applyFill="1" applyBorder="1" applyAlignment="1" applyProtection="1">
      <alignment horizontal="center" vertical="center"/>
    </xf>
    <xf numFmtId="0" fontId="0" fillId="28" borderId="126" xfId="0" applyNumberFormat="1" applyFont="1" applyFill="1" applyBorder="1" applyAlignment="1" applyProtection="1">
      <alignment horizontal="center" vertical="center"/>
    </xf>
    <xf numFmtId="0" fontId="1" fillId="67" borderId="126" xfId="0" applyNumberFormat="1" applyFont="1" applyFill="1" applyBorder="1" applyAlignment="1" applyProtection="1">
      <alignment horizontal="center" vertical="center"/>
    </xf>
    <xf numFmtId="0" fontId="0" fillId="67" borderId="0" xfId="0" applyNumberFormat="1" applyFont="1" applyFill="1" applyBorder="1" applyAlignment="1" applyProtection="1">
      <alignment vertical="center"/>
    </xf>
    <xf numFmtId="0" fontId="0" fillId="67" borderId="126" xfId="0" applyNumberFormat="1" applyFont="1" applyFill="1" applyBorder="1" applyAlignment="1" applyProtection="1">
      <alignment horizontal="left" vertical="center"/>
    </xf>
    <xf numFmtId="0" fontId="1" fillId="70" borderId="126" xfId="0" applyNumberFormat="1" applyFont="1" applyFill="1" applyBorder="1" applyAlignment="1" applyProtection="1">
      <alignment horizontal="center" vertical="center"/>
    </xf>
    <xf numFmtId="0" fontId="0" fillId="70" borderId="126" xfId="0" applyNumberFormat="1" applyFont="1" applyFill="1" applyBorder="1" applyAlignment="1" applyProtection="1">
      <alignment horizontal="center" vertical="center"/>
    </xf>
    <xf numFmtId="0" fontId="0" fillId="70" borderId="0" xfId="0" applyNumberFormat="1" applyFont="1" applyFill="1" applyBorder="1" applyAlignment="1" applyProtection="1">
      <alignment vertical="center"/>
    </xf>
    <xf numFmtId="0" fontId="1" fillId="70" borderId="0" xfId="0" applyNumberFormat="1" applyFont="1" applyFill="1" applyBorder="1" applyAlignment="1" applyProtection="1">
      <alignment horizontal="center" vertical="center"/>
    </xf>
    <xf numFmtId="0" fontId="1" fillId="81" borderId="126" xfId="0" applyNumberFormat="1" applyFont="1" applyFill="1" applyBorder="1" applyAlignment="1" applyProtection="1">
      <alignment horizontal="center" vertical="center"/>
    </xf>
    <xf numFmtId="0" fontId="0" fillId="81" borderId="126" xfId="0" applyNumberFormat="1" applyFont="1" applyFill="1" applyBorder="1" applyAlignment="1" applyProtection="1">
      <alignment horizontal="center" vertical="center"/>
    </xf>
    <xf numFmtId="0" fontId="0" fillId="2" borderId="126" xfId="0" applyNumberFormat="1" applyFont="1" applyFill="1" applyBorder="1" applyAlignment="1" applyProtection="1">
      <alignment horizontal="center" vertical="center"/>
    </xf>
    <xf numFmtId="0" fontId="1" fillId="73" borderId="126" xfId="0" applyNumberFormat="1" applyFont="1" applyFill="1" applyBorder="1" applyAlignment="1" applyProtection="1">
      <alignment horizontal="center" vertical="center"/>
    </xf>
    <xf numFmtId="0" fontId="1" fillId="28" borderId="128" xfId="0" applyNumberFormat="1" applyFont="1" applyFill="1" applyBorder="1" applyAlignment="1" applyProtection="1">
      <alignment horizontal="center" vertical="center"/>
    </xf>
    <xf numFmtId="0" fontId="1" fillId="2" borderId="126" xfId="0" applyNumberFormat="1" applyFont="1" applyFill="1" applyBorder="1" applyAlignment="1" applyProtection="1">
      <alignment horizontal="center" vertical="center"/>
    </xf>
    <xf numFmtId="0" fontId="0" fillId="70" borderId="128" xfId="0" applyNumberFormat="1" applyFont="1" applyFill="1" applyBorder="1" applyAlignment="1" applyProtection="1">
      <alignment horizontal="center" vertical="center"/>
    </xf>
    <xf numFmtId="0" fontId="1" fillId="70" borderId="0" xfId="0" applyNumberFormat="1" applyFont="1" applyFill="1" applyBorder="1" applyAlignment="1" applyProtection="1">
      <alignment vertical="center"/>
    </xf>
    <xf numFmtId="0" fontId="0" fillId="67" borderId="128" xfId="0" applyNumberFormat="1" applyFont="1" applyFill="1" applyBorder="1" applyAlignment="1" applyProtection="1">
      <alignment horizontal="center" vertical="center"/>
    </xf>
    <xf numFmtId="0" fontId="1" fillId="67" borderId="128" xfId="0" applyNumberFormat="1" applyFont="1" applyFill="1" applyBorder="1" applyAlignment="1" applyProtection="1">
      <alignment horizontal="center" vertical="center"/>
    </xf>
    <xf numFmtId="0" fontId="1" fillId="73" borderId="128" xfId="0" applyNumberFormat="1" applyFont="1" applyFill="1" applyBorder="1" applyAlignment="1" applyProtection="1">
      <alignment horizontal="center" vertical="center"/>
    </xf>
    <xf numFmtId="0" fontId="1" fillId="70" borderId="128" xfId="0" applyNumberFormat="1" applyFont="1" applyFill="1" applyBorder="1" applyAlignment="1" applyProtection="1">
      <alignment horizontal="center" vertical="center"/>
    </xf>
    <xf numFmtId="0" fontId="0" fillId="2" borderId="128" xfId="0" applyNumberFormat="1" applyFont="1" applyFill="1" applyBorder="1" applyAlignment="1" applyProtection="1">
      <alignment horizontal="center" vertical="center"/>
    </xf>
    <xf numFmtId="0" fontId="0" fillId="28" borderId="128" xfId="0" applyNumberFormat="1" applyFont="1" applyFill="1" applyBorder="1" applyAlignment="1" applyProtection="1">
      <alignment horizontal="center" vertical="center"/>
    </xf>
    <xf numFmtId="0" fontId="0" fillId="81" borderId="128" xfId="0" applyNumberFormat="1" applyFont="1" applyFill="1" applyBorder="1" applyAlignment="1" applyProtection="1">
      <alignment horizontal="center" vertical="center"/>
    </xf>
    <xf numFmtId="0" fontId="1" fillId="81" borderId="128" xfId="0" applyNumberFormat="1" applyFont="1" applyFill="1" applyBorder="1" applyAlignment="1" applyProtection="1">
      <alignment horizontal="center" vertical="center"/>
    </xf>
    <xf numFmtId="0" fontId="1" fillId="67" borderId="0" xfId="0" applyNumberFormat="1" applyFont="1" applyFill="1" applyBorder="1" applyAlignment="1" applyProtection="1">
      <alignment vertical="center"/>
    </xf>
    <xf numFmtId="0" fontId="1" fillId="65" borderId="125" xfId="0" applyNumberFormat="1" applyFont="1" applyFill="1" applyBorder="1" applyAlignment="1" applyProtection="1">
      <alignment horizontal="center" vertical="center"/>
    </xf>
    <xf numFmtId="0" fontId="0" fillId="0" borderId="0" xfId="0" applyFont="1" applyFill="1" applyBorder="1" applyAlignment="1">
      <alignment vertical="center"/>
    </xf>
    <xf numFmtId="0" fontId="0" fillId="0" borderId="0" xfId="0" applyFont="1" applyFill="1" applyAlignment="1">
      <alignment vertical="center"/>
    </xf>
    <xf numFmtId="0" fontId="42" fillId="32" borderId="125" xfId="0" applyNumberFormat="1" applyFont="1" applyFill="1" applyBorder="1" applyAlignment="1" applyProtection="1">
      <alignment horizontal="center" vertical="center" wrapText="1" readingOrder="1"/>
    </xf>
    <xf numFmtId="0" fontId="0" fillId="0" borderId="0" xfId="0" applyFill="1" applyBorder="1" applyAlignment="1">
      <alignment vertical="center"/>
    </xf>
    <xf numFmtId="0" fontId="1" fillId="65" borderId="0" xfId="0" applyNumberFormat="1" applyFont="1" applyFill="1" applyBorder="1" applyAlignment="1" applyProtection="1">
      <alignment vertical="center"/>
    </xf>
    <xf numFmtId="0" fontId="0" fillId="73" borderId="126" xfId="0" applyNumberFormat="1" applyFont="1" applyFill="1" applyBorder="1" applyAlignment="1" applyProtection="1">
      <alignment horizontal="center" vertical="center"/>
    </xf>
    <xf numFmtId="0" fontId="19" fillId="0" borderId="30" xfId="0" applyFont="1" applyBorder="1" applyAlignment="1">
      <alignment vertical="center" wrapText="1" readingOrder="1"/>
    </xf>
    <xf numFmtId="0" fontId="0" fillId="73" borderId="128" xfId="0" applyNumberFormat="1" applyFont="1" applyFill="1" applyBorder="1" applyAlignment="1" applyProtection="1">
      <alignment horizontal="center" vertical="center"/>
    </xf>
    <xf numFmtId="0" fontId="18" fillId="0" borderId="30" xfId="0" applyFont="1" applyFill="1" applyBorder="1" applyAlignment="1">
      <alignment vertical="center" wrapText="1" readingOrder="1"/>
    </xf>
    <xf numFmtId="0" fontId="18" fillId="0" borderId="31" xfId="0" applyFont="1" applyFill="1" applyBorder="1" applyAlignment="1">
      <alignment vertical="center" wrapText="1" readingOrder="1"/>
    </xf>
    <xf numFmtId="0" fontId="0" fillId="0" borderId="26" xfId="0" applyFont="1" applyFill="1" applyBorder="1" applyAlignment="1"/>
    <xf numFmtId="0" fontId="0" fillId="0" borderId="6" xfId="0" applyFont="1" applyFill="1" applyBorder="1" applyAlignment="1"/>
    <xf numFmtId="0" fontId="0" fillId="9" borderId="17" xfId="0" applyFont="1" applyFill="1" applyBorder="1" applyAlignment="1"/>
    <xf numFmtId="0" fontId="0" fillId="9" borderId="5" xfId="0" applyFont="1" applyFill="1" applyBorder="1" applyAlignment="1"/>
    <xf numFmtId="0" fontId="0" fillId="9" borderId="129" xfId="0" applyFont="1" applyFill="1" applyBorder="1" applyAlignment="1"/>
    <xf numFmtId="0" fontId="0" fillId="9" borderId="26" xfId="0" applyFont="1" applyFill="1" applyBorder="1" applyAlignment="1"/>
    <xf numFmtId="0" fontId="0" fillId="9" borderId="130" xfId="0" applyFont="1" applyFill="1" applyBorder="1" applyAlignment="1"/>
    <xf numFmtId="0" fontId="0" fillId="9" borderId="131" xfId="0" applyFont="1" applyFill="1" applyBorder="1" applyAlignment="1"/>
    <xf numFmtId="0" fontId="0" fillId="9" borderId="94" xfId="0" applyFont="1" applyFill="1" applyBorder="1" applyAlignment="1"/>
    <xf numFmtId="0" fontId="0" fillId="9" borderId="132" xfId="0" applyFont="1" applyFill="1" applyBorder="1" applyAlignment="1"/>
    <xf numFmtId="0" fontId="0" fillId="9" borderId="133" xfId="0" applyFont="1" applyFill="1" applyBorder="1" applyAlignment="1"/>
    <xf numFmtId="0" fontId="0" fillId="9" borderId="134" xfId="0" applyFont="1" applyFill="1" applyBorder="1" applyAlignment="1"/>
    <xf numFmtId="0" fontId="0" fillId="9" borderId="135" xfId="0" applyFont="1" applyFill="1" applyBorder="1" applyAlignment="1"/>
    <xf numFmtId="0" fontId="0" fillId="9" borderId="136" xfId="0" applyFont="1" applyFill="1" applyBorder="1" applyAlignment="1"/>
    <xf numFmtId="0" fontId="0" fillId="9" borderId="137" xfId="0" applyFont="1" applyFill="1" applyBorder="1" applyAlignment="1"/>
    <xf numFmtId="0" fontId="0" fillId="9" borderId="28" xfId="0" applyFont="1" applyFill="1" applyBorder="1" applyAlignment="1"/>
    <xf numFmtId="0" fontId="0" fillId="70" borderId="0" xfId="0" applyNumberFormat="1" applyFont="1" applyFill="1" applyBorder="1" applyAlignment="1" applyProtection="1">
      <alignment horizontal="center" vertical="center"/>
    </xf>
    <xf numFmtId="0" fontId="0" fillId="9" borderId="0" xfId="0" applyFont="1" applyFill="1" applyAlignment="1"/>
    <xf numFmtId="0" fontId="0" fillId="9" borderId="138" xfId="0" applyFont="1" applyFill="1" applyBorder="1" applyAlignment="1"/>
    <xf numFmtId="0" fontId="0" fillId="67" borderId="0" xfId="0" applyNumberFormat="1" applyFont="1" applyFill="1" applyBorder="1" applyAlignment="1" applyProtection="1">
      <alignment horizontal="center" vertical="center"/>
    </xf>
    <xf numFmtId="0" fontId="0" fillId="0" borderId="97" xfId="0" applyFont="1" applyFill="1" applyBorder="1" applyAlignment="1"/>
    <xf numFmtId="0" fontId="0" fillId="0" borderId="139" xfId="0" applyFont="1" applyFill="1" applyBorder="1" applyAlignment="1"/>
    <xf numFmtId="0" fontId="0" fillId="9" borderId="140" xfId="0" applyFont="1" applyFill="1" applyBorder="1" applyAlignment="1"/>
    <xf numFmtId="0" fontId="0" fillId="9" borderId="141" xfId="0" applyFont="1" applyFill="1" applyBorder="1" applyAlignment="1"/>
    <xf numFmtId="0" fontId="0" fillId="9" borderId="142" xfId="0" applyFont="1" applyFill="1" applyBorder="1" applyAlignment="1"/>
    <xf numFmtId="0" fontId="1" fillId="67" borderId="0" xfId="0" applyNumberFormat="1" applyFont="1" applyFill="1" applyBorder="1" applyAlignment="1" applyProtection="1">
      <alignment horizontal="center" vertical="center"/>
    </xf>
    <xf numFmtId="0" fontId="0" fillId="4" borderId="6" xfId="0" applyFont="1" applyFill="1" applyBorder="1" applyAlignment="1"/>
    <xf numFmtId="0" fontId="0" fillId="9" borderId="143" xfId="0" applyFont="1" applyFill="1" applyBorder="1" applyAlignment="1"/>
    <xf numFmtId="0" fontId="0" fillId="9" borderId="144" xfId="0" applyFont="1" applyFill="1" applyBorder="1" applyAlignment="1"/>
    <xf numFmtId="0" fontId="0" fillId="0" borderId="131" xfId="0" applyFont="1" applyFill="1" applyBorder="1" applyAlignment="1"/>
    <xf numFmtId="0" fontId="0" fillId="9" borderId="139" xfId="0" applyFont="1" applyFill="1" applyBorder="1" applyAlignment="1"/>
    <xf numFmtId="0" fontId="0" fillId="9" borderId="145" xfId="0" applyFont="1" applyFill="1" applyBorder="1" applyAlignment="1"/>
    <xf numFmtId="0" fontId="0" fillId="9" borderId="146" xfId="0" applyFont="1" applyFill="1" applyBorder="1" applyAlignment="1"/>
    <xf numFmtId="0" fontId="0" fillId="9" borderId="6" xfId="0" applyFont="1" applyFill="1" applyBorder="1" applyAlignment="1"/>
    <xf numFmtId="0" fontId="0" fillId="9" borderId="8" xfId="0" applyFont="1" applyFill="1" applyBorder="1" applyAlignment="1"/>
    <xf numFmtId="0" fontId="0" fillId="4" borderId="0" xfId="0" applyFill="1" applyAlignment="1" quotePrefix="1"/>
    <xf numFmtId="22" fontId="0" fillId="4" borderId="0" xfId="0" applyNumberFormat="1" applyFill="1" applyAlignment="1" quotePrefix="1">
      <alignment horizontal="center"/>
    </xf>
    <xf numFmtId="16" fontId="0" fillId="0" borderId="43" xfId="0" applyNumberFormat="1" applyFill="1" applyBorder="1" applyAlignment="1" quotePrefix="1">
      <alignment horizontal="right"/>
    </xf>
    <xf numFmtId="0" fontId="0" fillId="0" borderId="49" xfId="0" applyFill="1" applyBorder="1" applyAlignment="1" quotePrefix="1"/>
    <xf numFmtId="0" fontId="0" fillId="4" borderId="0" xfId="0" applyFill="1" applyAlignment="1" quotePrefix="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7">
    <dxf/>
    <dxf>
      <font>
        <color auto="1"/>
      </font>
    </dxf>
    <dxf/>
    <dxf/>
    <dxf/>
    <dxf/>
    <dxf>
      <alignment horizontal="left" vertical="center"/>
    </dxf>
    <dxf>
      <alignment horizontal="left" vertical="center"/>
    </dxf>
    <dxf/>
    <dxf/>
    <dxf/>
    <dxf/>
    <dxf>
      <alignment horizontal="left"/>
    </dxf>
    <dxf/>
    <dxf>
      <font>
        <name val="宋体"/>
        <scheme val="none"/>
        <charset val="134"/>
        <family val="0"/>
        <b val="0"/>
        <i val="0"/>
        <strike val="0"/>
        <u val="none"/>
        <sz val="11"/>
        <color auto="1"/>
      </font>
    </dxf>
    <dxf/>
    <dxf/>
    <dxf/>
    <dxf/>
    <dxf/>
    <dxf>
      <font>
        <name val="宋体"/>
        <scheme val="none"/>
        <charset val="134"/>
        <family val="0"/>
        <b val="0"/>
        <i val="0"/>
        <strike val="0"/>
        <u val="none"/>
        <sz val="11"/>
        <color theme="1"/>
      </font>
      <fill>
        <patternFill patternType="none"/>
      </fill>
    </dxf>
    <dxf>
      <font>
        <name val="宋体"/>
        <scheme val="none"/>
        <charset val="134"/>
        <family val="0"/>
        <b val="0"/>
        <i val="0"/>
        <strike val="0"/>
        <u val="none"/>
        <sz val="11"/>
        <color theme="1"/>
      </font>
      <fill>
        <patternFill patternType="none"/>
      </fill>
    </dxf>
    <dxf/>
    <dxf/>
    <dxf>
      <fill>
        <patternFill patternType="none"/>
      </fill>
    </dxf>
    <dxf>
      <fill>
        <patternFill patternType="none"/>
      </fill>
    </dxf>
    <dxf>
      <fill>
        <patternFill patternType="none"/>
      </fill>
    </dxf>
    <dxf>
      <fill>
        <patternFill patternType="none"/>
      </fill>
    </dxf>
    <dxf>
      <fill>
        <patternFill patternType="none"/>
      </fill>
    </dxf>
    <dxf/>
    <dxf/>
    <dxf/>
    <dxf/>
    <dxf/>
    <dxf/>
    <dxf/>
    <dxf>
      <font>
        <color rgb="FF9C0006"/>
      </font>
      <fill>
        <patternFill patternType="solid">
          <bgColor rgb="FFFFC7CE"/>
        </patternFill>
      </fill>
    </dxf>
    <dxf>
      <font>
        <color rgb="FFFF0000"/>
      </font>
    </dxf>
    <dxf>
      <font>
        <b val="1"/>
        <i val="1"/>
        <strike val="1"/>
        <u val="none"/>
        <color rgb="FF7030A0"/>
      </font>
    </dxf>
    <dxf>
      <font>
        <b val="1"/>
        <i val="0"/>
        <color rgb="FFFF0000"/>
      </font>
    </dxf>
    <dxf>
      <font>
        <b val="1"/>
        <i val="0"/>
        <color auto="1"/>
      </font>
    </dxf>
    <dxf>
      <fill>
        <patternFill patternType="solid">
          <bgColor rgb="FFFFC7CE"/>
        </patternFill>
      </fill>
    </dxf>
    <dxf>
      <fill>
        <patternFill patternType="solid">
          <fgColor rgb="FF92D050"/>
          <bgColor rgb="FF000000"/>
        </patternFill>
      </fill>
    </dxf>
    <dxf>
      <fill>
        <patternFill patternType="solid">
          <fgColor rgb="FFFFF2CC"/>
          <bgColor rgb="FF000000"/>
        </patternFill>
      </fill>
    </dxf>
    <dxf>
      <fill>
        <patternFill patternType="solid">
          <fgColor rgb="FFFFE699"/>
          <bgColor rgb="FF000000"/>
        </patternFill>
      </fill>
    </dxf>
    <dxf>
      <fill>
        <patternFill patternType="solid">
          <fgColor rgb="FFF4B084"/>
          <bgColor rgb="FF000000"/>
        </patternFill>
      </fill>
    </dxf>
    <dxf>
      <fill>
        <patternFill patternType="solid">
          <fgColor rgb="FFFF8B8B"/>
          <bgColor rgb="FF000000"/>
        </patternFill>
      </fill>
    </dxf>
    <dxf>
      <font>
        <b val="0"/>
        <color auto="1"/>
      </font>
    </dxf>
    <dxf>
      <fill>
        <patternFill patternType="none"/>
      </fill>
    </dxf>
    <dxf>
      <fill>
        <patternFill patternType="none"/>
      </fill>
    </dxf>
    <dxf>
      <fill>
        <patternFill patternType="none"/>
      </fill>
    </dxf>
    <dxf>
      <font>
        <b val="1"/>
        <i val="0"/>
        <color rgb="FFFF0000"/>
      </font>
    </dxf>
    <dxf>
      <fill>
        <patternFill patternType="solid">
          <fgColor rgb="FF548235"/>
          <bgColor rgb="FF000000"/>
        </patternFill>
      </fill>
    </dxf>
    <dxf>
      <fill>
        <patternFill patternType="solid">
          <fgColor rgb="FF92D050"/>
          <bgColor rgb="FF000000"/>
        </patternFill>
      </fill>
    </dxf>
    <dxf>
      <fill>
        <patternFill patternType="solid">
          <fgColor rgb="FFFFE699"/>
          <bgColor rgb="FF000000"/>
        </patternFill>
      </fill>
    </dxf>
    <dxf>
      <fill>
        <patternFill patternType="solid">
          <fgColor rgb="FFF4B084"/>
          <bgColor rgb="FF000000"/>
        </patternFill>
      </fill>
    </dxf>
    <dxf>
      <fill>
        <patternFill patternType="solid">
          <fgColor rgb="FFFF8B8B"/>
          <bgColor rgb="FF000000"/>
        </patternFill>
      </fill>
    </dxf>
  </dxfs>
  <tableStyles count="0" defaultTableStyle="TableStyleMedium2" defaultPivotStyle="PivotStyleLight16"/>
  <colors>
    <mruColors>
      <color rgb="00FF9999"/>
      <color rgb="00FDEFC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haredStrings" Target="sharedStrings.xml"/><Relationship Id="rId26" Type="http://schemas.openxmlformats.org/officeDocument/2006/relationships/styles" Target="styles.xml"/><Relationship Id="rId25" Type="http://schemas.openxmlformats.org/officeDocument/2006/relationships/theme" Target="theme/theme1.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customXml" Target="../customXml/item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26</xdr:col>
      <xdr:colOff>42545</xdr:colOff>
      <xdr:row>84</xdr:row>
      <xdr:rowOff>135255</xdr:rowOff>
    </xdr:from>
    <xdr:to>
      <xdr:col>42</xdr:col>
      <xdr:colOff>245745</xdr:colOff>
      <xdr:row>106</xdr:row>
      <xdr:rowOff>87630</xdr:rowOff>
    </xdr:to>
    <xdr:pic>
      <xdr:nvPicPr>
        <xdr:cNvPr id="2" name="图片 1"/>
        <xdr:cNvPicPr>
          <a:picLocks noChangeAspect="1"/>
        </xdr:cNvPicPr>
      </xdr:nvPicPr>
      <xdr:blipFill>
        <a:blip r:embed="rId1"/>
        <a:stretch>
          <a:fillRect/>
        </a:stretch>
      </xdr:blipFill>
      <xdr:spPr>
        <a:xfrm>
          <a:off x="13024485" y="14651355"/>
          <a:ext cx="6000750" cy="3724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26</xdr:row>
      <xdr:rowOff>0</xdr:rowOff>
    </xdr:from>
    <xdr:to>
      <xdr:col>0</xdr:col>
      <xdr:colOff>304800</xdr:colOff>
      <xdr:row>27</xdr:row>
      <xdr:rowOff>85725</xdr:rowOff>
    </xdr:to>
    <xdr:pic>
      <xdr:nvPicPr>
        <xdr:cNvPr id="2" name="图片 1" descr="图片"/>
        <xdr:cNvPicPr>
          <a:picLocks noChangeAspect="1"/>
        </xdr:cNvPicPr>
      </xdr:nvPicPr>
      <xdr:blipFill>
        <a:stretch>
          <a:fillRect/>
        </a:stretch>
      </xdr:blipFill>
      <xdr:spPr>
        <a:xfrm>
          <a:off x="0" y="5095875"/>
          <a:ext cx="304800" cy="304800"/>
        </a:xfrm>
        <a:prstGeom prst="rect">
          <a:avLst/>
        </a:prstGeom>
        <a:noFill/>
        <a:ln>
          <a:noFill/>
        </a:ln>
      </xdr:spPr>
    </xdr:pic>
    <xdr:clientData/>
  </xdr:twoCellAnchor>
  <xdr:twoCellAnchor editAs="oneCell">
    <xdr:from>
      <xdr:col>0</xdr:col>
      <xdr:colOff>0</xdr:colOff>
      <xdr:row>26</xdr:row>
      <xdr:rowOff>0</xdr:rowOff>
    </xdr:from>
    <xdr:to>
      <xdr:col>0</xdr:col>
      <xdr:colOff>304800</xdr:colOff>
      <xdr:row>26</xdr:row>
      <xdr:rowOff>57150</xdr:rowOff>
    </xdr:to>
    <xdr:pic>
      <xdr:nvPicPr>
        <xdr:cNvPr id="3" name="图片 2"/>
        <xdr:cNvPicPr>
          <a:picLocks noChangeAspect="1"/>
        </xdr:cNvPicPr>
      </xdr:nvPicPr>
      <xdr:blipFill>
        <a:blip r:embed="rId1"/>
        <a:stretch>
          <a:fillRect/>
        </a:stretch>
      </xdr:blipFill>
      <xdr:spPr>
        <a:xfrm>
          <a:off x="0" y="5095875"/>
          <a:ext cx="304800" cy="57150"/>
        </a:xfrm>
        <a:prstGeom prst="rect">
          <a:avLst/>
        </a:prstGeom>
        <a:noFill/>
        <a:ln>
          <a:noFill/>
        </a:ln>
      </xdr:spPr>
    </xdr:pic>
    <xdr:clientData/>
  </xdr:twoCellAnchor>
  <xdr:twoCellAnchor editAs="oneCell">
    <xdr:from>
      <xdr:col>0</xdr:col>
      <xdr:colOff>0</xdr:colOff>
      <xdr:row>61</xdr:row>
      <xdr:rowOff>0</xdr:rowOff>
    </xdr:from>
    <xdr:to>
      <xdr:col>0</xdr:col>
      <xdr:colOff>457200</xdr:colOff>
      <xdr:row>63</xdr:row>
      <xdr:rowOff>19050</xdr:rowOff>
    </xdr:to>
    <xdr:pic>
      <xdr:nvPicPr>
        <xdr:cNvPr id="4" name="图片 3"/>
        <xdr:cNvPicPr>
          <a:picLocks noChangeAspect="1"/>
        </xdr:cNvPicPr>
      </xdr:nvPicPr>
      <xdr:blipFill>
        <a:stretch>
          <a:fillRect/>
        </a:stretch>
      </xdr:blipFill>
      <xdr:spPr>
        <a:xfrm>
          <a:off x="0" y="12668250"/>
          <a:ext cx="457200" cy="457200"/>
        </a:xfrm>
        <a:prstGeom prst="rect">
          <a:avLst/>
        </a:prstGeom>
        <a:noFill/>
        <a:ln w="9525">
          <a:noFill/>
        </a:ln>
      </xdr:spPr>
    </xdr:pic>
    <xdr:clientData/>
  </xdr:twoCellAnchor>
  <xdr:twoCellAnchor editAs="oneCell">
    <xdr:from>
      <xdr:col>0</xdr:col>
      <xdr:colOff>0</xdr:colOff>
      <xdr:row>88</xdr:row>
      <xdr:rowOff>0</xdr:rowOff>
    </xdr:from>
    <xdr:to>
      <xdr:col>0</xdr:col>
      <xdr:colOff>457200</xdr:colOff>
      <xdr:row>90</xdr:row>
      <xdr:rowOff>19050</xdr:rowOff>
    </xdr:to>
    <xdr:pic>
      <xdr:nvPicPr>
        <xdr:cNvPr id="5" name="图片 4"/>
        <xdr:cNvPicPr>
          <a:picLocks noChangeAspect="1"/>
        </xdr:cNvPicPr>
      </xdr:nvPicPr>
      <xdr:blipFill>
        <a:stretch>
          <a:fillRect/>
        </a:stretch>
      </xdr:blipFill>
      <xdr:spPr>
        <a:xfrm>
          <a:off x="0" y="19631025"/>
          <a:ext cx="457200" cy="457200"/>
        </a:xfrm>
        <a:prstGeom prst="rect">
          <a:avLst/>
        </a:prstGeom>
        <a:noFill/>
        <a:ln w="9525">
          <a:noFill/>
        </a:ln>
      </xdr:spPr>
    </xdr:pic>
    <xdr:clientData/>
  </xdr:twoCellAnchor>
  <xdr:twoCellAnchor editAs="oneCell">
    <xdr:from>
      <xdr:col>0</xdr:col>
      <xdr:colOff>0</xdr:colOff>
      <xdr:row>114</xdr:row>
      <xdr:rowOff>0</xdr:rowOff>
    </xdr:from>
    <xdr:to>
      <xdr:col>0</xdr:col>
      <xdr:colOff>304800</xdr:colOff>
      <xdr:row>115</xdr:row>
      <xdr:rowOff>85725</xdr:rowOff>
    </xdr:to>
    <xdr:pic>
      <xdr:nvPicPr>
        <xdr:cNvPr id="6" name="图片 5" descr="图片"/>
        <xdr:cNvPicPr>
          <a:picLocks noChangeAspect="1"/>
        </xdr:cNvPicPr>
      </xdr:nvPicPr>
      <xdr:blipFill>
        <a:stretch>
          <a:fillRect/>
        </a:stretch>
      </xdr:blipFill>
      <xdr:spPr>
        <a:xfrm>
          <a:off x="0" y="26422350"/>
          <a:ext cx="304800" cy="304800"/>
        </a:xfrm>
        <a:prstGeom prst="rect">
          <a:avLst/>
        </a:prstGeom>
        <a:noFill/>
        <a:ln>
          <a:noFill/>
        </a:ln>
      </xdr:spPr>
    </xdr:pic>
    <xdr:clientData/>
  </xdr:twoCellAnchor>
  <xdr:twoCellAnchor editAs="oneCell">
    <xdr:from>
      <xdr:col>0</xdr:col>
      <xdr:colOff>0</xdr:colOff>
      <xdr:row>128</xdr:row>
      <xdr:rowOff>0</xdr:rowOff>
    </xdr:from>
    <xdr:to>
      <xdr:col>0</xdr:col>
      <xdr:colOff>304800</xdr:colOff>
      <xdr:row>129</xdr:row>
      <xdr:rowOff>85725</xdr:rowOff>
    </xdr:to>
    <xdr:pic>
      <xdr:nvPicPr>
        <xdr:cNvPr id="7" name="图片 6" descr="图片"/>
        <xdr:cNvPicPr>
          <a:picLocks noChangeAspect="1"/>
        </xdr:cNvPicPr>
      </xdr:nvPicPr>
      <xdr:blipFill>
        <a:stretch>
          <a:fillRect/>
        </a:stretch>
      </xdr:blipFill>
      <xdr:spPr>
        <a:xfrm>
          <a:off x="0" y="29517975"/>
          <a:ext cx="304800" cy="304800"/>
        </a:xfrm>
        <a:prstGeom prst="rect">
          <a:avLst/>
        </a:prstGeom>
        <a:noFill/>
        <a:ln>
          <a:noFill/>
        </a:ln>
      </xdr:spPr>
    </xdr:pic>
    <xdr:clientData/>
  </xdr:twoCellAnchor>
  <xdr:twoCellAnchor editAs="oneCell">
    <xdr:from>
      <xdr:col>0</xdr:col>
      <xdr:colOff>0</xdr:colOff>
      <xdr:row>170</xdr:row>
      <xdr:rowOff>0</xdr:rowOff>
    </xdr:from>
    <xdr:to>
      <xdr:col>0</xdr:col>
      <xdr:colOff>304800</xdr:colOff>
      <xdr:row>171</xdr:row>
      <xdr:rowOff>85725</xdr:rowOff>
    </xdr:to>
    <xdr:pic>
      <xdr:nvPicPr>
        <xdr:cNvPr id="8" name="图片 7" descr="图片"/>
        <xdr:cNvPicPr>
          <a:picLocks noChangeAspect="1"/>
        </xdr:cNvPicPr>
      </xdr:nvPicPr>
      <xdr:blipFill>
        <a:stretch>
          <a:fillRect/>
        </a:stretch>
      </xdr:blipFill>
      <xdr:spPr>
        <a:xfrm>
          <a:off x="0" y="38881050"/>
          <a:ext cx="304800" cy="304800"/>
        </a:xfrm>
        <a:prstGeom prst="rect">
          <a:avLst/>
        </a:prstGeom>
        <a:noFill/>
        <a:ln>
          <a:noFill/>
        </a:ln>
      </xdr:spPr>
    </xdr:pic>
    <xdr:clientData/>
  </xdr:twoCellAnchor>
  <xdr:twoCellAnchor editAs="oneCell">
    <xdr:from>
      <xdr:col>0</xdr:col>
      <xdr:colOff>0</xdr:colOff>
      <xdr:row>185</xdr:row>
      <xdr:rowOff>0</xdr:rowOff>
    </xdr:from>
    <xdr:to>
      <xdr:col>0</xdr:col>
      <xdr:colOff>304800</xdr:colOff>
      <xdr:row>186</xdr:row>
      <xdr:rowOff>85725</xdr:rowOff>
    </xdr:to>
    <xdr:pic>
      <xdr:nvPicPr>
        <xdr:cNvPr id="9" name="图片 8" descr="图片"/>
        <xdr:cNvPicPr>
          <a:picLocks noChangeAspect="1"/>
        </xdr:cNvPicPr>
      </xdr:nvPicPr>
      <xdr:blipFill>
        <a:stretch>
          <a:fillRect/>
        </a:stretch>
      </xdr:blipFill>
      <xdr:spPr>
        <a:xfrm>
          <a:off x="0" y="41976675"/>
          <a:ext cx="304800" cy="304800"/>
        </a:xfrm>
        <a:prstGeom prst="rect">
          <a:avLst/>
        </a:prstGeom>
        <a:noFill/>
        <a:ln>
          <a:noFill/>
        </a:ln>
      </xdr:spPr>
    </xdr:pic>
    <xdr:clientData/>
  </xdr:twoCellAnchor>
  <xdr:twoCellAnchor editAs="oneCell">
    <xdr:from>
      <xdr:col>0</xdr:col>
      <xdr:colOff>0</xdr:colOff>
      <xdr:row>188</xdr:row>
      <xdr:rowOff>0</xdr:rowOff>
    </xdr:from>
    <xdr:to>
      <xdr:col>0</xdr:col>
      <xdr:colOff>304800</xdr:colOff>
      <xdr:row>189</xdr:row>
      <xdr:rowOff>85725</xdr:rowOff>
    </xdr:to>
    <xdr:pic>
      <xdr:nvPicPr>
        <xdr:cNvPr id="10" name="图片 9" descr="图片"/>
        <xdr:cNvPicPr>
          <a:picLocks noChangeAspect="1"/>
        </xdr:cNvPicPr>
      </xdr:nvPicPr>
      <xdr:blipFill>
        <a:stretch>
          <a:fillRect/>
        </a:stretch>
      </xdr:blipFill>
      <xdr:spPr>
        <a:xfrm>
          <a:off x="0" y="42595800"/>
          <a:ext cx="304800" cy="304800"/>
        </a:xfrm>
        <a:prstGeom prst="rect">
          <a:avLst/>
        </a:prstGeom>
        <a:noFill/>
        <a:ln>
          <a:noFill/>
        </a:ln>
      </xdr:spPr>
    </xdr:pic>
    <xdr:clientData/>
  </xdr:twoCellAnchor>
  <xdr:twoCellAnchor editAs="oneCell">
    <xdr:from>
      <xdr:col>0</xdr:col>
      <xdr:colOff>0</xdr:colOff>
      <xdr:row>200</xdr:row>
      <xdr:rowOff>0</xdr:rowOff>
    </xdr:from>
    <xdr:to>
      <xdr:col>0</xdr:col>
      <xdr:colOff>457200</xdr:colOff>
      <xdr:row>202</xdr:row>
      <xdr:rowOff>19050</xdr:rowOff>
    </xdr:to>
    <xdr:pic>
      <xdr:nvPicPr>
        <xdr:cNvPr id="11" name="图片 10" descr=":stareyes:"/>
        <xdr:cNvPicPr>
          <a:picLocks noChangeAspect="1"/>
        </xdr:cNvPicPr>
      </xdr:nvPicPr>
      <xdr:blipFill>
        <a:stretch>
          <a:fillRect/>
        </a:stretch>
      </xdr:blipFill>
      <xdr:spPr>
        <a:xfrm>
          <a:off x="0" y="47224950"/>
          <a:ext cx="457200" cy="457200"/>
        </a:xfrm>
        <a:prstGeom prst="rect">
          <a:avLst/>
        </a:prstGeom>
        <a:noFill/>
        <a:ln w="9525">
          <a:noFill/>
        </a:ln>
      </xdr:spPr>
    </xdr:pic>
    <xdr:clientData/>
  </xdr:twoCellAnchor>
  <xdr:twoCellAnchor editAs="oneCell">
    <xdr:from>
      <xdr:col>0</xdr:col>
      <xdr:colOff>0</xdr:colOff>
      <xdr:row>210</xdr:row>
      <xdr:rowOff>0</xdr:rowOff>
    </xdr:from>
    <xdr:to>
      <xdr:col>0</xdr:col>
      <xdr:colOff>209550</xdr:colOff>
      <xdr:row>210</xdr:row>
      <xdr:rowOff>209550</xdr:rowOff>
    </xdr:to>
    <xdr:pic>
      <xdr:nvPicPr>
        <xdr:cNvPr id="12" name="图片 11" descr=":xD:"/>
        <xdr:cNvPicPr>
          <a:picLocks noChangeAspect="1"/>
        </xdr:cNvPicPr>
      </xdr:nvPicPr>
      <xdr:blipFill>
        <a:stretch>
          <a:fillRect/>
        </a:stretch>
      </xdr:blipFill>
      <xdr:spPr>
        <a:xfrm>
          <a:off x="0" y="50139600"/>
          <a:ext cx="209550" cy="209550"/>
        </a:xfrm>
        <a:prstGeom prst="rect">
          <a:avLst/>
        </a:prstGeom>
        <a:noFill/>
        <a:ln w="9525">
          <a:noFill/>
        </a:ln>
      </xdr:spPr>
    </xdr:pic>
    <xdr:clientData/>
  </xdr:twoCellAnchor>
  <xdr:twoCellAnchor editAs="oneCell">
    <xdr:from>
      <xdr:col>0</xdr:col>
      <xdr:colOff>0</xdr:colOff>
      <xdr:row>218</xdr:row>
      <xdr:rowOff>0</xdr:rowOff>
    </xdr:from>
    <xdr:to>
      <xdr:col>0</xdr:col>
      <xdr:colOff>209550</xdr:colOff>
      <xdr:row>218</xdr:row>
      <xdr:rowOff>209550</xdr:rowOff>
    </xdr:to>
    <xdr:pic>
      <xdr:nvPicPr>
        <xdr:cNvPr id="13" name="图片 12"/>
        <xdr:cNvPicPr>
          <a:picLocks noChangeAspect="1"/>
        </xdr:cNvPicPr>
      </xdr:nvPicPr>
      <xdr:blipFill>
        <a:stretch>
          <a:fillRect/>
        </a:stretch>
      </xdr:blipFill>
      <xdr:spPr>
        <a:xfrm>
          <a:off x="0" y="51825525"/>
          <a:ext cx="209550" cy="209550"/>
        </a:xfrm>
        <a:prstGeom prst="rect">
          <a:avLst/>
        </a:prstGeom>
        <a:noFill/>
        <a:ln w="9525">
          <a:noFill/>
        </a:ln>
      </xdr:spPr>
    </xdr:pic>
    <xdr:clientData/>
  </xdr:twoCellAnchor>
  <xdr:twoCellAnchor editAs="oneCell">
    <xdr:from>
      <xdr:col>0</xdr:col>
      <xdr:colOff>0</xdr:colOff>
      <xdr:row>221</xdr:row>
      <xdr:rowOff>0</xdr:rowOff>
    </xdr:from>
    <xdr:to>
      <xdr:col>0</xdr:col>
      <xdr:colOff>304800</xdr:colOff>
      <xdr:row>222</xdr:row>
      <xdr:rowOff>85725</xdr:rowOff>
    </xdr:to>
    <xdr:pic>
      <xdr:nvPicPr>
        <xdr:cNvPr id="14" name="图片 13" descr="图片"/>
        <xdr:cNvPicPr>
          <a:picLocks noChangeAspect="1"/>
        </xdr:cNvPicPr>
      </xdr:nvPicPr>
      <xdr:blipFill>
        <a:stretch>
          <a:fillRect/>
        </a:stretch>
      </xdr:blipFill>
      <xdr:spPr>
        <a:xfrm>
          <a:off x="0" y="52482750"/>
          <a:ext cx="304800" cy="304800"/>
        </a:xfrm>
        <a:prstGeom prst="rect">
          <a:avLst/>
        </a:prstGeom>
        <a:noFill/>
        <a:ln>
          <a:noFill/>
        </a:ln>
      </xdr:spPr>
    </xdr:pic>
    <xdr:clientData/>
  </xdr:twoCellAnchor>
  <xdr:twoCellAnchor editAs="oneCell">
    <xdr:from>
      <xdr:col>0</xdr:col>
      <xdr:colOff>0</xdr:colOff>
      <xdr:row>344</xdr:row>
      <xdr:rowOff>0</xdr:rowOff>
    </xdr:from>
    <xdr:to>
      <xdr:col>0</xdr:col>
      <xdr:colOff>304800</xdr:colOff>
      <xdr:row>345</xdr:row>
      <xdr:rowOff>133350</xdr:rowOff>
    </xdr:to>
    <xdr:pic>
      <xdr:nvPicPr>
        <xdr:cNvPr id="15" name="图片 14" descr="图片"/>
        <xdr:cNvPicPr>
          <a:picLocks noChangeAspect="1"/>
        </xdr:cNvPicPr>
      </xdr:nvPicPr>
      <xdr:blipFill>
        <a:stretch>
          <a:fillRect/>
        </a:stretch>
      </xdr:blipFill>
      <xdr:spPr>
        <a:xfrm>
          <a:off x="0" y="81143475"/>
          <a:ext cx="304800" cy="304800"/>
        </a:xfrm>
        <a:prstGeom prst="rect">
          <a:avLst/>
        </a:prstGeom>
        <a:noFill/>
        <a:ln>
          <a:noFill/>
        </a:ln>
      </xdr:spPr>
    </xdr:pic>
    <xdr:clientData/>
  </xdr:twoCellAnchor>
  <xdr:twoCellAnchor editAs="oneCell">
    <xdr:from>
      <xdr:col>0</xdr:col>
      <xdr:colOff>0</xdr:colOff>
      <xdr:row>344</xdr:row>
      <xdr:rowOff>0</xdr:rowOff>
    </xdr:from>
    <xdr:to>
      <xdr:col>0</xdr:col>
      <xdr:colOff>304800</xdr:colOff>
      <xdr:row>344</xdr:row>
      <xdr:rowOff>57150</xdr:rowOff>
    </xdr:to>
    <xdr:pic>
      <xdr:nvPicPr>
        <xdr:cNvPr id="16" name="图片 15"/>
        <xdr:cNvPicPr>
          <a:picLocks noChangeAspect="1"/>
        </xdr:cNvPicPr>
      </xdr:nvPicPr>
      <xdr:blipFill>
        <a:blip r:embed="rId2"/>
        <a:stretch>
          <a:fillRect/>
        </a:stretch>
      </xdr:blipFill>
      <xdr:spPr>
        <a:xfrm>
          <a:off x="0" y="81143475"/>
          <a:ext cx="304800" cy="571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EFR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S"/>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FRS"/>
    </sheetNames>
    <sheetDataSet>
      <sheetData sheetId="0" refreshError="1"/>
    </sheetDataSet>
  </externalBook>
</externalLink>
</file>

<file path=xl/tables/table1.xml><?xml version="1.0" encoding="utf-8"?>
<table xmlns="http://schemas.openxmlformats.org/spreadsheetml/2006/main" id="14" name="表14" displayName="表14" ref="A1:AJ69" totalsRowShown="0">
  <autoFilter ref="A1:AJ69"/>
  <sortState ref="A2:AJ69">
    <sortCondition ref="C2:C69" descending="1"/>
    <sortCondition ref="D2:D69"/>
  </sortState>
  <tableColumns count="36">
    <tableColumn id="1" name="名字" dataDxfId="0"/>
    <tableColumn id="2" name="中名" dataDxfId="1"/>
    <tableColumn id="3" name="手填&#10;等级" dataDxfId="2"/>
    <tableColumn id="5" name="获取" dataDxfId="3"/>
    <tableColumn id="6" name="稀有度(中文)" dataDxfId="4"/>
    <tableColumn id="7" name="技能描述翻译" dataDxfId="5"/>
    <tableColumn id="8" name="初始" dataDxfId="6"/>
    <tableColumn id="9" name="游戏内截图翻译（WA近战先手I远程先" dataDxfId="7"/>
    <tableColumn id="10" name="最佳" dataDxfId="8"/>
    <tableColumn id="11" name="最差" dataDxfId="9"/>
    <tableColumn id="12" name="技" dataDxfId="10"/>
    <tableColumn id="13" name="装备" dataDxfId="11"/>
    <tableColumn id="14" name="装备备注" dataDxfId="12"/>
    <tableColumn id="15" name="列1" dataDxfId="13"/>
    <tableColumn id="16" name="列3" dataDxfId="14"/>
    <tableColumn id="17" name="W" dataDxfId="15"/>
    <tableColumn id="18" name="A" dataDxfId="16"/>
    <tableColumn id="19" name="I" dataDxfId="17"/>
    <tableColumn id="20" name="F" dataDxfId="18"/>
    <tableColumn id="21" name="U" dataDxfId="19"/>
    <tableColumn id="22" name="总属" dataDxfId="20"/>
    <tableColumn id="23" name="列5" dataDxfId="21"/>
    <tableColumn id="24" name="等级&#10;推理" dataDxfId="22"/>
    <tableColumn id="25" name="列7" dataDxfId="23"/>
    <tableColumn id="26" name="W 意志(裸装)" dataDxfId="24"/>
    <tableColumn id="27" name="A 敏捷(裸装)" dataDxfId="25"/>
    <tableColumn id="28" name="I 智力(裸装)" dataDxfId="26"/>
    <tableColumn id="29" name="F 血量(裸装)" dataDxfId="27"/>
    <tableColumn id="30" name="U 免伤(裸装)" dataDxfId="28"/>
    <tableColumn id="31" name="列1222" dataDxfId="29"/>
    <tableColumn id="32" name="W 意志" dataDxfId="30"/>
    <tableColumn id="33" name="A 敏捷" dataDxfId="31"/>
    <tableColumn id="34" name="I 智力" dataDxfId="32"/>
    <tableColumn id="35" name="F 血量" dataDxfId="33"/>
    <tableColumn id="36" name="U 免伤" dataDxfId="34"/>
    <tableColumn id="37" name="列52" dataDxfId="35"/>
  </tableColumns>
  <tableStyleInfo showFirstColumn="0" showLastColumn="0" showRowStripes="1" showColumnStripes="0"/>
</table>
</file>

<file path=xl/tables/table2.xml><?xml version="1.0" encoding="utf-8"?>
<table xmlns="http://schemas.openxmlformats.org/spreadsheetml/2006/main" id="9" name="Table1716" displayName="Table1716" ref="AN1:AT55" totalsRowShown="0">
  <autoFilter ref="AN1:AT55"/>
  <tableColumns count="7">
    <tableColumn id="1" name="Name"/>
    <tableColumn id="2" name="W"/>
    <tableColumn id="3" name="A"/>
    <tableColumn id="4" name="I"/>
    <tableColumn id="5" name="F"/>
    <tableColumn id="6" name="U"/>
    <tableColumn id="7" name="Order"/>
  </tableColumns>
  <tableStyleInfo name="TableStyleDark7" showFirstColumn="0" showLastColumn="0" showRowStripes="1" showColumnStripes="0"/>
</table>
</file>

<file path=xl/tables/table3.xml><?xml version="1.0" encoding="utf-8"?>
<table xmlns="http://schemas.openxmlformats.org/spreadsheetml/2006/main" id="10" name="Table30" displayName="Table30" ref="I1:T51" totalsRowShown="0">
  <autoFilter ref="I1:T51"/>
  <sortState ref="I1:T51">
    <sortCondition ref="L1:L51" sortBy="cellColor" dxfId="42"/>
    <sortCondition ref="L1:L51" sortBy="cellColor" dxfId="43"/>
    <sortCondition ref="L1:L51" sortBy="cellColor" dxfId="44"/>
    <sortCondition ref="L1:L51" sortBy="cellColor" dxfId="45"/>
    <sortCondition ref="L1:L51" sortBy="cellColor" dxfId="46"/>
    <sortCondition ref="K1:K51"/>
  </sortState>
  <tableColumns count="12">
    <tableColumn id="1" name="列1"/>
    <tableColumn id="12" name="Owned"/>
    <tableColumn id="2" name="Order"/>
    <tableColumn id="3" name="Name"/>
    <tableColumn id="11" name="列12"/>
    <tableColumn id="4" name="W"/>
    <tableColumn id="5" name="A"/>
    <tableColumn id="6" name="I"/>
    <tableColumn id="7" name="F"/>
    <tableColumn id="8" name="U"/>
    <tableColumn id="9" name="Stat"/>
    <tableColumn id="10" name="Boost"/>
  </tableColumns>
  <tableStyleInfo name="TableStyleMedium23" showFirstColumn="0" showLastColumn="0" showRowStripes="1" showColumnStripes="0"/>
</table>
</file>

<file path=xl/tables/table4.xml><?xml version="1.0" encoding="utf-8"?>
<table xmlns="http://schemas.openxmlformats.org/spreadsheetml/2006/main" id="3" name="Table3215" displayName="Table3215" ref="C1:M54" totalsRowShown="0">
  <autoFilter ref="C1:M54"/>
  <sortState ref="C1:M54">
    <sortCondition ref="E1:E54"/>
  </sortState>
  <tableColumns count="11">
    <tableColumn id="1" name="拥有"/>
    <tableColumn id="10" name="列2"/>
    <tableColumn id="12" name="Name"/>
    <tableColumn id="8" name="列12"/>
    <tableColumn id="2" name="W"/>
    <tableColumn id="3" name="A"/>
    <tableColumn id="4" name="I"/>
    <tableColumn id="5" name="F"/>
    <tableColumn id="6" name="U"/>
    <tableColumn id="11" name="列3"/>
    <tableColumn id="7" name="Type"/>
  </tableColumns>
  <tableStyleInfo name="TableStyleMedium23" showFirstColumn="0" showLastColumn="0" showRowStripes="1" showColumnStripes="0"/>
</table>
</file>

<file path=xl/tables/table5.xml><?xml version="1.0" encoding="utf-8"?>
<table xmlns="http://schemas.openxmlformats.org/spreadsheetml/2006/main" id="4" name="Table3317" displayName="Table3317" ref="O1:X54" totalsRowShown="0">
  <autoFilter ref="O1:X54"/>
  <sortState ref="O1:X54">
    <sortCondition ref="Q1:Q54"/>
  </sortState>
  <tableColumns count="10">
    <tableColumn id="1" name="拥有" dataDxfId="47"/>
    <tableColumn id="11" name="列2"/>
    <tableColumn id="12" name="Name"/>
    <tableColumn id="8" name="列12"/>
    <tableColumn id="2" name="W"/>
    <tableColumn id="3" name="A"/>
    <tableColumn id="4" name="I"/>
    <tableColumn id="5" name="F"/>
    <tableColumn id="6" name="U"/>
    <tableColumn id="7" name="Type"/>
  </tableColumns>
  <tableStyleInfo name="TableStyleMedium23" showFirstColumn="0" showLastColumn="0" showRowStripes="1" showColumnStripes="0"/>
</table>
</file>

<file path=xl/tables/table6.xml><?xml version="1.0" encoding="utf-8"?>
<table xmlns="http://schemas.openxmlformats.org/spreadsheetml/2006/main" id="7" name="Table18" displayName="Table18" ref="Z1:AP54" totalsRowShown="0">
  <autoFilter ref="Z1:AP54"/>
  <sortState ref="Z1:AP54">
    <sortCondition ref="Z1"/>
  </sortState>
  <tableColumns count="17">
    <tableColumn id="13" name="列2" dataDxfId="48"/>
    <tableColumn id="17" name="Combo #"/>
    <tableColumn id="2" name="Name"/>
    <tableColumn id="12" name="列12"/>
    <tableColumn id="14" name="列3"/>
    <tableColumn id="3" name="W"/>
    <tableColumn id="4" name="A"/>
    <tableColumn id="5" name="I"/>
    <tableColumn id="6" name="F"/>
    <tableColumn id="7" name="U"/>
    <tableColumn id="8" name="Main"/>
    <tableColumn id="9" name="2nd"/>
    <tableColumn id="10" name="Role"/>
    <tableColumn id="16" name="Slot"/>
    <tableColumn id="1" name="列1"/>
    <tableColumn id="18" name="拥有"/>
    <tableColumn id="19" name="列6" dataDxfId="49"/>
  </tableColumns>
  <tableStyleInfo name="TableStyleMedium23" showFirstColumn="0" showLastColumn="0" showRowStripes="1" showColumnStripes="0"/>
</table>
</file>

<file path=xl/tables/table7.xml><?xml version="1.0" encoding="utf-8"?>
<table xmlns="http://schemas.openxmlformats.org/spreadsheetml/2006/main" id="8" name="Table2" displayName="Table2" ref="AY1:BI54" totalsRowShown="0">
  <autoFilter ref="AY1:BI54"/>
  <sortState ref="AY1:BI54">
    <sortCondition ref="BA1:BA54"/>
  </sortState>
  <tableColumns count="11">
    <tableColumn id="11" name="列12" dataDxfId="50"/>
    <tableColumn id="12" name="拥有"/>
    <tableColumn id="9" name="Name"/>
    <tableColumn id="8" name="列122"/>
    <tableColumn id="2" name="W"/>
    <tableColumn id="3" name="A"/>
    <tableColumn id="4" name="I"/>
    <tableColumn id="5" name="F"/>
    <tableColumn id="6" name="U"/>
    <tableColumn id="10" name="Type"/>
    <tableColumn id="7" name="列13"/>
  </tableColumns>
  <tableStyleInfo name="TableStyleMedium23" showFirstColumn="0" showLastColumn="0" showRowStripes="1" showColumnStripes="0"/>
</table>
</file>

<file path=xl/tables/table8.xml><?xml version="1.0" encoding="utf-8"?>
<table xmlns="http://schemas.openxmlformats.org/spreadsheetml/2006/main" id="2" name="Table31" displayName="Table31" ref="I1:S56" totalsRowShown="0">
  <autoFilter ref="I1:S56"/>
  <sortState ref="I1:S56">
    <sortCondition ref="L1:L56" sortBy="cellColor" dxfId="52"/>
    <sortCondition ref="L1:L56" sortBy="cellColor" dxfId="53"/>
    <sortCondition ref="L1:L56" sortBy="cellColor" dxfId="54"/>
    <sortCondition ref="L1:L56" sortBy="cellColor" dxfId="55"/>
    <sortCondition ref="L1:L56" sortBy="cellColor" dxfId="56"/>
    <sortCondition ref="L1:L56"/>
  </sortState>
  <tableColumns count="11">
    <tableColumn id="1" name="列1"/>
    <tableColumn id="11" name="Owned"/>
    <tableColumn id="2" name="Champ"/>
    <tableColumn id="3" name="Name"/>
    <tableColumn id="10" name="列12"/>
    <tableColumn id="4" name="W"/>
    <tableColumn id="5" name="A"/>
    <tableColumn id="6" name="I"/>
    <tableColumn id="7" name="F"/>
    <tableColumn id="8" name="U"/>
    <tableColumn id="9" name="Type"/>
  </tableColumns>
  <tableStyleInfo name="TableStyleMedium23" showFirstColumn="0" showLastColumn="0" showRowStripes="1" showColumnStripes="0"/>
</table>
</file>

<file path=xl/tables/table9.xml><?xml version="1.0" encoding="utf-8"?>
<table xmlns="http://schemas.openxmlformats.org/spreadsheetml/2006/main" id="11" name="Table5" displayName="Table5" ref="A1:I155" totalsRowShown="0">
  <autoFilter ref="A1:I155">
    <filterColumn colId="7">
      <filters>
        <filter val="Items&#10;物品"/>
        <filter val="Gear&#10;装备"/>
        <filter val="All&#10;全部"/>
        <filter val="Nanite*"/>
        <filter val="All+++"/>
        <filter val="Items+"/>
        <filter val="Gear&#10;齿轮"/>
        <filter val="All?&#10;全部？"/>
      </filters>
    </filterColumn>
  </autoFilter>
  <sortState ref="A1:I155">
    <sortCondition ref="A1:A155"/>
  </sortState>
  <tableColumns count="9">
    <tableColumn id="1" name="Mission #&#10;任务 #"/>
    <tableColumn id="2" name="# Rooms&#10;# 房间"/>
    <tableColumn id="3" name="# Combats&#10;# 战斗"/>
    <tableColumn id="4" name="# Enemies&#10;# 敌人"/>
    <tableColumn id="5" name="# Boxes&#10;# 箱子"/>
    <tableColumn id="6" name="Quick&#10;快速"/>
    <tableColumn id="7" name="Reward&#10;奖励"/>
    <tableColumn id="8" name="Reward Type&#10;奖励类型"/>
    <tableColumn id="9" name="评论 刷4-4、4-5、9-7、11-11 "/>
  </tableColumns>
  <tableStyleInfo name="TableStyleDark1" showFirstColumn="0" showLastColumn="0" showRowStripes="1" showColumnStripes="0"/>
</table>
</file>

<file path=xl/tables/table10.xml><?xml version="1.0" encoding="utf-8"?>
<table xmlns="http://schemas.openxmlformats.org/spreadsheetml/2006/main" id="12" name="Table13" displayName="Table13" ref="A1:H67" totalsRowShown="0">
  <autoFilter ref="A1:H67">
    <filterColumn colId="6">
      <filters>
        <filter val="Items&#10;物品"/>
        <filter val="Gear&#10;装备"/>
        <filter val="All&#10;全部"/>
        <filter val="Gear+"/>
        <filter val="Items+"/>
        <filter val="Items++"/>
        <filter val="Items&#10;项目"/>
        <filter val="Gear&#10;齿轮"/>
      </filters>
    </filterColumn>
  </autoFilter>
  <tableColumns count="8">
    <tableColumn id="1" name="Mission #&#10;任务编号"/>
    <tableColumn id="2" name="# Rooms&#10;房间数量"/>
    <tableColumn id="3" name="# Combats&#10;战斗次数"/>
    <tableColumn id="4" name="# Enemies&#10;敌人数量"/>
    <tableColumn id="5" name="# Boxes&#10;# 箱子"/>
    <tableColumn id="6" name="Reward&#10;奖励"/>
    <tableColumn id="7" name="Reward Type&#10;奖励类型"/>
    <tableColumn id="8" name="Comments&#10;备注"/>
  </tableColumns>
  <tableStyleInfo name="TableStyleMedium27" showFirstColumn="0" showLastColumn="0" showRowStripes="1" showColumnStripes="0"/>
</table>
</file>

<file path=xl/tables/table11.xml><?xml version="1.0" encoding="utf-8"?>
<table xmlns="http://schemas.openxmlformats.org/spreadsheetml/2006/main" id="5" name="Table1410" displayName="Table1410" ref="A1:M42" totalsRowShown="0">
  <autoFilter ref="A1:M42"/>
  <sortState ref="A1:M42">
    <sortCondition ref="A1"/>
  </sortState>
  <tableColumns count="13">
    <tableColumn id="1" name="Mission Name&#10;任务名称"/>
    <tableColumn id="2" name="Difficulty&#10;难度"/>
    <tableColumn id="3" name="# Rooms&#10;房间数量"/>
    <tableColumn id="4" name="战次"/>
    <tableColumn id="5" name="人"/>
    <tableColumn id="6" name="# Boxes&#10;箱子数量"/>
    <tableColumn id="7" name="Reward&#10;奖励"/>
    <tableColumn id="8" name="Reward Type&#10;奖励类型"/>
    <tableColumn id="9" name="Quick&#10;快速"/>
    <tableColumn id="10" name="Short"/>
    <tableColumn id="11" name="Medium"/>
    <tableColumn id="12" name="Long"/>
    <tableColumn id="13" name="Exp Level&#10;经验等级"/>
  </tableColumns>
  <tableStyleInfo name="TableStyleMedium27" showFirstColumn="0" showLastColumn="0" showRowStripes="1" showColumnStripes="0"/>
</table>
</file>

<file path=xl/tables/table12.xml><?xml version="1.0" encoding="utf-8"?>
<table xmlns="http://schemas.openxmlformats.org/spreadsheetml/2006/main" id="6" name="Table17" displayName="Table17" ref="AH30:AM82" totalsRowShown="0">
  <autoFilter ref="AH30:AM82"/>
  <sortState ref="AH30:AM82">
    <sortCondition ref="AH30:AH82"/>
  </sortState>
  <tableColumns count="6">
    <tableColumn id="1" name="Name"/>
    <tableColumn id="2" name="W"/>
    <tableColumn id="3" name="A"/>
    <tableColumn id="4" name="I"/>
    <tableColumn id="5" name="F"/>
    <tableColumn id="6" name="U"/>
  </tableColumns>
  <tableStyleInfo name="TableStyleDark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5" Type="http://schemas.openxmlformats.org/officeDocument/2006/relationships/table" Target="../tables/table7.xml"/><Relationship Id="rId4" Type="http://schemas.openxmlformats.org/officeDocument/2006/relationships/table" Target="../tables/table6.xml"/><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hyperlink" Target="https://steamcommunity.com/sharedfiles/filedetails?id=2809032245" TargetMode="External"/><Relationship Id="rId1" Type="http://schemas.openxmlformats.org/officeDocument/2006/relationships/hyperlink" Target="https://steamcommunity.com/sharedfiles/filedetails?id=2852045892"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hyperlink" Target="https://wiki.jntgames.com/en/games/Shelter_69/Equipment/Equipment_Stat_scaling"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06"/>
  <sheetViews>
    <sheetView tabSelected="1" zoomScale="85" zoomScaleNormal="85" workbookViewId="0">
      <pane xSplit="3" topLeftCell="H1" activePane="topRight" state="frozen"/>
      <selection/>
      <selection pane="topRight" activeCell="M11" sqref="A2:AJ69"/>
    </sheetView>
  </sheetViews>
  <sheetFormatPr defaultColWidth="9" defaultRowHeight="13.5"/>
  <cols>
    <col min="1" max="1" width="7.78333333333333" customWidth="1"/>
    <col min="2" max="2" width="8.96666666666667" style="700" customWidth="1"/>
    <col min="3" max="3" width="2.79166666666667" customWidth="1"/>
    <col min="4" max="4" width="5.58333333333333" customWidth="1"/>
    <col min="5" max="5" width="4.99166666666667" customWidth="1"/>
    <col min="6" max="6" width="4.40833333333333" hidden="1" customWidth="1"/>
    <col min="7" max="7" width="2.64166666666667" style="169" customWidth="1"/>
    <col min="8" max="8" width="58.9666666666667" style="169" customWidth="1"/>
    <col min="9" max="9" width="5.73333333333333" customWidth="1"/>
    <col min="10" max="10" width="4.11666666666667" customWidth="1"/>
    <col min="11" max="12" width="2.79166666666667" customWidth="1"/>
    <col min="13" max="13" width="55.1416666666667" style="169" customWidth="1"/>
    <col min="14" max="14" width="6.325" customWidth="1"/>
    <col min="15" max="15" width="4.85" style="700" customWidth="1"/>
    <col min="16" max="20" width="2.78333333333333" customWidth="1"/>
    <col min="21" max="21" width="4.40833333333333" style="701" customWidth="1"/>
    <col min="22" max="22" width="2.05833333333333" style="701" customWidth="1"/>
    <col min="23" max="23" width="3.675" customWidth="1"/>
    <col min="24" max="24" width="2.05" customWidth="1"/>
    <col min="25" max="29" width="6.90833333333333" style="3" customWidth="1"/>
    <col min="30" max="30" width="4.85" customWidth="1"/>
    <col min="31" max="35" width="6.01666666666667" customWidth="1"/>
    <col min="36" max="36" width="4.55" customWidth="1"/>
    <col min="38" max="38" width="27.1416666666667" customWidth="1"/>
    <col min="39" max="39" width="21.25" customWidth="1"/>
    <col min="40" max="40" width="26.6" customWidth="1"/>
    <col min="41" max="41" width="21.425" customWidth="1"/>
  </cols>
  <sheetData>
    <row r="1" ht="44" customHeight="1" spans="1:42">
      <c r="A1" s="702" t="s">
        <v>0</v>
      </c>
      <c r="B1" s="702" t="s">
        <v>1</v>
      </c>
      <c r="C1" s="702" t="s">
        <v>2</v>
      </c>
      <c r="D1" s="702" t="s">
        <v>3</v>
      </c>
      <c r="E1" s="703" t="s">
        <v>4</v>
      </c>
      <c r="F1" s="704" t="s">
        <v>5</v>
      </c>
      <c r="G1" s="704" t="s">
        <v>6</v>
      </c>
      <c r="H1" s="704" t="s">
        <v>7</v>
      </c>
      <c r="I1" s="702" t="s">
        <v>8</v>
      </c>
      <c r="J1" s="702" t="s">
        <v>9</v>
      </c>
      <c r="K1" s="749" t="s">
        <v>10</v>
      </c>
      <c r="L1" s="750" t="s">
        <v>11</v>
      </c>
      <c r="M1" s="704" t="s">
        <v>12</v>
      </c>
      <c r="N1" s="751" t="s">
        <v>13</v>
      </c>
      <c r="O1" s="749" t="s">
        <v>14</v>
      </c>
      <c r="P1" s="749" t="s">
        <v>15</v>
      </c>
      <c r="Q1" s="749" t="s">
        <v>16</v>
      </c>
      <c r="R1" s="749" t="s">
        <v>17</v>
      </c>
      <c r="S1" s="749" t="s">
        <v>18</v>
      </c>
      <c r="T1" s="749" t="s">
        <v>19</v>
      </c>
      <c r="U1" s="777" t="s">
        <v>20</v>
      </c>
      <c r="V1" s="777" t="s">
        <v>21</v>
      </c>
      <c r="W1" s="703" t="s">
        <v>22</v>
      </c>
      <c r="X1" s="702" t="s">
        <v>23</v>
      </c>
      <c r="Y1" s="780" t="s">
        <v>24</v>
      </c>
      <c r="Z1" s="780" t="s">
        <v>25</v>
      </c>
      <c r="AA1" s="780" t="s">
        <v>26</v>
      </c>
      <c r="AB1" s="780" t="s">
        <v>27</v>
      </c>
      <c r="AC1" s="780" t="s">
        <v>28</v>
      </c>
      <c r="AD1" s="702" t="s">
        <v>29</v>
      </c>
      <c r="AE1" s="702" t="s">
        <v>30</v>
      </c>
      <c r="AF1" s="702" t="s">
        <v>31</v>
      </c>
      <c r="AG1" s="702" t="s">
        <v>32</v>
      </c>
      <c r="AH1" s="702" t="s">
        <v>33</v>
      </c>
      <c r="AI1" s="702" t="s">
        <v>34</v>
      </c>
      <c r="AJ1" s="782" t="s">
        <v>35</v>
      </c>
      <c r="AL1" s="157" t="s">
        <v>36</v>
      </c>
      <c r="AM1" s="157" t="s">
        <v>37</v>
      </c>
      <c r="AN1" s="157" t="s">
        <v>38</v>
      </c>
      <c r="AO1" s="157" t="s">
        <v>39</v>
      </c>
      <c r="AP1" s="157" t="s">
        <v>40</v>
      </c>
    </row>
    <row r="2" ht="20" customHeight="1" spans="1:42">
      <c r="A2" s="705" t="s">
        <v>41</v>
      </c>
      <c r="B2" s="706" t="str">
        <f>IFERROR(VLOOKUP($A2,全人物技能说明!$A$1:$O$99,2,FALSE),"")</f>
        <v>金</v>
      </c>
      <c r="C2" s="707">
        <v>36</v>
      </c>
      <c r="D2" s="707" t="str">
        <f>IFERROR(VLOOKUP($A2,全人物技能说明!$A$1:$O$99,3,FALSE),"")</f>
        <v>2箱子</v>
      </c>
      <c r="E2" s="707" t="str">
        <f>IFERROR(VLOOKUP($A2,全人物技能说明!$A$1:$O$99,4,FALSE),"")</f>
        <v>稀有</v>
      </c>
      <c r="F2" s="708" t="str">
        <f>IFERROR(VLOOKUP($A2,全人物技能说明!$A$1:$O$99,7,FALSE),"")</f>
        <v>X4或X2武器7次，远X4八次。喷火8次。X4近锋利砍刀单次伤最高，穿甲</v>
      </c>
      <c r="G2" s="709" t="str">
        <f>IFERROR(VLOOKUP($A2,全人物技能说明!$A$1:$O$99,8,FALSE),"")</f>
        <v>阅读忧郁杰作，使最多 4 名敌人眩晕 2 回合。</v>
      </c>
      <c r="H2" s="709" t="s">
        <v>42</v>
      </c>
      <c r="I2" s="752" t="str">
        <f>IFERROR(VLOOKUP($A2,全人物技能说明!$A$1:$O$99,14,FALSE),"")</f>
        <v>I, F, U</v>
      </c>
      <c r="J2" s="707" t="str">
        <f>IFERROR(VLOOKUP($A2,全人物技能说明!$A$1:$O$99,15,FALSE),"")</f>
        <v>W</v>
      </c>
      <c r="K2" s="753"/>
      <c r="L2" s="754" t="s">
        <v>16</v>
      </c>
      <c r="M2" s="755" t="str">
        <f>IFERROR(IF(VLOOKUP($A2,全人物技能说明!$A$1:$O$99,7,FALSE)&lt;&gt;"",VLOOKUP($A2,全人物技能说明!$A$1:$O$99,7,FALSE),""),"")</f>
        <v>X4或X2武器7次，远X4八次。喷火8次。X4近锋利砍刀单次伤最高，穿甲</v>
      </c>
      <c r="N2" s="753"/>
      <c r="O2" s="756" t="s">
        <v>17</v>
      </c>
      <c r="P2" s="753">
        <f>RANK(Y2,Y:Y)</f>
        <v>3</v>
      </c>
      <c r="Q2" s="753">
        <f>RANK(Z2,Z:Z)</f>
        <v>1</v>
      </c>
      <c r="R2" s="753">
        <f>RANK(AA2,AA:AA)</f>
        <v>2</v>
      </c>
      <c r="S2" s="753">
        <f>RANK(AB2,AB:AB)</f>
        <v>1</v>
      </c>
      <c r="T2" s="753">
        <f>RANK(AC2,AC:AC)</f>
        <v>1</v>
      </c>
      <c r="U2" s="707">
        <f t="shared" ref="U2:U40" si="0">Y2+Z2+AA2+AB2+AC2</f>
        <v>1713</v>
      </c>
      <c r="V2" s="707"/>
      <c r="W2" s="707">
        <f t="shared" ref="W2:W39" si="1">C2</f>
        <v>36</v>
      </c>
      <c r="X2" s="707">
        <v>0</v>
      </c>
      <c r="Y2" s="753">
        <f t="shared" ref="Y2:Y40" si="2">IFERROR(VALUE(LEFT(AE2,FIND("(",AE2)-1))+($W2-1)*VALUE(MID(AE2,FIND("+",AE2)+1,FIND(")",AE2)-FIND("+",AE2)-1)),"")</f>
        <v>254</v>
      </c>
      <c r="Z2" s="753">
        <f t="shared" ref="Z2:Z40" si="3">IFERROR(VALUE(LEFT(AF2,FIND("(",AF2)-1))+($W2-1)*VALUE(MID(AF2,FIND("+",AF2)+1,FIND(")",AF2)-FIND("+",AF2)-1)),"")</f>
        <v>334</v>
      </c>
      <c r="AA2" s="753">
        <f t="shared" ref="AA2:AA40" si="4">IFERROR(VALUE(LEFT(AG2,FIND("(",AG2)-1))+($W2-1)*VALUE(MID(AG2,FIND("+",AG2)+1,FIND(")",AG2)-FIND("+",AG2)-1)),"")</f>
        <v>375</v>
      </c>
      <c r="AB2" s="753">
        <f t="shared" ref="AB2:AB40" si="5">IFERROR(VALUE(LEFT(AH2,FIND("(",AH2)-1))+($W2-1)*VALUE(MID(AH2,FIND("+",AH2)+1,FIND(")",AH2)-FIND("+",AH2)-1)),"")</f>
        <v>375</v>
      </c>
      <c r="AC2" s="753">
        <f t="shared" ref="AC2:AC40" si="6">IFERROR(VALUE(LEFT(AI2,FIND("(",AI2)-1))+($W2-1)*VALUE(MID(AI2,FIND("+",AI2)+1,FIND(")",AI2)-FIND("+",AI2)-1)),"")</f>
        <v>375</v>
      </c>
      <c r="AD2" s="707"/>
      <c r="AE2" s="707" t="str">
        <f>IFERROR(VLOOKUP($A2,全人物技能说明!$A$1:$O$99,9,FALSE),"")</f>
        <v>44(+6)</v>
      </c>
      <c r="AF2" s="707" t="str">
        <f>IFERROR(VLOOKUP($A2,全人物技能说明!$A$1:$O$99,10,FALSE),"")</f>
        <v>54(+8)</v>
      </c>
      <c r="AG2" s="707" t="str">
        <f>IFERROR(VLOOKUP($A2,全人物技能说明!$A$1:$O$99,11,FALSE),"")</f>
        <v>60(+9)</v>
      </c>
      <c r="AH2" s="707" t="str">
        <f>IFERROR(VLOOKUP($A2,全人物技能说明!$A$1:$O$99,12,FALSE),"")</f>
        <v>60(+9)</v>
      </c>
      <c r="AI2" s="707" t="str">
        <f>IFERROR(VLOOKUP($A2,全人物技能说明!$A$1:$O$99,13,FALSE),"")</f>
        <v>60(+9)</v>
      </c>
      <c r="AJ2" s="783"/>
      <c r="AL2" s="784" t="s">
        <v>43</v>
      </c>
      <c r="AM2" s="158" t="s">
        <v>44</v>
      </c>
      <c r="AN2" s="158" t="s">
        <v>45</v>
      </c>
      <c r="AO2" s="158" t="s">
        <v>46</v>
      </c>
      <c r="AP2" s="158" t="s">
        <v>47</v>
      </c>
    </row>
    <row r="3" ht="20" customHeight="1" spans="1:42">
      <c r="A3" s="710" t="s">
        <v>48</v>
      </c>
      <c r="B3" s="711" t="str">
        <f>IFERROR(VLOOKUP($A3,全人物技能说明!$A$1:$O$99,2,FALSE),"")</f>
        <v>XX</v>
      </c>
      <c r="C3" s="712">
        <v>34</v>
      </c>
      <c r="D3" s="712" t="str">
        <f>IFERROR(VLOOKUP($A3,全人物技能说明!$A$1:$O$99,3,FALSE),"")</f>
        <v>1剧情</v>
      </c>
      <c r="E3" s="712" t="str">
        <f>IFERROR(VLOOKUP($A3,全人物技能说明!$A$1:$O$99,4,FALSE),"")</f>
        <v>普通</v>
      </c>
      <c r="F3" s="713" t="str">
        <f>IFERROR(VLOOKUP($A3,全人物技能说明!$A$1:$O$99,7,FALSE),"")</f>
        <v>X4武器6次攻击放技能，X2会更快</v>
      </c>
      <c r="G3" s="714" t="str">
        <f>IFERROR(VLOOKUP($A3,全人物技能说明!$A$1:$O$99,8,FALSE),"")</f>
        <v>魅惑一名敌人，使其眩晕 2 回合，并使其受到的伤害提升 50%。</v>
      </c>
      <c r="H3" s="714" t="s">
        <v>49</v>
      </c>
      <c r="I3" s="752" t="str">
        <f>IFERROR(VLOOKUP($A3,全人物技能说明!$A$1:$O$99,14,FALSE),"")</f>
        <v>A</v>
      </c>
      <c r="J3" s="757" t="str">
        <f>IFERROR(VLOOKUP($A3,全人物技能说明!$A$1:$O$99,15,FALSE),"")</f>
        <v>W, I</v>
      </c>
      <c r="K3" s="756"/>
      <c r="L3" s="758" t="s">
        <v>16</v>
      </c>
      <c r="M3" s="716" t="str">
        <f>IFERROR(IF(VLOOKUP($A3,全人物技能说明!$A$1:$O$99,7,FALSE)&lt;&gt;"",VLOOKUP($A3,全人物技能说明!$A$1:$O$99,7,FALSE),""),"")</f>
        <v>X4武器6次攻击放技能，X2会更快</v>
      </c>
      <c r="N3" s="756"/>
      <c r="O3" s="753" t="s">
        <v>16</v>
      </c>
      <c r="P3" s="753">
        <f>RANK(Y3,Y:Y)</f>
        <v>11</v>
      </c>
      <c r="Q3" s="753">
        <f>RANK(Z3,Z:Z)</f>
        <v>2</v>
      </c>
      <c r="R3" s="753">
        <f>RANK(AA3,AA:AA)</f>
        <v>9</v>
      </c>
      <c r="S3" s="753">
        <f>RANK(AB3,AB:AB)</f>
        <v>3</v>
      </c>
      <c r="T3" s="753">
        <f>RANK(AC3,AC:AC)</f>
        <v>6</v>
      </c>
      <c r="U3" s="757">
        <f t="shared" si="0"/>
        <v>1165</v>
      </c>
      <c r="V3" s="757"/>
      <c r="W3" s="757">
        <f t="shared" si="1"/>
        <v>34</v>
      </c>
      <c r="X3" s="757">
        <v>0</v>
      </c>
      <c r="Y3" s="756">
        <f t="shared" si="2"/>
        <v>203</v>
      </c>
      <c r="Z3" s="756">
        <f t="shared" si="3"/>
        <v>279</v>
      </c>
      <c r="AA3" s="756">
        <f t="shared" si="4"/>
        <v>203</v>
      </c>
      <c r="AB3" s="756">
        <f t="shared" si="5"/>
        <v>240</v>
      </c>
      <c r="AC3" s="756">
        <f t="shared" si="6"/>
        <v>240</v>
      </c>
      <c r="AD3" s="757"/>
      <c r="AE3" s="757" t="str">
        <f>IFERROR(VLOOKUP($A3,全人物技能说明!$A$1:$O$99,9,FALSE),"")</f>
        <v>38(+5)</v>
      </c>
      <c r="AF3" s="757" t="str">
        <f>IFERROR(VLOOKUP($A3,全人物技能说明!$A$1:$O$99,10,FALSE),"")</f>
        <v>48(+7)</v>
      </c>
      <c r="AG3" s="757" t="str">
        <f>IFERROR(VLOOKUP($A3,全人物技能说明!$A$1:$O$99,11,FALSE),"")</f>
        <v>38(+5)</v>
      </c>
      <c r="AH3" s="757" t="str">
        <f>IFERROR(VLOOKUP($A3,全人物技能说明!$A$1:$O$99,12,FALSE),"")</f>
        <v>42(+6)</v>
      </c>
      <c r="AI3" s="757" t="str">
        <f>IFERROR(VLOOKUP($A3,全人物技能说明!$A$1:$O$99,13,FALSE),"")</f>
        <v>42(+6)</v>
      </c>
      <c r="AJ3" s="766"/>
      <c r="AL3" s="157"/>
      <c r="AM3" s="159"/>
      <c r="AN3" s="159"/>
      <c r="AO3" s="159"/>
      <c r="AP3" s="159"/>
    </row>
    <row r="4" ht="20" customHeight="1" spans="1:42">
      <c r="A4" s="715" t="s">
        <v>50</v>
      </c>
      <c r="B4" s="715" t="str">
        <f>IFERROR(VLOOKUP($A4,全人物技能说明!$A$1:$O$99,2,FALSE),"")</f>
        <v>翠克希</v>
      </c>
      <c r="C4" s="712">
        <v>33</v>
      </c>
      <c r="D4" s="712" t="str">
        <f>IFERROR(VLOOKUP($A4,全人物技能说明!$A$1:$O$99,3,FALSE),"")</f>
        <v>2剧情</v>
      </c>
      <c r="E4" s="712" t="str">
        <f>IFERROR(VLOOKUP($A4,全人物技能说明!$A$1:$O$99,4,FALSE),"")</f>
        <v>稀有</v>
      </c>
      <c r="F4" s="712">
        <f>IFERROR(VLOOKUP($A4,全人物技能说明!$A$1:$O$99,7,FALSE),"")</f>
        <v>0</v>
      </c>
      <c r="G4" s="716" t="str">
        <f>IFERROR(VLOOKUP($A4,全人物技能说明!$A$1:$O$99,8,FALSE),"")</f>
        <v>指挥 2 名队友瞬间攻击一名敌人。</v>
      </c>
      <c r="H4" s="716" t="s">
        <v>51</v>
      </c>
      <c r="I4" s="757" t="str">
        <f>IFERROR(VLOOKUP($A4,全人物技能说明!$A$1:$O$99,14,FALSE),"")</f>
        <v>W</v>
      </c>
      <c r="J4" s="757" t="str">
        <f>IFERROR(VLOOKUP($A4,全人物技能说明!$A$1:$O$99,15,FALSE),"")</f>
        <v>A, F</v>
      </c>
      <c r="K4" s="759"/>
      <c r="L4" s="758" t="s">
        <v>15</v>
      </c>
      <c r="M4" s="716" t="str">
        <f>IFERROR(IF(VLOOKUP($A4,全人物技能说明!$A$1:$O$99,7,FALSE)&lt;&gt;"",VLOOKUP($A4,全人物技能说明!$A$1:$O$99,7,FALSE),""),"")</f>
        <v/>
      </c>
      <c r="N4" s="757"/>
      <c r="O4" s="756" t="s">
        <v>52</v>
      </c>
      <c r="P4" s="753">
        <f>RANK(Y4,Y:Y)</f>
        <v>2</v>
      </c>
      <c r="Q4" s="753">
        <f>RANK(Z4,Z:Z)</f>
        <v>13</v>
      </c>
      <c r="R4" s="753">
        <f>RANK(AA4,AA:AA)</f>
        <v>6</v>
      </c>
      <c r="S4" s="753">
        <f>RANK(AB4,AB:AB)</f>
        <v>12</v>
      </c>
      <c r="T4" s="753">
        <f>RANK(AC4,AC:AC)</f>
        <v>7</v>
      </c>
      <c r="U4" s="757">
        <f t="shared" si="0"/>
        <v>1136</v>
      </c>
      <c r="V4" s="757"/>
      <c r="W4" s="757">
        <f t="shared" si="1"/>
        <v>33</v>
      </c>
      <c r="X4" s="757"/>
      <c r="Y4" s="756">
        <f t="shared" si="2"/>
        <v>272</v>
      </c>
      <c r="Z4" s="756">
        <f t="shared" si="3"/>
        <v>198</v>
      </c>
      <c r="AA4" s="756">
        <f t="shared" si="4"/>
        <v>234</v>
      </c>
      <c r="AB4" s="756">
        <f t="shared" si="5"/>
        <v>198</v>
      </c>
      <c r="AC4" s="756">
        <f t="shared" si="6"/>
        <v>234</v>
      </c>
      <c r="AD4" s="757"/>
      <c r="AE4" s="757" t="str">
        <f>IFERROR(VLOOKUP($A4,全人物技能说明!$A$1:$O$99,9,FALSE),"")</f>
        <v>48(+7)</v>
      </c>
      <c r="AF4" s="757" t="str">
        <f>IFERROR(VLOOKUP($A4,全人物技能说明!$A$1:$O$99,10,FALSE),"")</f>
        <v>38(+5)</v>
      </c>
      <c r="AG4" s="757" t="str">
        <f>IFERROR(VLOOKUP($A4,全人物技能说明!$A$1:$O$99,11,FALSE),"")</f>
        <v>42(+6)</v>
      </c>
      <c r="AH4" s="757" t="str">
        <f>IFERROR(VLOOKUP($A4,全人物技能说明!$A$1:$O$99,12,FALSE),"")</f>
        <v>38(+5)</v>
      </c>
      <c r="AI4" s="757" t="str">
        <f>IFERROR(VLOOKUP($A4,全人物技能说明!$A$1:$O$99,13,FALSE),"")</f>
        <v>42(+6)</v>
      </c>
      <c r="AJ4" s="766"/>
      <c r="AL4" s="157"/>
      <c r="AM4" s="160" t="s">
        <v>53</v>
      </c>
      <c r="AN4" s="160" t="s">
        <v>54</v>
      </c>
      <c r="AO4" s="160" t="s">
        <v>55</v>
      </c>
      <c r="AP4" s="160" t="s">
        <v>56</v>
      </c>
    </row>
    <row r="5" ht="20" customHeight="1" spans="1:42">
      <c r="A5" s="717" t="s">
        <v>57</v>
      </c>
      <c r="B5" s="717" t="str">
        <f>IFERROR(VLOOKUP($A5,全人物技能说明!$A$1:$O$99,2,FALSE),"")</f>
        <v>苏菲</v>
      </c>
      <c r="C5" s="718">
        <v>33</v>
      </c>
      <c r="D5" s="718" t="str">
        <f>IFERROR(VLOOKUP($A5,全人物技能说明!$A$1:$O$99,3,FALSE),"")</f>
        <v>3剧情</v>
      </c>
      <c r="E5" s="718" t="str">
        <f>IFERROR(VLOOKUP($A5,全人物技能说明!$A$1:$O$99,4,FALSE),"")</f>
        <v>史诗</v>
      </c>
      <c r="F5" s="719">
        <f>IFERROR(VLOOKUP($A5,全人物技能说明!$A$1:$O$99,7,FALSE),"")</f>
        <v>0</v>
      </c>
      <c r="G5" s="720" t="str">
        <f>IFERROR(VLOOKUP($A5,全人物技能说明!$A$1:$O$99,8,FALSE),"")</f>
        <v>向最多 2 名血量最低的队友递出药剂，回复 [20% INT] 生命值，并在 2 回合内提升其 20% 伤害。</v>
      </c>
      <c r="H5" s="720" t="s">
        <v>58</v>
      </c>
      <c r="I5" s="707" t="str">
        <f>IFERROR(VLOOKUP($A5,全人物技能说明!$A$1:$O$99,14,FALSE),"")</f>
        <v>I, U</v>
      </c>
      <c r="J5" s="707" t="str">
        <f>IFERROR(VLOOKUP($A5,全人物技能说明!$A$1:$O$99,15,FALSE),"")</f>
        <v>A</v>
      </c>
      <c r="K5" s="760" t="s">
        <v>17</v>
      </c>
      <c r="L5" s="754" t="s">
        <v>17</v>
      </c>
      <c r="M5" s="726" t="str">
        <f>IFERROR(IF(VLOOKUP($A5,全人物技能说明!$A$1:$O$99,7,FALSE)&lt;&gt;"",VLOOKUP($A5,全人物技能说明!$A$1:$O$99,7,FALSE),""),"")</f>
        <v/>
      </c>
      <c r="N5" s="707"/>
      <c r="O5" s="753" t="s">
        <v>59</v>
      </c>
      <c r="P5" s="753">
        <f>RANK(Y5,Y:Y)</f>
        <v>6</v>
      </c>
      <c r="Q5" s="753">
        <f>RANK(Z5,Z:Z)</f>
        <v>18</v>
      </c>
      <c r="R5" s="753">
        <f>RANK(AA5,AA:AA)</f>
        <v>3</v>
      </c>
      <c r="S5" s="753">
        <f>RANK(AB5,AB:AB)</f>
        <v>12</v>
      </c>
      <c r="T5" s="753">
        <f>RANK(AC5,AC:AC)</f>
        <v>2</v>
      </c>
      <c r="U5" s="707">
        <f t="shared" si="0"/>
        <v>1136</v>
      </c>
      <c r="V5" s="707"/>
      <c r="W5" s="707">
        <f t="shared" si="1"/>
        <v>33</v>
      </c>
      <c r="X5" s="707"/>
      <c r="Y5" s="753">
        <f t="shared" si="2"/>
        <v>234</v>
      </c>
      <c r="Z5" s="753">
        <f t="shared" si="3"/>
        <v>160</v>
      </c>
      <c r="AA5" s="753">
        <f t="shared" si="4"/>
        <v>272</v>
      </c>
      <c r="AB5" s="753">
        <f t="shared" si="5"/>
        <v>198</v>
      </c>
      <c r="AC5" s="753">
        <f t="shared" si="6"/>
        <v>272</v>
      </c>
      <c r="AD5" s="707"/>
      <c r="AE5" s="707" t="str">
        <f>IFERROR(VLOOKUP($A5,全人物技能说明!$A$1:$O$99,9,FALSE),"")</f>
        <v>42(+6)</v>
      </c>
      <c r="AF5" s="707" t="str">
        <f>IFERROR(VLOOKUP($A5,全人物技能说明!$A$1:$O$99,10,FALSE),"")</f>
        <v>32(+4)</v>
      </c>
      <c r="AG5" s="707" t="str">
        <f>IFERROR(VLOOKUP($A5,全人物技能说明!$A$1:$O$99,11,FALSE),"")</f>
        <v>48(+7)</v>
      </c>
      <c r="AH5" s="707" t="str">
        <f>IFERROR(VLOOKUP($A5,全人物技能说明!$A$1:$O$99,12,FALSE),"")</f>
        <v>38(+5)</v>
      </c>
      <c r="AI5" s="707" t="str">
        <f>IFERROR(VLOOKUP($A5,全人物技能说明!$A$1:$O$99,13,FALSE),"")</f>
        <v>48(+7)</v>
      </c>
      <c r="AJ5" s="785"/>
      <c r="AL5" s="157" t="s">
        <v>60</v>
      </c>
      <c r="AM5" s="158" t="s">
        <v>61</v>
      </c>
      <c r="AN5" s="158" t="s">
        <v>62</v>
      </c>
      <c r="AO5" s="158" t="s">
        <v>63</v>
      </c>
      <c r="AP5" s="158" t="s">
        <v>64</v>
      </c>
    </row>
    <row r="6" ht="20" customHeight="1" spans="1:42">
      <c r="A6" s="715" t="s">
        <v>65</v>
      </c>
      <c r="B6" s="715" t="str">
        <f>IFERROR(VLOOKUP($A6,全人物技能说明!$A$1:$O$99,2,FALSE),"")</f>
        <v>艾希莉</v>
      </c>
      <c r="C6" s="712">
        <v>33</v>
      </c>
      <c r="D6" s="712" t="str">
        <f>IFERROR(VLOOKUP($A6,全人物技能说明!$A$1:$O$99,3,FALSE),"")</f>
        <v>5箱子</v>
      </c>
      <c r="E6" s="712" t="str">
        <f>IFERROR(VLOOKUP($A6,全人物技能说明!$A$1:$O$99,4,FALSE),"")</f>
        <v>传说</v>
      </c>
      <c r="F6" s="721" t="str">
        <f>IFERROR(VLOOKUP($A6,全人物技能说明!$A$1:$O$99,7,FALSE),"")</f>
        <v>无论是近战还是远程攻击，都需要 4 次攻击</v>
      </c>
      <c r="G6" s="716" t="str">
        <f>IFERROR(VLOOKUP($A6,全人物技能说明!$A$1:$O$99,8,FALSE),"")</f>
        <v>使下 2 次攻击的伤害提升 200%。战斗开始时即就绪。</v>
      </c>
      <c r="H6" s="716" t="s">
        <v>66</v>
      </c>
      <c r="I6" s="757" t="str">
        <f>IFERROR(VLOOKUP($A6,全人物技能说明!$A$1:$O$99,14,FALSE),"")</f>
        <v>A, U</v>
      </c>
      <c r="J6" s="757" t="str">
        <f>IFERROR(VLOOKUP($A6,全人物技能说明!$A$1:$O$99,15,FALSE),"")</f>
        <v>I</v>
      </c>
      <c r="K6" s="756"/>
      <c r="L6" s="758" t="s">
        <v>16</v>
      </c>
      <c r="M6" s="716" t="str">
        <f>IFERROR(IF(VLOOKUP($A6,全人物技能说明!$A$1:$O$99,7,FALSE)&lt;&gt;"",VLOOKUP($A6,全人物技能说明!$A$1:$O$99,7,FALSE),""),"")</f>
        <v>无论是近战还是远程攻击，都需要 4 次攻击</v>
      </c>
      <c r="N6" s="757"/>
      <c r="O6" s="753" t="s">
        <v>67</v>
      </c>
      <c r="P6" s="753">
        <f>RANK(Y6,Y:Y)</f>
        <v>12</v>
      </c>
      <c r="Q6" s="753">
        <f>RANK(Z6,Z:Z)</f>
        <v>4</v>
      </c>
      <c r="R6" s="753">
        <f>RANK(AA6,AA:AA)</f>
        <v>21</v>
      </c>
      <c r="S6" s="753">
        <f>RANK(AB6,AB:AB)</f>
        <v>4</v>
      </c>
      <c r="T6" s="753">
        <f>RANK(AC6,AC:AC)</f>
        <v>2</v>
      </c>
      <c r="U6" s="757">
        <f t="shared" si="0"/>
        <v>1136</v>
      </c>
      <c r="V6" s="757"/>
      <c r="W6" s="757">
        <f t="shared" si="1"/>
        <v>33</v>
      </c>
      <c r="X6" s="757"/>
      <c r="Y6" s="756">
        <f t="shared" si="2"/>
        <v>198</v>
      </c>
      <c r="Z6" s="756">
        <f t="shared" si="3"/>
        <v>272</v>
      </c>
      <c r="AA6" s="756">
        <f t="shared" si="4"/>
        <v>160</v>
      </c>
      <c r="AB6" s="756">
        <f t="shared" si="5"/>
        <v>234</v>
      </c>
      <c r="AC6" s="756">
        <f t="shared" si="6"/>
        <v>272</v>
      </c>
      <c r="AD6" s="757"/>
      <c r="AE6" s="757" t="str">
        <f>IFERROR(VLOOKUP($A6,全人物技能说明!$A$1:$O$99,9,FALSE),"")</f>
        <v>38(+5)</v>
      </c>
      <c r="AF6" s="757" t="str">
        <f>IFERROR(VLOOKUP($A6,全人物技能说明!$A$1:$O$99,10,FALSE),"")</f>
        <v>48(+7)</v>
      </c>
      <c r="AG6" s="757" t="str">
        <f>IFERROR(VLOOKUP($A6,全人物技能说明!$A$1:$O$99,11,FALSE),"")</f>
        <v>32(+4)</v>
      </c>
      <c r="AH6" s="757" t="str">
        <f>IFERROR(VLOOKUP($A6,全人物技能说明!$A$1:$O$99,12,FALSE),"")</f>
        <v>42(+6)</v>
      </c>
      <c r="AI6" s="757" t="str">
        <f>IFERROR(VLOOKUP($A6,全人物技能说明!$A$1:$O$99,13,FALSE),"")</f>
        <v>48(+7)</v>
      </c>
      <c r="AJ6" s="785"/>
      <c r="AL6" s="157"/>
      <c r="AM6" s="159"/>
      <c r="AN6" s="159"/>
      <c r="AO6" s="159"/>
      <c r="AP6" s="159"/>
    </row>
    <row r="7" ht="20" customHeight="1" spans="1:42">
      <c r="A7" s="710" t="s">
        <v>68</v>
      </c>
      <c r="B7" s="717" t="str">
        <f>IFERROR(VLOOKUP($A7,全人物技能说明!$A$1:$O$99,2,FALSE),"")</f>
        <v>安德烈亚</v>
      </c>
      <c r="C7" s="718">
        <v>32</v>
      </c>
      <c r="D7" s="718" t="str">
        <f>IFERROR(VLOOKUP($A7,全人物技能说明!$A$1:$O$99,3,FALSE),"")</f>
        <v>1剧情</v>
      </c>
      <c r="E7" s="718" t="str">
        <f>IFERROR(VLOOKUP($A7,全人物技能说明!$A$1:$O$99,4,FALSE),"")</f>
        <v>稀有</v>
      </c>
      <c r="F7" s="720" t="str">
        <f>IFERROR(VLOOKUP($A7,全人物技能说明!$A$1:$O$99,8,FALSE),"")</f>
        <v>为 2 名血量最低的队友回复 10% 最大生命值 + [15% INT]。</v>
      </c>
      <c r="G7" s="720" t="str">
        <f>IFERROR(VLOOKUP($A7,全人物技能说明!$A$1:$O$99,8,FALSE),"")</f>
        <v>为 2 名血量最低的队友回复 10% 最大生命值 + [15% INT]。</v>
      </c>
      <c r="H7" s="720" t="s">
        <v>69</v>
      </c>
      <c r="I7" s="761" t="str">
        <f>IFERROR(VLOOKUP($A7,全人物技能说明!$A$1:$O$99,14,FALSE),"")</f>
        <v>I</v>
      </c>
      <c r="J7" s="707" t="str">
        <f>IFERROR(VLOOKUP($A7,全人物技能说明!$A$1:$O$99,15,FALSE),"")</f>
        <v>W, F</v>
      </c>
      <c r="K7" s="760" t="s">
        <v>17</v>
      </c>
      <c r="L7" s="754" t="s">
        <v>17</v>
      </c>
      <c r="M7" s="726" t="str">
        <f>IFERROR(IF(VLOOKUP($A7,全人物技能说明!$A$1:$O$99,7,FALSE)&lt;&gt;"",VLOOKUP($A7,全人物技能说明!$A$1:$O$99,7,FALSE),""),"")</f>
        <v>高电压电击枪（I 类武器伤害最高）</v>
      </c>
      <c r="N7" s="753"/>
      <c r="O7" s="753" t="s">
        <v>59</v>
      </c>
      <c r="P7" s="753">
        <f>RANK(Y7,Y:Y)</f>
        <v>13</v>
      </c>
      <c r="Q7" s="753">
        <f>RANK(Z7,Z:Z)</f>
        <v>9</v>
      </c>
      <c r="R7" s="753">
        <f>RANK(AA7,AA:AA)</f>
        <v>4</v>
      </c>
      <c r="S7" s="753">
        <f>RANK(AB7,AB:AB)</f>
        <v>14</v>
      </c>
      <c r="T7" s="753">
        <f>RANK(AC7,AC:AC)</f>
        <v>8</v>
      </c>
      <c r="U7" s="707">
        <f t="shared" si="0"/>
        <v>1107</v>
      </c>
      <c r="V7" s="707"/>
      <c r="W7" s="707">
        <f t="shared" si="1"/>
        <v>32</v>
      </c>
      <c r="X7" s="707">
        <v>0</v>
      </c>
      <c r="Y7" s="753">
        <f t="shared" si="2"/>
        <v>193</v>
      </c>
      <c r="Z7" s="753">
        <f t="shared" si="3"/>
        <v>228</v>
      </c>
      <c r="AA7" s="753">
        <f t="shared" si="4"/>
        <v>265</v>
      </c>
      <c r="AB7" s="753">
        <f t="shared" si="5"/>
        <v>193</v>
      </c>
      <c r="AC7" s="753">
        <f t="shared" si="6"/>
        <v>228</v>
      </c>
      <c r="AD7" s="707"/>
      <c r="AE7" s="707" t="str">
        <f>IFERROR(VLOOKUP($A7,全人物技能说明!$A$1:$O$99,9,FALSE),"")</f>
        <v>38(+5)</v>
      </c>
      <c r="AF7" s="707" t="str">
        <f>IFERROR(VLOOKUP($A7,全人物技能说明!$A$1:$O$99,10,FALSE),"")</f>
        <v>42(+6)</v>
      </c>
      <c r="AG7" s="707" t="str">
        <f>IFERROR(VLOOKUP($A7,全人物技能说明!$A$1:$O$99,11,FALSE),"")</f>
        <v>48(+7)</v>
      </c>
      <c r="AH7" s="707" t="str">
        <f>IFERROR(VLOOKUP($A7,全人物技能说明!$A$1:$O$99,12,FALSE),"")</f>
        <v>38(+5)</v>
      </c>
      <c r="AI7" s="707" t="str">
        <f>IFERROR(VLOOKUP($A7,全人物技能说明!$A$1:$O$99,13,FALSE),"")</f>
        <v>42(+6)</v>
      </c>
      <c r="AJ7" s="768"/>
      <c r="AL7" s="157"/>
      <c r="AM7" s="160" t="s">
        <v>70</v>
      </c>
      <c r="AN7" s="160" t="s">
        <v>71</v>
      </c>
      <c r="AO7" s="160" t="s">
        <v>72</v>
      </c>
      <c r="AP7" s="160" t="s">
        <v>73</v>
      </c>
    </row>
    <row r="8" s="3" customFormat="1" ht="20" customHeight="1" spans="1:42">
      <c r="A8" s="710" t="s">
        <v>74</v>
      </c>
      <c r="B8" s="711" t="str">
        <f>IFERROR(VLOOKUP($A8,全人物技能说明!$A$1:$O$99,2,FALSE),"")</f>
        <v>朱迪丝</v>
      </c>
      <c r="C8" s="712">
        <v>31</v>
      </c>
      <c r="D8" s="712" t="str">
        <f>IFERROR(VLOOKUP($A8,全人物技能说明!$A$1:$O$99,3,FALSE),"")</f>
        <v>4箱子</v>
      </c>
      <c r="E8" s="712" t="str">
        <f>IFERROR(VLOOKUP($A8,全人物技能说明!$A$1:$O$99,4,FALSE),"")</f>
        <v>史诗</v>
      </c>
      <c r="F8" s="722" t="str">
        <f>IFERROR(VLOOKUP($A8,全人物技能说明!$A$1:$O$99,7,FALSE),"")</f>
        <v>近战X4武器8次攻击，X2稍快，远程x4武器就需要9次</v>
      </c>
      <c r="G8" s="714" t="str">
        <f>IFERROR(VLOOKUP($A8,全人物技能说明!$A$1:$O$99,8,FALSE),"")</f>
        <v>召唤保镖（继承 [75% HP] 和 [75% DEF]），嘲讽敌人最多 2 回合。</v>
      </c>
      <c r="H8" s="714" t="s">
        <v>75</v>
      </c>
      <c r="I8" s="762" t="str">
        <f>IFERROR(VLOOKUP($A8,全人物技能说明!$A$1:$O$99,14,FALSE),"")</f>
        <v>W, I</v>
      </c>
      <c r="J8" s="757" t="str">
        <f>IFERROR(VLOOKUP($A8,全人物技能说明!$A$1:$O$99,15,FALSE),"")</f>
        <v>F, U</v>
      </c>
      <c r="K8" s="757"/>
      <c r="L8" s="758" t="s">
        <v>15</v>
      </c>
      <c r="M8" s="716" t="str">
        <f>IFERROR(IF(VLOOKUP($A8,全人物技能说明!$A$1:$O$99,7,FALSE)&lt;&gt;"",VLOOKUP($A8,全人物技能说明!$A$1:$O$99,7,FALSE),""),"")</f>
        <v>近战X4武器8次攻击，X2稍快，远程x4武器就需要9次</v>
      </c>
      <c r="N8" s="756"/>
      <c r="O8" s="756" t="s">
        <v>17</v>
      </c>
      <c r="P8" s="753">
        <f>RANK(Y8,Y:Y)</f>
        <v>1</v>
      </c>
      <c r="Q8" s="753">
        <f>RANK(Z8,Z:Z)</f>
        <v>5</v>
      </c>
      <c r="R8" s="753">
        <f>RANK(AA8,AA:AA)</f>
        <v>1</v>
      </c>
      <c r="S8" s="753">
        <f>RANK(AB8,AB:AB)</f>
        <v>5</v>
      </c>
      <c r="T8" s="753">
        <f>RANK(AC8,AC:AC)</f>
        <v>9</v>
      </c>
      <c r="U8" s="757">
        <f>Y8+Z8+AA8+AB8+AC8</f>
        <v>1490</v>
      </c>
      <c r="V8" s="757"/>
      <c r="W8" s="757">
        <f>C8</f>
        <v>31</v>
      </c>
      <c r="X8" s="757">
        <v>0</v>
      </c>
      <c r="Y8" s="756">
        <f>IFERROR(VALUE(LEFT(AE8,FIND("(",AE8)-1))+($W8-1)*VALUE(MID(AE8,FIND("+",AE8)+1,FIND(")",AE8)-FIND("+",AE8)-1)),"")</f>
        <v>396</v>
      </c>
      <c r="Z8" s="756">
        <f>IFERROR(VALUE(LEFT(AF8,FIND("(",AF8)-1))+($W8-1)*VALUE(MID(AF8,FIND("+",AF8)+1,FIND(")",AF8)-FIND("+",AF8)-1)),"")</f>
        <v>258</v>
      </c>
      <c r="AA8" s="756">
        <f>IFERROR(VALUE(LEFT(AG8,FIND("(",AG8)-1))+($W8-1)*VALUE(MID(AG8,FIND("+",AG8)+1,FIND(")",AG8)-FIND("+",AG8)-1)),"")</f>
        <v>396</v>
      </c>
      <c r="AB8" s="756">
        <f>IFERROR(VALUE(LEFT(AH8,FIND("(",AH8)-1))+($W8-1)*VALUE(MID(AH8,FIND("+",AH8)+1,FIND(")",AH8)-FIND("+",AH8)-1)),"")</f>
        <v>220</v>
      </c>
      <c r="AC8" s="756">
        <f>IFERROR(VALUE(LEFT(AI8,FIND("(",AI8)-1))+($W8-1)*VALUE(MID(AI8,FIND("+",AI8)+1,FIND(")",AI8)-FIND("+",AI8)-1)),"")</f>
        <v>220</v>
      </c>
      <c r="AD8" s="757"/>
      <c r="AE8" s="757" t="str">
        <f>IFERROR(VLOOKUP($A8,全人物技能说明!$A$1:$O$99,9,FALSE),"")</f>
        <v>66(+11)</v>
      </c>
      <c r="AF8" s="757" t="str">
        <f>IFERROR(VLOOKUP($A8,全人物技能说明!$A$1:$O$99,10,FALSE),"")</f>
        <v>48(+7)</v>
      </c>
      <c r="AG8" s="757" t="str">
        <f>IFERROR(VLOOKUP($A8,全人物技能说明!$A$1:$O$99,11,FALSE),"")</f>
        <v>66(+11)</v>
      </c>
      <c r="AH8" s="757" t="str">
        <f>IFERROR(VLOOKUP($A8,全人物技能说明!$A$1:$O$99,12,FALSE),"")</f>
        <v>40(+6)</v>
      </c>
      <c r="AI8" s="757" t="str">
        <f>IFERROR(VLOOKUP($A8,全人物技能说明!$A$1:$O$99,13,FALSE),"")</f>
        <v>40(+6)</v>
      </c>
      <c r="AJ8" s="785"/>
      <c r="AL8" s="786" t="s">
        <v>76</v>
      </c>
      <c r="AM8" s="787" t="s">
        <v>77</v>
      </c>
      <c r="AN8" s="787" t="s">
        <v>78</v>
      </c>
      <c r="AO8" s="787" t="s">
        <v>79</v>
      </c>
      <c r="AP8" s="787" t="s">
        <v>80</v>
      </c>
    </row>
    <row r="9" ht="20" customHeight="1" spans="1:42">
      <c r="A9" s="710" t="s">
        <v>81</v>
      </c>
      <c r="B9" s="723" t="str">
        <f>IFERROR(VLOOKUP($A9,全人物技能说明!$A$1:$O$99,2,FALSE),"")</f>
        <v>玛莎</v>
      </c>
      <c r="C9" s="718">
        <v>30</v>
      </c>
      <c r="D9" s="718" t="str">
        <f>IFERROR(VLOOKUP($A9,全人物技能说明!$A$1:$O$99,3,FALSE),"")</f>
        <v>1箱子</v>
      </c>
      <c r="E9" s="718" t="str">
        <f>IFERROR(VLOOKUP($A9,全人物技能说明!$A$1:$O$99,4,FALSE),"")</f>
        <v>稀有</v>
      </c>
      <c r="F9" s="724" t="str">
        <f>IFERROR(VLOOKUP($A9,全人物技能说明!$A$1:$O$99,7,FALSE),"")</f>
        <v>使用管武器需要5次攻击</v>
      </c>
      <c r="G9" s="725" t="str">
        <f>IFERROR(VLOOKUP($A9,全人物技能说明!$A$1:$O$99,8,FALSE),"")</f>
        <v>嘲讽敌人 2 回合；减少 70% 所受到的伤害。</v>
      </c>
      <c r="H9" s="725" t="s">
        <v>82</v>
      </c>
      <c r="I9" s="707" t="str">
        <f>IFERROR(VLOOKUP($A9,全人物技能说明!$A$1:$O$99,14,FALSE),"")</f>
        <v>U</v>
      </c>
      <c r="J9" s="707" t="str">
        <f>IFERROR(VLOOKUP($A9,全人物技能说明!$A$1:$O$99,15,FALSE),"")</f>
        <v>W, I</v>
      </c>
      <c r="K9" s="707"/>
      <c r="L9" s="754" t="s">
        <v>16</v>
      </c>
      <c r="M9" s="726" t="str">
        <f>IFERROR(IF(VLOOKUP($A9,全人物技能说明!$A$1:$O$99,7,FALSE)&lt;&gt;"",VLOOKUP($A9,全人物技能说明!$A$1:$O$99,7,FALSE),""),"")</f>
        <v>使用管武器需要5次攻击</v>
      </c>
      <c r="N9" s="753"/>
      <c r="O9" s="763"/>
      <c r="P9" s="753">
        <f>RANK(Y9,Y:Y)</f>
        <v>17</v>
      </c>
      <c r="Q9" s="753">
        <f>RANK(Z9,Z:Z)</f>
        <v>10</v>
      </c>
      <c r="R9" s="753">
        <f>RANK(AA9,AA:AA)</f>
        <v>14</v>
      </c>
      <c r="S9" s="753">
        <f>RANK(AB9,AB:AB)</f>
        <v>6</v>
      </c>
      <c r="T9" s="753">
        <f>RANK(AC9,AC:AC)</f>
        <v>4</v>
      </c>
      <c r="U9" s="707">
        <f>Y9+Z9+AA9+AB9+AC9</f>
        <v>1049</v>
      </c>
      <c r="V9" s="707"/>
      <c r="W9" s="707">
        <f>C9</f>
        <v>30</v>
      </c>
      <c r="X9" s="707">
        <v>1</v>
      </c>
      <c r="Y9" s="753">
        <f>IFERROR(VALUE(LEFT(AE9,FIND("(",AE9)-1))+($W9-1)*VALUE(MID(AE9,FIND("+",AE9)+1,FIND(")",AE9)-FIND("+",AE9)-1)),"")</f>
        <v>183</v>
      </c>
      <c r="Z9" s="753">
        <f>IFERROR(VALUE(LEFT(AF9,FIND("(",AF9)-1))+($W9-1)*VALUE(MID(AF9,FIND("+",AF9)+1,FIND(")",AF9)-FIND("+",AF9)-1)),"")</f>
        <v>216</v>
      </c>
      <c r="AA9" s="753">
        <f>IFERROR(VALUE(LEFT(AG9,FIND("(",AG9)-1))+($W9-1)*VALUE(MID(AG9,FIND("+",AG9)+1,FIND(")",AG9)-FIND("+",AG9)-1)),"")</f>
        <v>183</v>
      </c>
      <c r="AB9" s="753">
        <f>IFERROR(VALUE(LEFT(AH9,FIND("(",AH9)-1))+($W9-1)*VALUE(MID(AH9,FIND("+",AH9)+1,FIND(")",AH9)-FIND("+",AH9)-1)),"")</f>
        <v>216</v>
      </c>
      <c r="AC9" s="753">
        <f>IFERROR(VALUE(LEFT(AI9,FIND("(",AI9)-1))+($W9-1)*VALUE(MID(AI9,FIND("+",AI9)+1,FIND(")",AI9)-FIND("+",AI9)-1)),"")</f>
        <v>251</v>
      </c>
      <c r="AD9" s="707"/>
      <c r="AE9" s="707" t="str">
        <f>IFERROR(VLOOKUP($A9,全人物技能说明!$A$1:$O$99,9,FALSE),"")</f>
        <v>38(+5)</v>
      </c>
      <c r="AF9" s="707" t="str">
        <f>IFERROR(VLOOKUP($A9,全人物技能说明!$A$1:$O$99,10,FALSE),"")</f>
        <v>42(+6)</v>
      </c>
      <c r="AG9" s="707" t="str">
        <f>IFERROR(VLOOKUP($A9,全人物技能说明!$A$1:$O$99,11,FALSE),"")</f>
        <v>38(+5)</v>
      </c>
      <c r="AH9" s="707" t="str">
        <f>IFERROR(VLOOKUP($A9,全人物技能说明!$A$1:$O$99,12,FALSE),"")</f>
        <v>42(+6)</v>
      </c>
      <c r="AI9" s="707" t="str">
        <f>IFERROR(VLOOKUP($A9,全人物技能说明!$A$1:$O$99,13,FALSE),"")</f>
        <v>48(+7)</v>
      </c>
      <c r="AJ9" s="785"/>
      <c r="AL9" s="157"/>
      <c r="AM9" s="159"/>
      <c r="AN9" s="159"/>
      <c r="AO9" s="159"/>
      <c r="AP9" s="159"/>
    </row>
    <row r="10" ht="20" customHeight="1" spans="1:42">
      <c r="A10" s="715" t="s">
        <v>83</v>
      </c>
      <c r="B10" s="715" t="str">
        <f>IFERROR(VLOOKUP($A10,全人物技能说明!$A$1:$O$99,2,FALSE),"")</f>
        <v>简</v>
      </c>
      <c r="C10" s="712">
        <v>29</v>
      </c>
      <c r="D10" s="712" t="str">
        <f>IFERROR(VLOOKUP($A10,全人物技能说明!$A$1:$O$99,3,FALSE),"")</f>
        <v>1剧情</v>
      </c>
      <c r="E10" s="712" t="str">
        <f>IFERROR(VLOOKUP($A10,全人物技能说明!$A$1:$O$99,4,FALSE),"")</f>
        <v>史诗</v>
      </c>
      <c r="F10" s="712" t="str">
        <f>IFERROR(VLOOKUP($A10,全人物技能说明!$A$1:$O$99,7,FALSE),"")</f>
        <v>无论是近战还是远程攻击，都需要 4 次攻击</v>
      </c>
      <c r="G10" s="716" t="str">
        <f>IFERROR(VLOOKUP($A10,全人物技能说明!$A$1:$O$99,8,FALSE),"")</f>
        <v>使下 2 次攻击的伤害提升 200%。战斗开始时即就绪。</v>
      </c>
      <c r="H10" s="716" t="s">
        <v>84</v>
      </c>
      <c r="I10" s="757" t="str">
        <f>IFERROR(VLOOKUP($A10,全人物技能说明!$A$1:$O$99,14,FALSE),"")</f>
        <v>A, F</v>
      </c>
      <c r="J10" s="757" t="str">
        <f>IFERROR(VLOOKUP($A10,全人物技能说明!$A$1:$O$99,15,FALSE),"")</f>
        <v>U</v>
      </c>
      <c r="K10" s="757"/>
      <c r="L10" s="758" t="s">
        <v>16</v>
      </c>
      <c r="M10" s="716" t="str">
        <f>IFERROR(IF(VLOOKUP($A10,全人物技能说明!$A$1:$O$99,7,FALSE)&lt;&gt;"",VLOOKUP($A10,全人物技能说明!$A$1:$O$99,7,FALSE),""),"")</f>
        <v>无论是近战还是远程攻击，都需要 4 次攻击</v>
      </c>
      <c r="N10" s="757"/>
      <c r="O10" s="753" t="s">
        <v>18</v>
      </c>
      <c r="P10" s="753">
        <f>RANK(Y10,Y:Y)</f>
        <v>9</v>
      </c>
      <c r="Q10" s="753">
        <f>RANK(Z10,Z:Z)</f>
        <v>6</v>
      </c>
      <c r="R10" s="753">
        <f>RANK(AA10,AA:AA)</f>
        <v>17</v>
      </c>
      <c r="S10" s="753">
        <f>RANK(AB10,AB:AB)</f>
        <v>2</v>
      </c>
      <c r="T10" s="753">
        <f>RANK(AC10,AC:AC)</f>
        <v>23</v>
      </c>
      <c r="U10" s="757">
        <f t="shared" si="0"/>
        <v>1020</v>
      </c>
      <c r="V10" s="757"/>
      <c r="W10" s="757">
        <f t="shared" si="1"/>
        <v>29</v>
      </c>
      <c r="X10" s="757"/>
      <c r="Y10" s="756">
        <f t="shared" si="2"/>
        <v>210</v>
      </c>
      <c r="Z10" s="756">
        <f t="shared" si="3"/>
        <v>244</v>
      </c>
      <c r="AA10" s="756">
        <f t="shared" si="4"/>
        <v>178</v>
      </c>
      <c r="AB10" s="756">
        <f t="shared" si="5"/>
        <v>244</v>
      </c>
      <c r="AC10" s="756">
        <f t="shared" si="6"/>
        <v>144</v>
      </c>
      <c r="AD10" s="757"/>
      <c r="AE10" s="757" t="str">
        <f>IFERROR(VLOOKUP($A10,全人物技能说明!$A$1:$O$99,9,FALSE),"")</f>
        <v>42(+6)</v>
      </c>
      <c r="AF10" s="757" t="str">
        <f>IFERROR(VLOOKUP($A10,全人物技能说明!$A$1:$O$99,10,FALSE),"")</f>
        <v>48(+7)</v>
      </c>
      <c r="AG10" s="757" t="str">
        <f>IFERROR(VLOOKUP($A10,全人物技能说明!$A$1:$O$99,11,FALSE),"")</f>
        <v>38(+5)</v>
      </c>
      <c r="AH10" s="757" t="str">
        <f>IFERROR(VLOOKUP($A10,全人物技能说明!$A$1:$O$99,12,FALSE),"")</f>
        <v>48(+7)</v>
      </c>
      <c r="AI10" s="757" t="str">
        <f>IFERROR(VLOOKUP($A10,全人物技能说明!$A$1:$O$99,13,FALSE),"")</f>
        <v>32(+4)</v>
      </c>
      <c r="AJ10" s="766"/>
      <c r="AL10" s="157"/>
      <c r="AM10" s="160" t="s">
        <v>85</v>
      </c>
      <c r="AN10" s="160" t="s">
        <v>86</v>
      </c>
      <c r="AO10" s="160" t="s">
        <v>87</v>
      </c>
      <c r="AP10" s="160" t="s">
        <v>88</v>
      </c>
    </row>
    <row r="11" ht="20" customHeight="1" spans="1:42">
      <c r="A11" s="717" t="s">
        <v>89</v>
      </c>
      <c r="B11" s="717" t="str">
        <f>IFERROR(VLOOKUP($A11,全人物技能说明!$A$1:$O$99,2,FALSE),"")</f>
        <v>索尼娅</v>
      </c>
      <c r="C11" s="718">
        <v>29</v>
      </c>
      <c r="D11" s="718" t="str">
        <f>IFERROR(VLOOKUP($A11,全人物技能说明!$A$1:$O$99,3,FALSE),"")</f>
        <v>3箱子</v>
      </c>
      <c r="E11" s="718" t="str">
        <f>IFERROR(VLOOKUP($A11,全人物技能说明!$A$1:$O$99,4,FALSE),"")</f>
        <v>稀有</v>
      </c>
      <c r="F11" s="721">
        <f>IFERROR(VLOOKUP($A11,全人物技能说明!$A$1:$O$99,7,FALSE),"")</f>
        <v>0</v>
      </c>
      <c r="G11" s="726" t="str">
        <f>IFERROR(VLOOKUP($A11,全人物技能说明!$A$1:$O$99,8,FALSE),"")</f>
        <v>发动 4 连击，每次攻击造成 [75% DPS] 伤害。</v>
      </c>
      <c r="H11" s="726" t="s">
        <v>90</v>
      </c>
      <c r="I11" s="707" t="str">
        <f>IFERROR(VLOOKUP($A11,全人物技能说明!$A$1:$O$99,14,FALSE),"")</f>
        <v>A</v>
      </c>
      <c r="J11" s="707" t="str">
        <f>IFERROR(VLOOKUP($A11,全人物技能说明!$A$1:$O$99,15,FALSE),"")</f>
        <v>I, U</v>
      </c>
      <c r="K11" s="760" t="s">
        <v>17</v>
      </c>
      <c r="L11" s="754" t="s">
        <v>17</v>
      </c>
      <c r="M11" s="726" t="str">
        <f>IFERROR(IF(VLOOKUP($A11,全人物技能说明!$A$1:$O$99,7,FALSE)&lt;&gt;"",VLOOKUP($A11,全人物技能说明!$A$1:$O$99,7,FALSE),""),"")</f>
        <v/>
      </c>
      <c r="N11" s="707"/>
      <c r="O11" s="753" t="s">
        <v>67</v>
      </c>
      <c r="P11" s="753">
        <f>RANK(Y11,Y:Y)</f>
        <v>9</v>
      </c>
      <c r="Q11" s="753">
        <f>RANK(Z11,Z:Z)</f>
        <v>6</v>
      </c>
      <c r="R11" s="753">
        <f>RANK(AA11,AA:AA)</f>
        <v>17</v>
      </c>
      <c r="S11" s="753">
        <f>RANK(AB11,AB:AB)</f>
        <v>7</v>
      </c>
      <c r="T11" s="753">
        <f>RANK(AC11,AC:AC)</f>
        <v>17</v>
      </c>
      <c r="U11" s="707">
        <f t="shared" si="0"/>
        <v>1020</v>
      </c>
      <c r="V11" s="707"/>
      <c r="W11" s="707">
        <f t="shared" si="1"/>
        <v>29</v>
      </c>
      <c r="X11" s="707"/>
      <c r="Y11" s="753">
        <f t="shared" si="2"/>
        <v>210</v>
      </c>
      <c r="Z11" s="753">
        <f t="shared" si="3"/>
        <v>244</v>
      </c>
      <c r="AA11" s="753">
        <f t="shared" si="4"/>
        <v>178</v>
      </c>
      <c r="AB11" s="753">
        <f t="shared" si="5"/>
        <v>210</v>
      </c>
      <c r="AC11" s="753">
        <f t="shared" si="6"/>
        <v>178</v>
      </c>
      <c r="AD11" s="707"/>
      <c r="AE11" s="707" t="str">
        <f>IFERROR(VLOOKUP($A11,全人物技能说明!$A$1:$O$99,9,FALSE),"")</f>
        <v>42(+6)</v>
      </c>
      <c r="AF11" s="707" t="str">
        <f>IFERROR(VLOOKUP($A11,全人物技能说明!$A$1:$O$99,10,FALSE),"")</f>
        <v>48(+7)</v>
      </c>
      <c r="AG11" s="707" t="str">
        <f>IFERROR(VLOOKUP($A11,全人物技能说明!$A$1:$O$99,11,FALSE),"")</f>
        <v>38(+5)</v>
      </c>
      <c r="AH11" s="707" t="str">
        <f>IFERROR(VLOOKUP($A11,全人物技能说明!$A$1:$O$99,12,FALSE),"")</f>
        <v>42(+6)</v>
      </c>
      <c r="AI11" s="707" t="str">
        <f>IFERROR(VLOOKUP($A11,全人物技能说明!$A$1:$O$99,13,FALSE),"")</f>
        <v>38(+5)</v>
      </c>
      <c r="AJ11" s="785"/>
      <c r="AL11" s="157" t="s">
        <v>91</v>
      </c>
      <c r="AM11" s="158" t="s">
        <v>92</v>
      </c>
      <c r="AN11" s="158" t="s">
        <v>93</v>
      </c>
      <c r="AO11" s="158" t="s">
        <v>94</v>
      </c>
      <c r="AP11" s="158" t="s">
        <v>95</v>
      </c>
    </row>
    <row r="12" ht="20" customHeight="1" spans="1:42">
      <c r="A12" s="710" t="s">
        <v>96</v>
      </c>
      <c r="B12" s="715" t="str">
        <f>IFERROR(VLOOKUP($A12,全人物技能说明!$A$1:$O$99,2,FALSE),"")</f>
        <v>安</v>
      </c>
      <c r="C12" s="712">
        <v>29</v>
      </c>
      <c r="D12" s="712" t="str">
        <f>IFERROR(VLOOKUP($A12,全人物技能说明!$A$1:$O$99,3,FALSE),"")</f>
        <v>3箱子</v>
      </c>
      <c r="E12" s="712" t="str">
        <f>IFERROR(VLOOKUP($A12,全人物技能说明!$A$1:$O$99,4,FALSE),"")</f>
        <v>稀有</v>
      </c>
      <c r="F12" s="727" t="str">
        <f>IFERROR(VLOOKUP($A12,全人物技能说明!$A$1:$O$99,7,FALSE),"")</f>
        <v>X2武士刀，4次。X4匕首7次</v>
      </c>
      <c r="G12" s="720" t="str">
        <f>IFERROR(VLOOKUP($A12,全人物技能说明!$A$1:$O$99,8,FALSE),"")</f>
        <v>为最多 2 名血量最低的队友提供美食，回复 [20% AGI] 生命值，并在 4 回合内提升 50% 护甲。</v>
      </c>
      <c r="H12" s="720" t="s">
        <v>97</v>
      </c>
      <c r="I12" s="757" t="str">
        <f>IFERROR(VLOOKUP($A12,全人物技能说明!$A$1:$O$99,14,FALSE),"")</f>
        <v>U</v>
      </c>
      <c r="J12" s="757" t="str">
        <f>IFERROR(VLOOKUP($A12,全人物技能说明!$A$1:$O$99,15,FALSE),"")</f>
        <v>W, I</v>
      </c>
      <c r="K12" s="764" t="s">
        <v>16</v>
      </c>
      <c r="L12" s="758" t="s">
        <v>16</v>
      </c>
      <c r="M12" s="716" t="str">
        <f>IFERROR(IF(VLOOKUP($A12,全人物技能说明!$A$1:$O$99,7,FALSE)&lt;&gt;"",VLOOKUP($A12,全人物技能说明!$A$1:$O$99,7,FALSE),""),"")</f>
        <v>X2武士刀，4次。X4匕首7次</v>
      </c>
      <c r="N12" s="756"/>
      <c r="O12" s="756" t="s">
        <v>18</v>
      </c>
      <c r="P12" s="753">
        <f>RANK(Y12,Y:Y)</f>
        <v>20</v>
      </c>
      <c r="Q12" s="753">
        <f>RANK(Z12,Z:Z)</f>
        <v>11</v>
      </c>
      <c r="R12" s="753">
        <f>RANK(AA12,AA:AA)</f>
        <v>17</v>
      </c>
      <c r="S12" s="753">
        <f>RANK(AB12,AB:AB)</f>
        <v>7</v>
      </c>
      <c r="T12" s="753">
        <f>RANK(AC12,AC:AC)</f>
        <v>5</v>
      </c>
      <c r="U12" s="757">
        <f t="shared" si="0"/>
        <v>1020</v>
      </c>
      <c r="V12" s="757"/>
      <c r="W12" s="757">
        <f t="shared" si="1"/>
        <v>29</v>
      </c>
      <c r="X12" s="757"/>
      <c r="Y12" s="756">
        <f t="shared" si="2"/>
        <v>178</v>
      </c>
      <c r="Z12" s="756">
        <f t="shared" si="3"/>
        <v>210</v>
      </c>
      <c r="AA12" s="756">
        <f t="shared" si="4"/>
        <v>178</v>
      </c>
      <c r="AB12" s="756">
        <f t="shared" si="5"/>
        <v>210</v>
      </c>
      <c r="AC12" s="756">
        <f t="shared" si="6"/>
        <v>244</v>
      </c>
      <c r="AD12" s="757"/>
      <c r="AE12" s="757" t="str">
        <f>IFERROR(VLOOKUP($A12,全人物技能说明!$A$1:$O$99,9,FALSE),"")</f>
        <v>38(+5)</v>
      </c>
      <c r="AF12" s="757" t="str">
        <f>IFERROR(VLOOKUP($A12,全人物技能说明!$A$1:$O$99,10,FALSE),"")</f>
        <v>42(+6)</v>
      </c>
      <c r="AG12" s="757" t="str">
        <f>IFERROR(VLOOKUP($A12,全人物技能说明!$A$1:$O$99,11,FALSE),"")</f>
        <v>38(+5)</v>
      </c>
      <c r="AH12" s="757" t="str">
        <f>IFERROR(VLOOKUP($A12,全人物技能说明!$A$1:$O$99,12,FALSE),"")</f>
        <v>42(+6)</v>
      </c>
      <c r="AI12" s="757" t="str">
        <f>IFERROR(VLOOKUP($A12,全人物技能说明!$A$1:$O$99,13,FALSE),"")</f>
        <v>48(+7)</v>
      </c>
      <c r="AJ12" s="766"/>
      <c r="AL12" s="157"/>
      <c r="AM12" s="159"/>
      <c r="AN12" s="159"/>
      <c r="AO12" s="159"/>
      <c r="AP12" s="159"/>
    </row>
    <row r="13" ht="20" customHeight="1" spans="1:42">
      <c r="A13" s="715" t="s">
        <v>98</v>
      </c>
      <c r="B13" s="715" t="str">
        <f>IFERROR(VLOOKUP($A13,全人物技能说明!$A$1:$O$99,2,FALSE),"")</f>
        <v>玛蒂娜</v>
      </c>
      <c r="C13" s="712">
        <v>28</v>
      </c>
      <c r="D13" s="712" t="str">
        <f>IFERROR(VLOOKUP($A13,全人物技能说明!$A$1:$O$99,3,FALSE),"")</f>
        <v>1剧情</v>
      </c>
      <c r="E13" s="712" t="str">
        <f>IFERROR(VLOOKUP($A13,全人物技能说明!$A$1:$O$99,4,FALSE),"")</f>
        <v>普通</v>
      </c>
      <c r="F13" s="721">
        <f>IFERROR(VLOOKUP($A13,全人物技能说明!$A$1:$O$99,7,FALSE),"")</f>
        <v>0</v>
      </c>
      <c r="G13" s="716" t="str">
        <f>IFERROR(VLOOKUP($A13,全人物技能说明!$A$1:$O$99,8,FALSE),"")</f>
        <v>跳向最虚弱的敌人，造成 [200% DPS] 伤害。</v>
      </c>
      <c r="H13" s="716" t="s">
        <v>99</v>
      </c>
      <c r="I13" s="757" t="str">
        <f>IFERROR(VLOOKUP($A13,全人物技能说明!$A$1:$O$99,14,FALSE),"")</f>
        <v>W, I</v>
      </c>
      <c r="J13" s="757" t="str">
        <f>IFERROR(VLOOKUP($A13,全人物技能说明!$A$1:$O$99,15,FALSE),"")</f>
        <v>A</v>
      </c>
      <c r="K13" s="765" t="s">
        <v>15</v>
      </c>
      <c r="L13" s="758" t="s">
        <v>15</v>
      </c>
      <c r="M13" s="716" t="str">
        <f>IFERROR(IF(VLOOKUP($A13,全人物技能说明!$A$1:$O$99,7,FALSE)&lt;&gt;"",VLOOKUP($A13,全人物技能说明!$A$1:$O$99,7,FALSE),""),"")</f>
        <v/>
      </c>
      <c r="N13" s="757"/>
      <c r="O13" s="756" t="s">
        <v>52</v>
      </c>
      <c r="P13" s="753">
        <f>RANK(Y13,Y:Y)</f>
        <v>5</v>
      </c>
      <c r="Q13" s="753">
        <f>RANK(Z13,Z:Z)</f>
        <v>24</v>
      </c>
      <c r="R13" s="753">
        <f>RANK(AA13,AA:AA)</f>
        <v>5</v>
      </c>
      <c r="S13" s="753">
        <f>RANK(AB13,AB:AB)</f>
        <v>19</v>
      </c>
      <c r="T13" s="753">
        <f>RANK(AC13,AC:AC)</f>
        <v>12</v>
      </c>
      <c r="U13" s="757">
        <f t="shared" si="0"/>
        <v>991</v>
      </c>
      <c r="V13" s="757"/>
      <c r="W13" s="757">
        <f t="shared" si="1"/>
        <v>28</v>
      </c>
      <c r="X13" s="757"/>
      <c r="Y13" s="756">
        <f t="shared" si="2"/>
        <v>237</v>
      </c>
      <c r="Z13" s="756">
        <f t="shared" si="3"/>
        <v>140</v>
      </c>
      <c r="AA13" s="756">
        <f t="shared" si="4"/>
        <v>237</v>
      </c>
      <c r="AB13" s="756">
        <f t="shared" si="5"/>
        <v>173</v>
      </c>
      <c r="AC13" s="756">
        <f t="shared" si="6"/>
        <v>204</v>
      </c>
      <c r="AD13" s="757"/>
      <c r="AE13" s="757" t="str">
        <f>IFERROR(VLOOKUP($A13,全人物技能说明!$A$1:$O$99,9,FALSE),"")</f>
        <v>48(+7)</v>
      </c>
      <c r="AF13" s="757" t="str">
        <f>IFERROR(VLOOKUP($A13,全人物技能说明!$A$1:$O$99,10,FALSE),"")</f>
        <v>32(+4)</v>
      </c>
      <c r="AG13" s="757" t="str">
        <f>IFERROR(VLOOKUP($A13,全人物技能说明!$A$1:$O$99,11,FALSE),"")</f>
        <v>48(+7)</v>
      </c>
      <c r="AH13" s="757" t="str">
        <f>IFERROR(VLOOKUP($A13,全人物技能说明!$A$1:$O$99,12,FALSE),"")</f>
        <v>38(+5)</v>
      </c>
      <c r="AI13" s="757" t="str">
        <f>IFERROR(VLOOKUP($A13,全人物技能说明!$A$1:$O$99,13,FALSE),"")</f>
        <v>42(+6)</v>
      </c>
      <c r="AJ13" s="785"/>
      <c r="AL13" s="157"/>
      <c r="AM13" s="160" t="s">
        <v>100</v>
      </c>
      <c r="AN13" s="160" t="s">
        <v>100</v>
      </c>
      <c r="AO13" s="160" t="s">
        <v>101</v>
      </c>
      <c r="AP13" s="160" t="s">
        <v>102</v>
      </c>
    </row>
    <row r="14" ht="20" customHeight="1" spans="1:42">
      <c r="A14" s="717" t="s">
        <v>103</v>
      </c>
      <c r="B14" s="717" t="str">
        <f>IFERROR(VLOOKUP($A14,全人物技能说明!$A$1:$O$99,2,FALSE),"")</f>
        <v>莱恩</v>
      </c>
      <c r="C14" s="718">
        <v>27</v>
      </c>
      <c r="D14" s="718" t="str">
        <f>IFERROR(VLOOKUP($A14,全人物技能说明!$A$1:$O$99,3,FALSE),"")</f>
        <v>3剧情</v>
      </c>
      <c r="E14" s="718" t="str">
        <f>IFERROR(VLOOKUP($A14,全人物技能说明!$A$1:$O$99,4,FALSE),"")</f>
        <v>稀有</v>
      </c>
      <c r="F14" s="728">
        <f>IFERROR(VLOOKUP($A14,全人物技能说明!$A$1:$O$99,7,FALSE),"")</f>
        <v>0</v>
      </c>
      <c r="G14" s="725" t="str">
        <f>IFERROR(VLOOKUP($A14,全人物技能说明!$A$1:$O$99,8,FALSE),"")</f>
        <v>骇入敌人装备，对 4 名敌人造成 [25% INT] 伤害，并在 5 回合内减少其 25% 输出伤害。</v>
      </c>
      <c r="H14" s="725" t="s">
        <v>104</v>
      </c>
      <c r="I14" s="707" t="str">
        <f>IFERROR(VLOOKUP($A14,全人物技能说明!$A$1:$O$99,14,FALSE),"")</f>
        <v>W, I</v>
      </c>
      <c r="J14" s="707" t="str">
        <f>IFERROR(VLOOKUP($A14,全人物技能说明!$A$1:$O$99,15,FALSE),"")</f>
        <v>F</v>
      </c>
      <c r="K14" s="761" t="s">
        <v>17</v>
      </c>
      <c r="L14" s="754" t="s">
        <v>17</v>
      </c>
      <c r="M14" s="726" t="str">
        <f>IFERROR(IF(VLOOKUP($A14,全人物技能说明!$A$1:$O$99,7,FALSE)&lt;&gt;"",VLOOKUP($A14,全人物技能说明!$A$1:$O$99,7,FALSE),""),"")</f>
        <v/>
      </c>
      <c r="N14" s="707"/>
      <c r="O14" s="756" t="s">
        <v>52</v>
      </c>
      <c r="P14" s="753">
        <f>RANK(Y14,Y:Y)</f>
        <v>7</v>
      </c>
      <c r="Q14" s="753">
        <f>RANK(Z14,Z:Z)</f>
        <v>17</v>
      </c>
      <c r="R14" s="753">
        <f>RANK(AA14,AA:AA)</f>
        <v>7</v>
      </c>
      <c r="S14" s="753">
        <f>RANK(AB14,AB:AB)</f>
        <v>28</v>
      </c>
      <c r="T14" s="753">
        <f>RANK(AC14,AC:AC)</f>
        <v>13</v>
      </c>
      <c r="U14" s="707">
        <f t="shared" si="0"/>
        <v>933</v>
      </c>
      <c r="V14" s="707"/>
      <c r="W14" s="707">
        <f t="shared" si="1"/>
        <v>27</v>
      </c>
      <c r="X14" s="707"/>
      <c r="Y14" s="753">
        <f t="shared" si="2"/>
        <v>223</v>
      </c>
      <c r="Z14" s="753">
        <f t="shared" si="3"/>
        <v>163</v>
      </c>
      <c r="AA14" s="753">
        <f t="shared" si="4"/>
        <v>223</v>
      </c>
      <c r="AB14" s="753">
        <f t="shared" si="5"/>
        <v>132</v>
      </c>
      <c r="AC14" s="753">
        <f t="shared" si="6"/>
        <v>192</v>
      </c>
      <c r="AD14" s="707"/>
      <c r="AE14" s="707" t="str">
        <f>IFERROR(VLOOKUP($A14,全人物技能说明!$A$1:$O$99,9,FALSE),"")</f>
        <v>41(+7)</v>
      </c>
      <c r="AF14" s="707" t="str">
        <f>IFERROR(VLOOKUP($A14,全人物技能说明!$A$1:$O$99,10,FALSE),"")</f>
        <v>33(+5)</v>
      </c>
      <c r="AG14" s="707" t="str">
        <f>IFERROR(VLOOKUP($A14,全人物技能说明!$A$1:$O$99,11,FALSE),"")</f>
        <v>41(+7)</v>
      </c>
      <c r="AH14" s="707" t="str">
        <f>IFERROR(VLOOKUP($A14,全人物技能说明!$A$1:$O$99,12,FALSE),"")</f>
        <v>28(+4)</v>
      </c>
      <c r="AI14" s="707" t="str">
        <f>IFERROR(VLOOKUP($A14,全人物技能说明!$A$1:$O$99,13,FALSE),"")</f>
        <v>36(+6)</v>
      </c>
      <c r="AJ14" s="768"/>
      <c r="AL14" s="157" t="s">
        <v>105</v>
      </c>
      <c r="AM14" s="158" t="s">
        <v>106</v>
      </c>
      <c r="AN14" s="158" t="s">
        <v>107</v>
      </c>
      <c r="AO14" s="158" t="s">
        <v>108</v>
      </c>
      <c r="AP14" s="157" t="s">
        <v>109</v>
      </c>
    </row>
    <row r="15" ht="20" customHeight="1" spans="1:42">
      <c r="A15" s="710" t="s">
        <v>110</v>
      </c>
      <c r="B15" s="723" t="str">
        <f>IFERROR(VLOOKUP($A15,全人物技能说明!$A$1:$O$99,2,FALSE),"")</f>
        <v>卡琳</v>
      </c>
      <c r="C15" s="712">
        <v>24</v>
      </c>
      <c r="D15" s="712" t="str">
        <f>IFERROR(VLOOKUP($A15,全人物技能说明!$A$1:$O$99,3,FALSE),"")</f>
        <v>1箱子</v>
      </c>
      <c r="E15" s="712" t="str">
        <f>IFERROR(VLOOKUP($A15,全人物技能说明!$A$1:$O$99,4,FALSE),"")</f>
        <v>稀有</v>
      </c>
      <c r="F15" s="721" t="str">
        <f>IFERROR(VLOOKUP($A15,全人物技能说明!$A$1:$O$99,7,FALSE),"")</f>
        <v>重管，围绕A因为那条分支上AFU。重管在 A、F和U方面的属性是第二高</v>
      </c>
      <c r="G15" s="720" t="str">
        <f>IFERROR(VLOOKUP($A15,全人物技能说明!$A$1:$O$99,8,FALSE),"")</f>
        <v>恢复活力，回复 [35% HP] 并在 2 回合内获得 [130% DEF] 防御加成。</v>
      </c>
      <c r="H15" s="720" t="s">
        <v>111</v>
      </c>
      <c r="I15" s="752" t="str">
        <f>IFERROR(VLOOKUP($A15,全人物技能说明!$A$1:$O$99,14,FALSE),"")</f>
        <v>W, A</v>
      </c>
      <c r="J15" s="757" t="str">
        <f>IFERROR(VLOOKUP($A15,全人物技能说明!$A$1:$O$99,15,FALSE),"")</f>
        <v>I, U</v>
      </c>
      <c r="K15" s="756" t="s">
        <v>112</v>
      </c>
      <c r="L15" s="758" t="s">
        <v>113</v>
      </c>
      <c r="M15" s="716" t="str">
        <f>IFERROR(IF(VLOOKUP($A15,全人物技能说明!$A$1:$O$99,7,FALSE)&lt;&gt;"",VLOOKUP($A15,全人物技能说明!$A$1:$O$99,7,FALSE),""),"")</f>
        <v>重管，围绕A因为那条分支上AFU。重管在 A、F和U方面的属性是第二高</v>
      </c>
      <c r="N15" s="756"/>
      <c r="O15" s="753" t="s">
        <v>114</v>
      </c>
      <c r="P15" s="753">
        <f>RANK(Y15,Y:Y)</f>
        <v>4</v>
      </c>
      <c r="Q15" s="753">
        <f>RANK(Z15,Z:Z)</f>
        <v>8</v>
      </c>
      <c r="R15" s="753">
        <f>RANK(AA15,AA:AA)</f>
        <v>15</v>
      </c>
      <c r="S15" s="753">
        <f>RANK(AB15,AB:AB)</f>
        <v>9</v>
      </c>
      <c r="T15" s="753">
        <f>RANK(AC15,AC:AC)</f>
        <v>16</v>
      </c>
      <c r="U15" s="757">
        <f t="shared" si="0"/>
        <v>1049</v>
      </c>
      <c r="V15" s="757"/>
      <c r="W15" s="757">
        <f t="shared" si="1"/>
        <v>24</v>
      </c>
      <c r="X15" s="757">
        <v>1</v>
      </c>
      <c r="Y15" s="756">
        <f t="shared" si="2"/>
        <v>238</v>
      </c>
      <c r="Z15" s="756">
        <f t="shared" si="3"/>
        <v>238</v>
      </c>
      <c r="AA15" s="756">
        <f t="shared" si="4"/>
        <v>182</v>
      </c>
      <c r="AB15" s="756">
        <f t="shared" si="5"/>
        <v>209</v>
      </c>
      <c r="AC15" s="756">
        <f t="shared" si="6"/>
        <v>182</v>
      </c>
      <c r="AD15" s="757"/>
      <c r="AE15" s="757" t="str">
        <f>IFERROR(VLOOKUP($A15,全人物技能说明!$A$1:$O$99,9,FALSE),"")</f>
        <v>54(+8)</v>
      </c>
      <c r="AF15" s="757" t="str">
        <f>IFERROR(VLOOKUP($A15,全人物技能说明!$A$1:$O$99,10,FALSE),"")</f>
        <v>54(+8)</v>
      </c>
      <c r="AG15" s="757" t="str">
        <f>IFERROR(VLOOKUP($A15,全人物技能说明!$A$1:$O$99,11,FALSE),"")</f>
        <v>44(+6)</v>
      </c>
      <c r="AH15" s="757" t="str">
        <f>IFERROR(VLOOKUP($A15,全人物技能说明!$A$1:$O$99,12,FALSE),"")</f>
        <v>48(+7)</v>
      </c>
      <c r="AI15" s="757" t="str">
        <f>IFERROR(VLOOKUP($A15,全人物技能说明!$A$1:$O$99,13,FALSE),"")</f>
        <v>44(+6)</v>
      </c>
      <c r="AJ15" s="785"/>
      <c r="AL15" s="157"/>
      <c r="AM15" s="159"/>
      <c r="AN15" s="159"/>
      <c r="AO15" s="159"/>
      <c r="AP15" s="157"/>
    </row>
    <row r="16" ht="20" customHeight="1" spans="1:42">
      <c r="A16" s="715" t="s">
        <v>115</v>
      </c>
      <c r="B16" s="715" t="str">
        <f>IFERROR(VLOOKUP($A16,全人物技能说明!$A$1:$O$99,2,FALSE),"")</f>
        <v>桃香</v>
      </c>
      <c r="C16" s="712">
        <v>24</v>
      </c>
      <c r="D16" s="712" t="str">
        <f>IFERROR(VLOOKUP($A16,全人物技能说明!$A$1:$O$99,3,FALSE),"")</f>
        <v>2箱子</v>
      </c>
      <c r="E16" s="712" t="str">
        <f>IFERROR(VLOOKUP($A16,全人物技能说明!$A$1:$O$99,4,FALSE),"")</f>
        <v>传说</v>
      </c>
      <c r="F16" s="712">
        <f>IFERROR(VLOOKUP($A16,全人物技能说明!$A$1:$O$99,7,FALSE),"")</f>
        <v>0</v>
      </c>
      <c r="G16" s="716" t="str">
        <f>IFERROR(VLOOKUP($A16,全人物技能说明!$A$1:$O$99,8,FALSE),"")</f>
        <v>揭发恶徒，指挥 1 名队友立即攻击对方。</v>
      </c>
      <c r="H16" s="716" t="s">
        <v>116</v>
      </c>
      <c r="I16" s="757" t="str">
        <f>IFERROR(VLOOKUP($A16,全人物技能说明!$A$1:$O$99,14,FALSE),"")</f>
        <v>F, U</v>
      </c>
      <c r="J16" s="757" t="str">
        <f>IFERROR(VLOOKUP($A16,全人物技能说明!$A$1:$O$99,15,FALSE),"")</f>
        <v>W</v>
      </c>
      <c r="K16" s="766"/>
      <c r="L16" s="767" t="s">
        <v>16</v>
      </c>
      <c r="M16" s="716" t="str">
        <f>IFERROR(IF(VLOOKUP($A16,全人物技能说明!$A$1:$O$99,7,FALSE)&lt;&gt;"",VLOOKUP($A16,全人物技能说明!$A$1:$O$99,7,FALSE),""),"")</f>
        <v/>
      </c>
      <c r="N16" s="757"/>
      <c r="O16" s="753" t="s">
        <v>18</v>
      </c>
      <c r="P16" s="753">
        <f>RANK(Y16,Y:Y)</f>
        <v>33</v>
      </c>
      <c r="Q16" s="753">
        <f>RANK(Z16,Z:Z)</f>
        <v>19</v>
      </c>
      <c r="R16" s="753">
        <f>RANK(AA16,AA:AA)</f>
        <v>16</v>
      </c>
      <c r="S16" s="753">
        <f>RANK(AB16,AB:AB)</f>
        <v>9</v>
      </c>
      <c r="T16" s="753">
        <f>RANK(AC16,AC:AC)</f>
        <v>10</v>
      </c>
      <c r="U16" s="757">
        <f t="shared" si="0"/>
        <v>875</v>
      </c>
      <c r="V16" s="757"/>
      <c r="W16" s="757">
        <f t="shared" si="1"/>
        <v>24</v>
      </c>
      <c r="X16" s="757"/>
      <c r="Y16" s="756">
        <f t="shared" si="2"/>
        <v>124</v>
      </c>
      <c r="Z16" s="756">
        <f t="shared" si="3"/>
        <v>153</v>
      </c>
      <c r="AA16" s="756">
        <f t="shared" si="4"/>
        <v>180</v>
      </c>
      <c r="AB16" s="756">
        <f t="shared" si="5"/>
        <v>209</v>
      </c>
      <c r="AC16" s="756">
        <f t="shared" si="6"/>
        <v>209</v>
      </c>
      <c r="AD16" s="757"/>
      <c r="AE16" s="757" t="str">
        <f>IFERROR(VLOOKUP($A16,全人物技能说明!$A$1:$O$99,9,FALSE),"")</f>
        <v>32(+4)</v>
      </c>
      <c r="AF16" s="757" t="str">
        <f>IFERROR(VLOOKUP($A16,全人物技能说明!$A$1:$O$99,10,FALSE),"")</f>
        <v>38(+5)</v>
      </c>
      <c r="AG16" s="757" t="str">
        <f>IFERROR(VLOOKUP($A16,全人物技能说明!$A$1:$O$99,11,FALSE),"")</f>
        <v>42(+6)</v>
      </c>
      <c r="AH16" s="757" t="str">
        <f>IFERROR(VLOOKUP($A16,全人物技能说明!$A$1:$O$99,12,FALSE),"")</f>
        <v>48(+7)</v>
      </c>
      <c r="AI16" s="757" t="str">
        <f>IFERROR(VLOOKUP($A16,全人物技能说明!$A$1:$O$99,13,FALSE),"")</f>
        <v>48(+7)</v>
      </c>
      <c r="AJ16" s="766"/>
      <c r="AL16" s="157"/>
      <c r="AM16" s="160" t="s">
        <v>117</v>
      </c>
      <c r="AN16" s="160" t="s">
        <v>118</v>
      </c>
      <c r="AO16" s="160" t="s">
        <v>53</v>
      </c>
      <c r="AP16" s="157"/>
    </row>
    <row r="17" s="3" customFormat="1" ht="20" customHeight="1" spans="1:42">
      <c r="A17" s="717" t="s">
        <v>119</v>
      </c>
      <c r="B17" s="717" t="str">
        <f>IFERROR(VLOOKUP($A17,全人物技能说明!$A$1:$O$99,2,FALSE),"")</f>
        <v>疯狂</v>
      </c>
      <c r="C17" s="718">
        <v>20</v>
      </c>
      <c r="D17" s="718" t="str">
        <f>IFERROR(VLOOKUP($A17,全人物技能说明!$A$1:$O$99,3,FALSE),"")</f>
        <v>1箱子</v>
      </c>
      <c r="E17" s="718" t="str">
        <f>IFERROR(VLOOKUP($A17,全人物技能说明!$A$1:$O$99,4,FALSE),"")</f>
        <v>稀有</v>
      </c>
      <c r="F17" s="718">
        <f>IFERROR(VLOOKUP($A17,全人物技能说明!$A$1:$O$99,7,FALSE),"")</f>
        <v>0</v>
      </c>
      <c r="G17" s="726" t="str">
        <f>IFERROR(VLOOKUP($A17,全人物技能说明!$A$1:$O$99,8,FALSE),"")</f>
        <v>向最多 4 名敌人投掷炸弹，造成 [75% DPS] 伤害。</v>
      </c>
      <c r="H17" s="726" t="s">
        <v>120</v>
      </c>
      <c r="I17" s="707" t="str">
        <f>IFERROR(VLOOKUP($A17,全人物技能说明!$A$1:$O$99,14,FALSE),"")</f>
        <v>A</v>
      </c>
      <c r="J17" s="707" t="str">
        <f>IFERROR(VLOOKUP($A17,全人物技能说明!$A$1:$O$99,15,FALSE),"")</f>
        <v>W, U</v>
      </c>
      <c r="K17" s="764" t="s">
        <v>16</v>
      </c>
      <c r="L17" s="754" t="s">
        <v>16</v>
      </c>
      <c r="M17" s="726" t="str">
        <f>IFERROR(IF(VLOOKUP($A17,全人物技能说明!$A$1:$O$99,7,FALSE)&lt;&gt;"",VLOOKUP($A17,全人物技能说明!$A$1:$O$99,7,FALSE),""),"")</f>
        <v/>
      </c>
      <c r="N17" s="768"/>
      <c r="O17" s="769" t="s">
        <v>67</v>
      </c>
      <c r="P17" s="753">
        <f>RANK(Y17,Y:Y)</f>
        <v>17</v>
      </c>
      <c r="Q17" s="753">
        <f>RANK(Z17,Z:Z)</f>
        <v>3</v>
      </c>
      <c r="R17" s="753">
        <f>RANK(AA17,AA:AA)</f>
        <v>8</v>
      </c>
      <c r="S17" s="753">
        <f>RANK(AB17,AB:AB)</f>
        <v>11</v>
      </c>
      <c r="T17" s="753">
        <f>RANK(AC17,AC:AC)</f>
        <v>15</v>
      </c>
      <c r="U17" s="707">
        <f t="shared" si="0"/>
        <v>1053</v>
      </c>
      <c r="V17" s="707"/>
      <c r="W17" s="707">
        <f t="shared" si="1"/>
        <v>20</v>
      </c>
      <c r="X17" s="707"/>
      <c r="Y17" s="753">
        <f t="shared" si="2"/>
        <v>183</v>
      </c>
      <c r="Z17" s="753">
        <f t="shared" si="3"/>
        <v>275</v>
      </c>
      <c r="AA17" s="753">
        <f t="shared" si="4"/>
        <v>206</v>
      </c>
      <c r="AB17" s="753">
        <f t="shared" si="5"/>
        <v>206</v>
      </c>
      <c r="AC17" s="753">
        <f t="shared" si="6"/>
        <v>183</v>
      </c>
      <c r="AD17" s="707"/>
      <c r="AE17" s="707" t="str">
        <f>IFERROR(VLOOKUP($A17,全人物技能说明!$A$1:$O$99,9,FALSE),"")</f>
        <v>50(+7)</v>
      </c>
      <c r="AF17" s="707" t="str">
        <f>IFERROR(VLOOKUP($A17,全人物技能说明!$A$1:$O$99,10,FALSE),"")</f>
        <v>66(+11)</v>
      </c>
      <c r="AG17" s="707" t="str">
        <f>IFERROR(VLOOKUP($A17,全人物技能说明!$A$1:$O$99,11,FALSE),"")</f>
        <v>54(+8)</v>
      </c>
      <c r="AH17" s="707" t="str">
        <f>IFERROR(VLOOKUP($A17,全人物技能说明!$A$1:$O$99,12,FALSE),"")</f>
        <v>54(+8)</v>
      </c>
      <c r="AI17" s="707" t="str">
        <f>IFERROR(VLOOKUP($A17,全人物技能说明!$A$1:$O$99,13,FALSE),"")</f>
        <v>50(+7)</v>
      </c>
      <c r="AJ17" s="768"/>
      <c r="AL17" s="786" t="s">
        <v>121</v>
      </c>
      <c r="AM17" s="787" t="s">
        <v>122</v>
      </c>
      <c r="AN17" s="787" t="s">
        <v>123</v>
      </c>
      <c r="AO17" s="787" t="s">
        <v>124</v>
      </c>
      <c r="AP17" s="786" t="s">
        <v>125</v>
      </c>
    </row>
    <row r="18" ht="20" customHeight="1" spans="1:42">
      <c r="A18" s="710" t="s">
        <v>126</v>
      </c>
      <c r="B18" s="723" t="str">
        <f>IFERROR(VLOOKUP($A18,全人物技能说明!$A$1:$O$99,2,FALSE),"")</f>
        <v>泰丝</v>
      </c>
      <c r="C18" s="718">
        <v>20</v>
      </c>
      <c r="D18" s="718" t="str">
        <f>IFERROR(VLOOKUP($A18,全人物技能说明!$A$1:$O$99,3,FALSE),"")</f>
        <v>3剧情</v>
      </c>
      <c r="E18" s="718" t="str">
        <f>IFERROR(VLOOKUP($A18,全人物技能说明!$A$1:$O$99,4,FALSE),"")</f>
        <v>稀有</v>
      </c>
      <c r="F18" s="724" t="str">
        <f>IFERROR(VLOOKUP($A18,全人物技能说明!$A$1:$O$99,7,FALSE),"")</f>
        <v>Tess嘲讽充能速度最快，用X4要快得多，使用管状武器需要 3 次攻击</v>
      </c>
      <c r="G18" s="725" t="str">
        <f>IFERROR(VLOOKUP($A18,全人物技能说明!$A$1:$O$99,8,FALSE),"")</f>
        <v>嘲讽敌人 2 回合，减少 60% 所受到的伤害。</v>
      </c>
      <c r="H18" s="725" t="s">
        <v>127</v>
      </c>
      <c r="I18" s="752" t="str">
        <f>IFERROR(VLOOKUP($A18,全人物技能说明!$A$1:$O$99,14,FALSE),"")</f>
        <v>A, U</v>
      </c>
      <c r="J18" s="707" t="str">
        <f>IFERROR(VLOOKUP($A18,全人物技能说明!$A$1:$O$99,15,FALSE),"")</f>
        <v>W, I</v>
      </c>
      <c r="K18" s="768"/>
      <c r="L18" s="754" t="s">
        <v>16</v>
      </c>
      <c r="M18" s="726" t="str">
        <f>IFERROR(IF(VLOOKUP($A18,全人物技能说明!$A$1:$O$99,7,FALSE)&lt;&gt;"",VLOOKUP($A18,全人物技能说明!$A$1:$O$99,7,FALSE),""),"")</f>
        <v>Tess嘲讽充能速度最快，用X4要快得多，使用管状武器需要 3 次攻击</v>
      </c>
      <c r="N18" s="769"/>
      <c r="O18" s="770"/>
      <c r="P18" s="753">
        <f>RANK(Y18,Y:Y)</f>
        <v>22</v>
      </c>
      <c r="Q18" s="753">
        <f>RANK(Z18,Z:Z)</f>
        <v>12</v>
      </c>
      <c r="R18" s="753">
        <f>RANK(AA18,AA:AA)</f>
        <v>22</v>
      </c>
      <c r="S18" s="753">
        <f>RANK(AB18,AB:AB)</f>
        <v>18</v>
      </c>
      <c r="T18" s="753">
        <f>RANK(AC18,AC:AC)</f>
        <v>11</v>
      </c>
      <c r="U18" s="707">
        <f t="shared" si="0"/>
        <v>909</v>
      </c>
      <c r="V18" s="707"/>
      <c r="W18" s="707">
        <f t="shared" si="1"/>
        <v>20</v>
      </c>
      <c r="X18" s="707">
        <v>1</v>
      </c>
      <c r="Y18" s="753">
        <f t="shared" si="2"/>
        <v>158</v>
      </c>
      <c r="Z18" s="753">
        <f t="shared" si="3"/>
        <v>206</v>
      </c>
      <c r="AA18" s="753">
        <f t="shared" si="4"/>
        <v>158</v>
      </c>
      <c r="AB18" s="753">
        <f t="shared" si="5"/>
        <v>181</v>
      </c>
      <c r="AC18" s="753">
        <f t="shared" si="6"/>
        <v>206</v>
      </c>
      <c r="AD18" s="707"/>
      <c r="AE18" s="707" t="str">
        <f>IFERROR(VLOOKUP($A18,全人物技能说明!$A$1:$O$99,9,FALSE),"")</f>
        <v>44(+6)</v>
      </c>
      <c r="AF18" s="707" t="str">
        <f>IFERROR(VLOOKUP($A18,全人物技能说明!$A$1:$O$99,10,FALSE),"")</f>
        <v>54(+8)</v>
      </c>
      <c r="AG18" s="707" t="str">
        <f>IFERROR(VLOOKUP($A18,全人物技能说明!$A$1:$O$99,11,FALSE),"")</f>
        <v>44(+6)</v>
      </c>
      <c r="AH18" s="707" t="str">
        <f>IFERROR(VLOOKUP($A18,全人物技能说明!$A$1:$O$99,12,FALSE),"")</f>
        <v>48(+7)</v>
      </c>
      <c r="AI18" s="707" t="str">
        <f>IFERROR(VLOOKUP($A18,全人物技能说明!$A$1:$O$99,13,FALSE),"")</f>
        <v>54(+8)</v>
      </c>
      <c r="AJ18" s="785"/>
      <c r="AL18" s="157"/>
      <c r="AM18" s="159"/>
      <c r="AN18" s="159"/>
      <c r="AO18" s="159"/>
      <c r="AP18" s="157"/>
    </row>
    <row r="19" ht="20" customHeight="1" spans="1:42">
      <c r="A19" s="717" t="s">
        <v>128</v>
      </c>
      <c r="B19" s="717" t="str">
        <f>IFERROR(VLOOKUP($A19,全人物技能说明!$A$1:$O$99,2,FALSE),"")</f>
        <v>萨拉</v>
      </c>
      <c r="C19" s="718">
        <v>18</v>
      </c>
      <c r="D19" s="718" t="str">
        <f>IFERROR(VLOOKUP($A19,全人物技能说明!$A$1:$O$99,3,FALSE),"")</f>
        <v>2剧情</v>
      </c>
      <c r="E19" s="718" t="str">
        <f>IFERROR(VLOOKUP($A19,全人物技能说明!$A$1:$O$99,4,FALSE),"")</f>
        <v>稀有</v>
      </c>
      <c r="F19" s="718">
        <f>IFERROR(VLOOKUP($A19,全人物技能说明!$A$1:$O$99,7,FALSE),"")</f>
        <v>0</v>
      </c>
      <c r="G19" s="726" t="str">
        <f>IFERROR(VLOOKUP($A19,全人物技能说明!$A$1:$O$99,8,FALSE),"")</f>
        <v>指挥 2 名队友立即攻击一名敌人。</v>
      </c>
      <c r="H19" s="726" t="s">
        <v>51</v>
      </c>
      <c r="I19" s="707" t="str">
        <f>IFERROR(VLOOKUP($A19,全人物技能说明!$A$1:$O$99,14,FALSE),"")</f>
        <v>I, F</v>
      </c>
      <c r="J19" s="707" t="str">
        <f>IFERROR(VLOOKUP($A19,全人物技能说明!$A$1:$O$99,15,FALSE),"")</f>
        <v>A, U</v>
      </c>
      <c r="K19" s="768"/>
      <c r="L19" s="754" t="s">
        <v>17</v>
      </c>
      <c r="M19" s="726" t="str">
        <f>IFERROR(IF(VLOOKUP($A19,全人物技能说明!$A$1:$O$99,7,FALSE)&lt;&gt;"",VLOOKUP($A19,全人物技能说明!$A$1:$O$99,7,FALSE),""),"")</f>
        <v/>
      </c>
      <c r="N19" s="768"/>
      <c r="O19" s="769" t="s">
        <v>129</v>
      </c>
      <c r="P19" s="753">
        <f>RANK(Y19,Y:Y)</f>
        <v>21</v>
      </c>
      <c r="Q19" s="753">
        <f>RANK(Z19,Z:Z)</f>
        <v>23</v>
      </c>
      <c r="R19" s="753">
        <f>RANK(AA19,AA:AA)</f>
        <v>13</v>
      </c>
      <c r="S19" s="753">
        <f>RANK(AB19,AB:AB)</f>
        <v>16</v>
      </c>
      <c r="T19" s="753">
        <f>RANK(AC19,AC:AC)</f>
        <v>21</v>
      </c>
      <c r="U19" s="707">
        <f t="shared" si="0"/>
        <v>839</v>
      </c>
      <c r="V19" s="707"/>
      <c r="W19" s="707">
        <f t="shared" si="1"/>
        <v>18</v>
      </c>
      <c r="X19" s="707"/>
      <c r="Y19" s="753">
        <f t="shared" si="2"/>
        <v>167</v>
      </c>
      <c r="Z19" s="753">
        <f t="shared" si="3"/>
        <v>146</v>
      </c>
      <c r="AA19" s="753">
        <f t="shared" si="4"/>
        <v>190</v>
      </c>
      <c r="AB19" s="753">
        <f t="shared" si="5"/>
        <v>190</v>
      </c>
      <c r="AC19" s="753">
        <f t="shared" si="6"/>
        <v>146</v>
      </c>
      <c r="AD19" s="707"/>
      <c r="AE19" s="707" t="str">
        <f>IFERROR(VLOOKUP($A19,全人物技能说明!$A$1:$O$99,9,FALSE),"")</f>
        <v>48(+7)</v>
      </c>
      <c r="AF19" s="707" t="str">
        <f>IFERROR(VLOOKUP($A19,全人物技能说明!$A$1:$O$99,10,FALSE),"")</f>
        <v>44(+6)</v>
      </c>
      <c r="AG19" s="707" t="str">
        <f>IFERROR(VLOOKUP($A19,全人物技能说明!$A$1:$O$99,11,FALSE),"")</f>
        <v>54(+8)</v>
      </c>
      <c r="AH19" s="707" t="str">
        <f>IFERROR(VLOOKUP($A19,全人物技能说明!$A$1:$O$99,12,FALSE),"")</f>
        <v>54(+8)</v>
      </c>
      <c r="AI19" s="707" t="str">
        <f>IFERROR(VLOOKUP($A19,全人物技能说明!$A$1:$O$99,13,FALSE),"")</f>
        <v>44(+6)</v>
      </c>
      <c r="AJ19" s="768"/>
      <c r="AL19" s="157"/>
      <c r="AM19" s="160" t="s">
        <v>100</v>
      </c>
      <c r="AN19" s="160" t="s">
        <v>100</v>
      </c>
      <c r="AO19" s="160" t="s">
        <v>130</v>
      </c>
      <c r="AP19" s="157"/>
    </row>
    <row r="20" ht="20" customHeight="1" spans="1:36">
      <c r="A20" s="715" t="s">
        <v>131</v>
      </c>
      <c r="B20" s="715" t="str">
        <f>IFERROR(VLOOKUP($A20,全人物技能说明!$A$1:$O$99,2,FALSE),"")</f>
        <v>琪亚拉</v>
      </c>
      <c r="C20" s="712">
        <v>17</v>
      </c>
      <c r="D20" s="712" t="str">
        <f>IFERROR(VLOOKUP($A20,全人物技能说明!$A$1:$O$99,3,FALSE),"")</f>
        <v>4箱子</v>
      </c>
      <c r="E20" s="712" t="str">
        <f>IFERROR(VLOOKUP($A20,全人物技能说明!$A$1:$O$99,4,FALSE),"")</f>
        <v>史诗</v>
      </c>
      <c r="F20" s="712">
        <f>IFERROR(VLOOKUP($A20,全人物技能说明!$A$1:$O$99,7,FALSE),"")</f>
        <v>0</v>
      </c>
      <c r="G20" s="716" t="str">
        <f>IFERROR(VLOOKUP($A20,全人物技能说明!$A$1:$O$99,8,FALSE),"")</f>
        <v>指挥 1 名队友瞬间攻击一名敌人。</v>
      </c>
      <c r="H20" s="716" t="s">
        <v>132</v>
      </c>
      <c r="I20" s="757" t="str">
        <f>IFERROR(VLOOKUP($A20,全人物技能说明!$A$1:$O$99,14,FALSE),"")</f>
        <v>W, A, F</v>
      </c>
      <c r="J20" s="757" t="str">
        <f>IFERROR(VLOOKUP($A20,全人物技能说明!$A$1:$O$99,15,FALSE),"")</f>
        <v>U</v>
      </c>
      <c r="K20" s="766"/>
      <c r="L20" s="758" t="s">
        <v>16</v>
      </c>
      <c r="M20" s="716" t="str">
        <f>IFERROR(IF(VLOOKUP($A20,全人物技能说明!$A$1:$O$99,7,FALSE)&lt;&gt;"",VLOOKUP($A20,全人物技能说明!$A$1:$O$99,7,FALSE),""),"")</f>
        <v/>
      </c>
      <c r="N20" s="766"/>
      <c r="O20" s="771"/>
      <c r="P20" s="753">
        <f>RANK(Y20,Y:Y)</f>
        <v>19</v>
      </c>
      <c r="Q20" s="753">
        <f>RANK(Z20,Z:Z)</f>
        <v>15</v>
      </c>
      <c r="R20" s="753">
        <f>RANK(AA20,AA:AA)</f>
        <v>26</v>
      </c>
      <c r="S20" s="753">
        <f>RANK(AB20,AB:AB)</f>
        <v>17</v>
      </c>
      <c r="T20" s="753">
        <f>RANK(AC20,AC:AC)</f>
        <v>34</v>
      </c>
      <c r="U20" s="757">
        <f t="shared" si="0"/>
        <v>805</v>
      </c>
      <c r="V20" s="757"/>
      <c r="W20" s="757">
        <f t="shared" si="1"/>
        <v>17</v>
      </c>
      <c r="X20" s="757"/>
      <c r="Y20" s="756">
        <f t="shared" si="2"/>
        <v>182</v>
      </c>
      <c r="Z20" s="756">
        <f t="shared" si="3"/>
        <v>182</v>
      </c>
      <c r="AA20" s="756">
        <f t="shared" si="4"/>
        <v>141</v>
      </c>
      <c r="AB20" s="756">
        <f t="shared" si="5"/>
        <v>182</v>
      </c>
      <c r="AC20" s="756">
        <f t="shared" si="6"/>
        <v>118</v>
      </c>
      <c r="AD20" s="757"/>
      <c r="AE20" s="757" t="str">
        <f>IFERROR(VLOOKUP($A20,全人物技能说明!$A$1:$O$99,9,FALSE),"")</f>
        <v>54(+8)</v>
      </c>
      <c r="AF20" s="757" t="str">
        <f>IFERROR(VLOOKUP($A20,全人物技能说明!$A$1:$O$99,10,FALSE),"")</f>
        <v>54(+8)</v>
      </c>
      <c r="AG20" s="757" t="str">
        <f>IFERROR(VLOOKUP($A20,全人物技能说明!$A$1:$O$99,11,FALSE),"")</f>
        <v>45(+6)</v>
      </c>
      <c r="AH20" s="757" t="str">
        <f>IFERROR(VLOOKUP($A20,全人物技能说明!$A$1:$O$99,12,FALSE),"")</f>
        <v>54(+8)</v>
      </c>
      <c r="AI20" s="757" t="str">
        <f>IFERROR(VLOOKUP($A20,全人物技能说明!$A$1:$O$99,13,FALSE),"")</f>
        <v>38(+5)</v>
      </c>
      <c r="AJ20" s="766"/>
    </row>
    <row r="21" s="3" customFormat="1" ht="20" customHeight="1" spans="1:43">
      <c r="A21" s="717" t="s">
        <v>133</v>
      </c>
      <c r="B21" s="717" t="str">
        <f>IFERROR(VLOOKUP($A21,全人物技能说明!$A$1:$O$99,2,FALSE),"")</f>
        <v>萨曼莎</v>
      </c>
      <c r="C21" s="718">
        <v>15</v>
      </c>
      <c r="D21" s="718" t="str">
        <f>IFERROR(VLOOKUP($A21,全人物技能说明!$A$1:$O$99,3,FALSE),"")</f>
        <v>4箱子</v>
      </c>
      <c r="E21" s="718" t="str">
        <f>IFERROR(VLOOKUP($A21,全人物技能说明!$A$1:$O$99,4,FALSE),"")</f>
        <v>稀有</v>
      </c>
      <c r="F21" s="713">
        <f>IFERROR(VLOOKUP($A21,全人物技能说明!$A$1:$O$99,7,FALSE),"")</f>
        <v>0</v>
      </c>
      <c r="G21" s="714" t="str">
        <f>IFERROR(VLOOKUP($A21,全人物技能说明!$A$1:$O$99,8,FALSE),"")</f>
        <v>魅惑一名敌人，使其眩晕 2 回合，并使其受到的伤害提升 50%。</v>
      </c>
      <c r="H21" s="714" t="s">
        <v>134</v>
      </c>
      <c r="I21" s="707" t="str">
        <f>IFERROR(VLOOKUP($A21,全人物技能说明!$A$1:$O$99,14,FALSE),"")</f>
        <v>W</v>
      </c>
      <c r="J21" s="707" t="str">
        <f>IFERROR(VLOOKUP($A21,全人物技能说明!$A$1:$O$99,15,FALSE),"")</f>
        <v>U</v>
      </c>
      <c r="K21" s="769"/>
      <c r="L21" s="754" t="s">
        <v>15</v>
      </c>
      <c r="M21" s="726" t="str">
        <f>IFERROR(IF(VLOOKUP($A21,全人物技能说明!$A$1:$O$99,7,FALSE)&lt;&gt;"",VLOOKUP($A21,全人物技能说明!$A$1:$O$99,7,FALSE),""),"")</f>
        <v/>
      </c>
      <c r="N21" s="768"/>
      <c r="O21" s="771" t="s">
        <v>52</v>
      </c>
      <c r="P21" s="753">
        <f>RANK(Y21,Y:Y)</f>
        <v>8</v>
      </c>
      <c r="Q21" s="753">
        <f>RANK(Z21,Z:Z)</f>
        <v>16</v>
      </c>
      <c r="R21" s="753">
        <f>RANK(AA21,AA:AA)</f>
        <v>20</v>
      </c>
      <c r="S21" s="753">
        <f>RANK(AB21,AB:AB)</f>
        <v>20</v>
      </c>
      <c r="T21" s="753">
        <f>RANK(AC21,AC:AC)</f>
        <v>30</v>
      </c>
      <c r="U21" s="707">
        <f t="shared" si="0"/>
        <v>846</v>
      </c>
      <c r="V21" s="707"/>
      <c r="W21" s="707">
        <f t="shared" si="1"/>
        <v>15</v>
      </c>
      <c r="X21" s="707"/>
      <c r="Y21" s="753">
        <f t="shared" si="2"/>
        <v>220</v>
      </c>
      <c r="Z21" s="753">
        <f t="shared" si="3"/>
        <v>166</v>
      </c>
      <c r="AA21" s="753">
        <f t="shared" si="4"/>
        <v>166</v>
      </c>
      <c r="AB21" s="753">
        <f t="shared" si="5"/>
        <v>166</v>
      </c>
      <c r="AC21" s="753">
        <f t="shared" si="6"/>
        <v>128</v>
      </c>
      <c r="AD21" s="707"/>
      <c r="AE21" s="707" t="str">
        <f>IFERROR(VLOOKUP($A21,全人物技能说明!$A$1:$O$99,9,FALSE),"")</f>
        <v>66(+11)</v>
      </c>
      <c r="AF21" s="707" t="str">
        <f>IFERROR(VLOOKUP($A21,全人物技能说明!$A$1:$O$99,10,FALSE),"")</f>
        <v>54(+8)</v>
      </c>
      <c r="AG21" s="707" t="str">
        <f>IFERROR(VLOOKUP($A21,全人物技能说明!$A$1:$O$99,11,FALSE),"")</f>
        <v>54(+8)</v>
      </c>
      <c r="AH21" s="707" t="str">
        <f>IFERROR(VLOOKUP($A21,全人物技能说明!$A$1:$O$99,12,FALSE),"")</f>
        <v>54(+8)</v>
      </c>
      <c r="AI21" s="707" t="str">
        <f>IFERROR(VLOOKUP($A21,全人物技能说明!$A$1:$O$99,13,FALSE),"")</f>
        <v>44(+6)</v>
      </c>
      <c r="AJ21" s="768"/>
      <c r="AL21" s="788" t="s">
        <v>135</v>
      </c>
      <c r="AM21" s="789"/>
      <c r="AN21" s="516"/>
      <c r="AO21" s="544"/>
      <c r="AP21" s="544"/>
      <c r="AQ21" s="544"/>
    </row>
    <row r="22" ht="20" customHeight="1" spans="1:43">
      <c r="A22" s="715" t="s">
        <v>136</v>
      </c>
      <c r="B22" s="715" t="str">
        <f>IFERROR(VLOOKUP($A22,全人物技能说明!$A$1:$O$99,2,FALSE),"")</f>
        <v>罗德</v>
      </c>
      <c r="C22" s="712">
        <v>14</v>
      </c>
      <c r="D22" s="712" t="str">
        <f>IFERROR(VLOOKUP($A22,全人物技能说明!$A$1:$O$99,3,FALSE),"")</f>
        <v>4剧情</v>
      </c>
      <c r="E22" s="712" t="str">
        <f>IFERROR(VLOOKUP($A22,全人物技能说明!$A$1:$O$99,4,FALSE),"")</f>
        <v>史诗</v>
      </c>
      <c r="F22" s="721">
        <f>IFERROR(VLOOKUP($A22,全人物技能说明!$A$1:$O$99,7,FALSE),"")</f>
        <v>0</v>
      </c>
      <c r="G22" s="716" t="str">
        <f>IFERROR(VLOOKUP($A22,全人物技能说明!$A$1:$O$99,8,FALSE),"")</f>
        <v>发动 5 连击，每次攻击造成 [75% DPS] 伤害。</v>
      </c>
      <c r="H22" s="716" t="s">
        <v>90</v>
      </c>
      <c r="I22" s="757" t="str">
        <f>IFERROR(VLOOKUP($A22,全人物技能说明!$A$1:$O$99,14,FALSE),"")</f>
        <v>W, U</v>
      </c>
      <c r="J22" s="757" t="str">
        <f>IFERROR(VLOOKUP($A22,全人物技能说明!$A$1:$O$99,15,FALSE),"")</f>
        <v>A, F</v>
      </c>
      <c r="K22" s="772" t="s">
        <v>15</v>
      </c>
      <c r="L22" s="758" t="s">
        <v>15</v>
      </c>
      <c r="M22" s="716" t="str">
        <f>IFERROR(IF(VLOOKUP($A22,全人物技能说明!$A$1:$O$99,7,FALSE)&lt;&gt;"",VLOOKUP($A22,全人物技能说明!$A$1:$O$99,7,FALSE),""),"")</f>
        <v/>
      </c>
      <c r="N22" s="766"/>
      <c r="O22" s="770"/>
      <c r="P22" s="753">
        <f>RANK(Y22,Y:Y)</f>
        <v>22</v>
      </c>
      <c r="Q22" s="753">
        <f>RANK(Z22,Z:Z)</f>
        <v>31</v>
      </c>
      <c r="R22" s="753">
        <f>RANK(AA22,AA:AA)</f>
        <v>27</v>
      </c>
      <c r="S22" s="753">
        <f>RANK(AB22,AB:AB)</f>
        <v>33</v>
      </c>
      <c r="T22" s="753">
        <f>RANK(AC22,AC:AC)</f>
        <v>18</v>
      </c>
      <c r="U22" s="757">
        <f t="shared" si="0"/>
        <v>701</v>
      </c>
      <c r="V22" s="757"/>
      <c r="W22" s="757">
        <f t="shared" si="1"/>
        <v>14</v>
      </c>
      <c r="X22" s="757"/>
      <c r="Y22" s="756">
        <f t="shared" si="2"/>
        <v>158</v>
      </c>
      <c r="Z22" s="756">
        <f t="shared" si="3"/>
        <v>123</v>
      </c>
      <c r="AA22" s="756">
        <f t="shared" si="4"/>
        <v>139</v>
      </c>
      <c r="AB22" s="756">
        <f t="shared" si="5"/>
        <v>123</v>
      </c>
      <c r="AC22" s="756">
        <f t="shared" si="6"/>
        <v>158</v>
      </c>
      <c r="AD22" s="757"/>
      <c r="AE22" s="757" t="str">
        <f>IFERROR(VLOOKUP($A22,全人物技能说明!$A$1:$O$99,9,FALSE),"")</f>
        <v>54(+8)</v>
      </c>
      <c r="AF22" s="757" t="str">
        <f>IFERROR(VLOOKUP($A22,全人物技能说明!$A$1:$O$99,10,FALSE),"")</f>
        <v>45(+6)</v>
      </c>
      <c r="AG22" s="757" t="str">
        <f>IFERROR(VLOOKUP($A22,全人物技能说明!$A$1:$O$99,11,FALSE),"")</f>
        <v>48(+7)</v>
      </c>
      <c r="AH22" s="757" t="str">
        <f>IFERROR(VLOOKUP($A22,全人物技能说明!$A$1:$O$99,12,FALSE),"")</f>
        <v>45(+6)</v>
      </c>
      <c r="AI22" s="757" t="str">
        <f>IFERROR(VLOOKUP($A22,全人物技能说明!$A$1:$O$99,13,FALSE),"")</f>
        <v>54(+8)</v>
      </c>
      <c r="AJ22" s="785"/>
      <c r="AL22" s="790"/>
      <c r="AM22" s="791" t="s">
        <v>137</v>
      </c>
      <c r="AN22" s="404"/>
      <c r="AO22" s="404"/>
      <c r="AP22" s="404"/>
      <c r="AQ22" s="510"/>
    </row>
    <row r="23" ht="20" customHeight="1" spans="1:43">
      <c r="A23" s="717" t="s">
        <v>138</v>
      </c>
      <c r="B23" s="717" t="str">
        <f>IFERROR(VLOOKUP($A23,全人物技能说明!$A$1:$O$99,2,FALSE),"")</f>
        <v>福克希</v>
      </c>
      <c r="C23" s="718">
        <v>14</v>
      </c>
      <c r="D23" s="718" t="str">
        <f>IFERROR(VLOOKUP($A23,全人物技能说明!$A$1:$O$99,3,FALSE),"")</f>
        <v>4箱子</v>
      </c>
      <c r="E23" s="718" t="str">
        <f>IFERROR(VLOOKUP($A23,全人物技能说明!$A$1:$O$99,4,FALSE),"")</f>
        <v>稀有</v>
      </c>
      <c r="F23" s="719">
        <f>IFERROR(VLOOKUP($A23,全人物技能说明!$A$1:$O$99,7,FALSE),"")</f>
        <v>0</v>
      </c>
      <c r="G23" s="720" t="str">
        <f>IFERROR(VLOOKUP($A23,全人物技能说明!$A$1:$O$99,8,FALSE),"")</f>
        <v>为最多 2 名血量最低的队友递出饮品，回复 [20% AGI] 生命值，并在 2 回合内提升其 20% 伤害。</v>
      </c>
      <c r="H23" s="720" t="s">
        <v>139</v>
      </c>
      <c r="I23" s="707" t="str">
        <f>IFERROR(VLOOKUP($A23,全人物技能说明!$A$1:$O$99,14,FALSE),"")</f>
        <v>全能偏A</v>
      </c>
      <c r="J23" s="707">
        <f>IFERROR(VLOOKUP($A23,全人物技能说明!$A$1:$O$99,15,FALSE),"")</f>
        <v>0</v>
      </c>
      <c r="K23" s="773" t="s">
        <v>16</v>
      </c>
      <c r="L23" s="754" t="s">
        <v>16</v>
      </c>
      <c r="M23" s="726" t="str">
        <f>IFERROR(IF(VLOOKUP($A23,全人物技能说明!$A$1:$O$99,7,FALSE)&lt;&gt;"",VLOOKUP($A23,全人物技能说明!$A$1:$O$99,7,FALSE),""),"")</f>
        <v/>
      </c>
      <c r="N23" s="768"/>
      <c r="O23" s="770"/>
      <c r="P23" s="753">
        <f>RANK(Y23,Y:Y)</f>
        <v>28</v>
      </c>
      <c r="Q23" s="753">
        <f>RANK(Z23,Z:Z)</f>
        <v>25</v>
      </c>
      <c r="R23" s="753">
        <f>RANK(AA23,AA:AA)</f>
        <v>27</v>
      </c>
      <c r="S23" s="753">
        <f>RANK(AB23,AB:AB)</f>
        <v>25</v>
      </c>
      <c r="T23" s="753">
        <f>RANK(AC23,AC:AC)</f>
        <v>25</v>
      </c>
      <c r="U23" s="707">
        <f t="shared" si="0"/>
        <v>695</v>
      </c>
      <c r="V23" s="707"/>
      <c r="W23" s="707">
        <f t="shared" si="1"/>
        <v>14</v>
      </c>
      <c r="X23" s="707"/>
      <c r="Y23" s="753">
        <f t="shared" si="2"/>
        <v>139</v>
      </c>
      <c r="Z23" s="753">
        <f t="shared" si="3"/>
        <v>139</v>
      </c>
      <c r="AA23" s="753">
        <f t="shared" si="4"/>
        <v>139</v>
      </c>
      <c r="AB23" s="753">
        <f t="shared" si="5"/>
        <v>139</v>
      </c>
      <c r="AC23" s="753">
        <f t="shared" si="6"/>
        <v>139</v>
      </c>
      <c r="AD23" s="707"/>
      <c r="AE23" s="707" t="str">
        <f>IFERROR(VLOOKUP($A23,全人物技能说明!$A$1:$O$99,9,FALSE),"")</f>
        <v>48(+7)</v>
      </c>
      <c r="AF23" s="707" t="str">
        <f>IFERROR(VLOOKUP($A23,全人物技能说明!$A$1:$O$99,10,FALSE),"")</f>
        <v>48(+7)</v>
      </c>
      <c r="AG23" s="707" t="str">
        <f>IFERROR(VLOOKUP($A23,全人物技能说明!$A$1:$O$99,11,FALSE),"")</f>
        <v>48(+7)</v>
      </c>
      <c r="AH23" s="707" t="str">
        <f>IFERROR(VLOOKUP($A23,全人物技能说明!$A$1:$O$99,12,FALSE),"")</f>
        <v>48(+7)</v>
      </c>
      <c r="AI23" s="707" t="str">
        <f>IFERROR(VLOOKUP($A23,全人物技能说明!$A$1:$O$99,13,FALSE),"")</f>
        <v>48(+7)</v>
      </c>
      <c r="AJ23" s="721"/>
      <c r="AL23" s="792"/>
      <c r="AM23" s="790"/>
      <c r="AN23" s="793" t="s">
        <v>140</v>
      </c>
      <c r="AO23" s="814"/>
      <c r="AP23" s="404"/>
      <c r="AQ23" s="510"/>
    </row>
    <row r="24" ht="20" customHeight="1" spans="1:43">
      <c r="A24" s="710" t="s">
        <v>141</v>
      </c>
      <c r="B24" s="706" t="str">
        <f>IFERROR(VLOOKUP($A24,全人物技能说明!$A$1:$O$99,2,FALSE),"")</f>
        <v>帕姆2</v>
      </c>
      <c r="C24" s="717">
        <v>14</v>
      </c>
      <c r="D24" s="717" t="str">
        <f>IFERROR(VLOOKUP($A24,全人物技能说明!$A$1:$O$99,3,FALSE),"")</f>
        <v>6剧情</v>
      </c>
      <c r="E24" s="717" t="str">
        <f>IFERROR(VLOOKUP($A24,全人物技能说明!$A$1:$O$99,4,FALSE),"")</f>
        <v>史诗</v>
      </c>
      <c r="F24" s="717" t="str">
        <f>IFERROR(VLOOKUP($A24,全人物技能说明!$A$1:$O$99,7,FALSE),"")</f>
        <v>近战X2武士刀，4次</v>
      </c>
      <c r="G24" s="729" t="str">
        <f>IFERROR(VLOOKUP($A24,全人物技能说明!$A$1:$O$99,8,FALSE),"")</f>
        <v>发动 2 连击，每次攻击造成 [150% DPS] 伤害。</v>
      </c>
      <c r="H24" s="729" t="s">
        <v>142</v>
      </c>
      <c r="I24" s="761" t="str">
        <f>IFERROR(VLOOKUP($A24,全人物技能说明!$A$1:$O$99,14,FALSE),"")</f>
        <v>全能I</v>
      </c>
      <c r="J24" s="707">
        <f>IFERROR(VLOOKUP($A24,全人物技能说明!$A$1:$O$99,15,FALSE),"")</f>
        <v>0</v>
      </c>
      <c r="K24" s="774" t="s">
        <v>17</v>
      </c>
      <c r="L24" s="754" t="s">
        <v>17</v>
      </c>
      <c r="M24" s="729" t="str">
        <f>IFERROR(IF(VLOOKUP($A24,全人物技能说明!$A$1:$O$99,7,FALSE)&lt;&gt;"",VLOOKUP($A24,全人物技能说明!$A$1:$O$99,7,FALSE),""),"")</f>
        <v>近战X2武士刀，4次</v>
      </c>
      <c r="N24" s="769"/>
      <c r="O24" s="769"/>
      <c r="P24" s="753">
        <f>RANK(Y24,Y:Y)</f>
        <v>28</v>
      </c>
      <c r="Q24" s="753">
        <f>RANK(Z24,Z:Z)</f>
        <v>25</v>
      </c>
      <c r="R24" s="753">
        <f>RANK(AA24,AA:AA)</f>
        <v>27</v>
      </c>
      <c r="S24" s="753">
        <f>RANK(AB24,AB:AB)</f>
        <v>25</v>
      </c>
      <c r="T24" s="753">
        <f>RANK(AC24,AC:AC)</f>
        <v>25</v>
      </c>
      <c r="U24" s="707">
        <f t="shared" si="0"/>
        <v>695</v>
      </c>
      <c r="V24" s="707"/>
      <c r="W24" s="707">
        <f t="shared" si="1"/>
        <v>14</v>
      </c>
      <c r="X24" s="707"/>
      <c r="Y24" s="753">
        <f t="shared" si="2"/>
        <v>139</v>
      </c>
      <c r="Z24" s="753">
        <f t="shared" si="3"/>
        <v>139</v>
      </c>
      <c r="AA24" s="753">
        <f t="shared" si="4"/>
        <v>139</v>
      </c>
      <c r="AB24" s="753">
        <f t="shared" si="5"/>
        <v>139</v>
      </c>
      <c r="AC24" s="753">
        <f t="shared" si="6"/>
        <v>139</v>
      </c>
      <c r="AD24" s="707"/>
      <c r="AE24" s="707" t="str">
        <f>IFERROR(VLOOKUP($A24,全人物技能说明!$A$1:$O$99,9,FALSE),"")</f>
        <v>48(+7)</v>
      </c>
      <c r="AF24" s="707" t="str">
        <f>IFERROR(VLOOKUP($A24,全人物技能说明!$A$1:$O$99,10,FALSE),"")</f>
        <v>48(+7)</v>
      </c>
      <c r="AG24" s="707" t="str">
        <f>IFERROR(VLOOKUP($A24,全人物技能说明!$A$1:$O$99,11,FALSE),"")</f>
        <v>48(+7)</v>
      </c>
      <c r="AH24" s="707" t="str">
        <f>IFERROR(VLOOKUP($A24,全人物技能说明!$A$1:$O$99,12,FALSE),"")</f>
        <v>48(+7)</v>
      </c>
      <c r="AI24" s="707" t="str">
        <f>IFERROR(VLOOKUP($A24,全人物技能说明!$A$1:$O$99,13,FALSE),"")</f>
        <v>48(+7)</v>
      </c>
      <c r="AJ24" s="718"/>
      <c r="AL24" s="794"/>
      <c r="AM24" s="795"/>
      <c r="AN24" s="790"/>
      <c r="AO24" s="815" t="s">
        <v>143</v>
      </c>
      <c r="AP24" s="816" t="s">
        <v>144</v>
      </c>
      <c r="AQ24" s="791" t="s">
        <v>145</v>
      </c>
    </row>
    <row r="25" ht="20" customHeight="1" spans="1:43">
      <c r="A25" s="715" t="s">
        <v>146</v>
      </c>
      <c r="B25" s="715" t="str">
        <f>IFERROR(VLOOKUP($A25,全人物技能说明!$A$1:$O$99,2,FALSE),"")</f>
        <v>克洛伊</v>
      </c>
      <c r="C25" s="712">
        <v>13</v>
      </c>
      <c r="D25" s="712" t="str">
        <f>IFERROR(VLOOKUP($A25,全人物技能说明!$A$1:$O$99,3,FALSE),"")</f>
        <v>1箱子</v>
      </c>
      <c r="E25" s="712" t="str">
        <f>IFERROR(VLOOKUP($A25,全人物技能说明!$A$1:$O$99,4,FALSE),"")</f>
        <v>史诗</v>
      </c>
      <c r="F25" s="712">
        <f>IFERROR(VLOOKUP($A25,全人物技能说明!$A$1:$O$99,7,FALSE),"")</f>
        <v>0</v>
      </c>
      <c r="G25" s="716" t="str">
        <f>IFERROR(VLOOKUP($A25,全人物技能说明!$A$1:$O$99,8,FALSE),"")</f>
        <v>向 2 名敌人投掷炸药，造成 [75% DPS] 伤害。</v>
      </c>
      <c r="H25" s="716" t="s">
        <v>147</v>
      </c>
      <c r="I25" s="757" t="str">
        <f>IFERROR(VLOOKUP($A25,全人物技能说明!$A$1:$O$99,14,FALSE),"")</f>
        <v>I</v>
      </c>
      <c r="J25" s="757" t="str">
        <f>IFERROR(VLOOKUP($A25,全人物技能说明!$A$1:$O$99,15,FALSE),"")</f>
        <v>W</v>
      </c>
      <c r="K25" s="775" t="s">
        <v>17</v>
      </c>
      <c r="L25" s="758" t="s">
        <v>17</v>
      </c>
      <c r="M25" s="716" t="str">
        <f>IFERROR(IF(VLOOKUP($A25,全人物技能说明!$A$1:$O$99,7,FALSE)&lt;&gt;"",VLOOKUP($A25,全人物技能说明!$A$1:$O$99,7,FALSE),""),"")</f>
        <v/>
      </c>
      <c r="N25" s="766"/>
      <c r="O25" s="753" t="s">
        <v>59</v>
      </c>
      <c r="P25" s="753">
        <f>RANK(Y25,Y:Y)</f>
        <v>36</v>
      </c>
      <c r="Q25" s="753">
        <f>RANK(Z25,Z:Z)</f>
        <v>20</v>
      </c>
      <c r="R25" s="753">
        <f>RANK(AA25,AA:AA)</f>
        <v>10</v>
      </c>
      <c r="S25" s="753">
        <f>RANK(AB25,AB:AB)</f>
        <v>22</v>
      </c>
      <c r="T25" s="753">
        <f>RANK(AC25,AC:AC)</f>
        <v>19</v>
      </c>
      <c r="U25" s="757">
        <f t="shared" si="0"/>
        <v>764</v>
      </c>
      <c r="V25" s="757"/>
      <c r="W25" s="757">
        <f t="shared" si="1"/>
        <v>13</v>
      </c>
      <c r="X25" s="757"/>
      <c r="Y25" s="756">
        <f t="shared" si="2"/>
        <v>116</v>
      </c>
      <c r="Z25" s="756">
        <f t="shared" si="3"/>
        <v>150</v>
      </c>
      <c r="AA25" s="756">
        <f t="shared" si="4"/>
        <v>198</v>
      </c>
      <c r="AB25" s="756">
        <f t="shared" si="5"/>
        <v>150</v>
      </c>
      <c r="AC25" s="756">
        <f t="shared" si="6"/>
        <v>150</v>
      </c>
      <c r="AD25" s="757"/>
      <c r="AE25" s="757" t="str">
        <f>IFERROR(VLOOKUP($A25,全人物技能说明!$A$1:$O$99,9,FALSE),"")</f>
        <v>44(+6)</v>
      </c>
      <c r="AF25" s="757" t="str">
        <f>IFERROR(VLOOKUP($A25,全人物技能说明!$A$1:$O$99,10,FALSE),"")</f>
        <v>54(+8)</v>
      </c>
      <c r="AG25" s="757" t="str">
        <f>IFERROR(VLOOKUP($A25,全人物技能说明!$A$1:$O$99,11,FALSE),"")</f>
        <v>66(+11)</v>
      </c>
      <c r="AH25" s="757" t="str">
        <f>IFERROR(VLOOKUP($A25,全人物技能说明!$A$1:$O$99,12,FALSE),"")</f>
        <v>54(+8)</v>
      </c>
      <c r="AI25" s="757" t="str">
        <f>IFERROR(VLOOKUP($A25,全人物技能说明!$A$1:$O$99,13,FALSE),"")</f>
        <v>54(+8)</v>
      </c>
      <c r="AJ25" s="712"/>
      <c r="AL25" s="796" t="s">
        <v>148</v>
      </c>
      <c r="AM25" s="797"/>
      <c r="AN25" s="795"/>
      <c r="AO25" s="795"/>
      <c r="AP25" s="805" t="e">
        <f>32+((Champion_Level-1)*4)</f>
        <v>#NAME?</v>
      </c>
      <c r="AQ25" s="790" t="s">
        <v>149</v>
      </c>
    </row>
    <row r="26" s="699" customFormat="1" ht="20" customHeight="1" spans="1:43">
      <c r="A26" s="715" t="s">
        <v>150</v>
      </c>
      <c r="B26" s="715" t="str">
        <f>IFERROR(VLOOKUP($A26,全人物技能说明!$A$1:$O$99,2,FALSE),"")</f>
        <v>盖亚</v>
      </c>
      <c r="C26" s="715">
        <v>13</v>
      </c>
      <c r="D26" s="715" t="str">
        <f>IFERROR(VLOOKUP($A26,全人物技能说明!$A$1:$O$99,3,FALSE),"")</f>
        <v>4箱子</v>
      </c>
      <c r="E26" s="715" t="str">
        <f>IFERROR(VLOOKUP($A26,全人物技能说明!$A$1:$O$99,4,FALSE),"")</f>
        <v>传说</v>
      </c>
      <c r="F26" s="715">
        <f>IFERROR(VLOOKUP($A26,全人物技能说明!$A$1:$O$99,7,FALSE),"")</f>
        <v>0</v>
      </c>
      <c r="G26" s="730" t="str">
        <f>IFERROR(VLOOKUP($A26,全人物技能说明!$A$1:$O$99,8,FALSE),"")</f>
        <v>立即攻击最虚弱的敌人，造成 [175% DPS] 伤害。</v>
      </c>
      <c r="H26" s="730"/>
      <c r="I26" s="757" t="str">
        <f>IFERROR(VLOOKUP($A26,全人物技能说明!$A$1:$O$99,14,FALSE),"")</f>
        <v>A, F</v>
      </c>
      <c r="J26" s="757" t="str">
        <f>IFERROR(VLOOKUP($A26,全人物技能说明!$A$1:$O$99,15,FALSE),"")</f>
        <v>W, I</v>
      </c>
      <c r="K26" s="773" t="s">
        <v>16</v>
      </c>
      <c r="L26" s="758" t="s">
        <v>16</v>
      </c>
      <c r="M26" s="730" t="str">
        <f>IFERROR(IF(VLOOKUP($A26,全人物技能说明!$A$1:$O$99,7,FALSE)&lt;&gt;"",VLOOKUP($A26,全人物技能说明!$A$1:$O$99,7,FALSE),""),"")</f>
        <v/>
      </c>
      <c r="N26" s="766"/>
      <c r="O26" s="771"/>
      <c r="P26" s="753">
        <f>RANK(Y26,Y:Y)</f>
        <v>35</v>
      </c>
      <c r="Q26" s="753">
        <f>RANK(Z26,Z:Z)</f>
        <v>20</v>
      </c>
      <c r="R26" s="753">
        <f>RANK(AA26,AA:AA)</f>
        <v>35</v>
      </c>
      <c r="S26" s="753">
        <f>RANK(AB26,AB:AB)</f>
        <v>22</v>
      </c>
      <c r="T26" s="753">
        <f>RANK(AC26,AC:AC)</f>
        <v>27</v>
      </c>
      <c r="U26" s="757">
        <f t="shared" si="0"/>
        <v>666</v>
      </c>
      <c r="V26" s="757"/>
      <c r="W26" s="757">
        <f t="shared" si="1"/>
        <v>13</v>
      </c>
      <c r="X26" s="757"/>
      <c r="Y26" s="756">
        <f t="shared" si="2"/>
        <v>117</v>
      </c>
      <c r="Z26" s="756">
        <f t="shared" si="3"/>
        <v>150</v>
      </c>
      <c r="AA26" s="756">
        <f t="shared" si="4"/>
        <v>117</v>
      </c>
      <c r="AB26" s="756">
        <f t="shared" si="5"/>
        <v>150</v>
      </c>
      <c r="AC26" s="756">
        <f t="shared" si="6"/>
        <v>132</v>
      </c>
      <c r="AD26" s="757"/>
      <c r="AE26" s="757" t="str">
        <f>IFERROR(VLOOKUP($A26,全人物技能说明!$A$1:$O$99,9,FALSE),"")</f>
        <v>45(+6)</v>
      </c>
      <c r="AF26" s="757" t="str">
        <f>IFERROR(VLOOKUP($A26,全人物技能说明!$A$1:$O$99,10,FALSE),"")</f>
        <v>54(+8)</v>
      </c>
      <c r="AG26" s="757" t="str">
        <f>IFERROR(VLOOKUP($A26,全人物技能说明!$A$1:$O$99,11,FALSE),"")</f>
        <v>45(+6)</v>
      </c>
      <c r="AH26" s="757" t="str">
        <f>IFERROR(VLOOKUP($A26,全人物技能说明!$A$1:$O$99,12,FALSE),"")</f>
        <v>54(+8)</v>
      </c>
      <c r="AI26" s="757" t="str">
        <f>IFERROR(VLOOKUP($A26,全人物技能说明!$A$1:$O$99,13,FALSE),"")</f>
        <v>48(+7)</v>
      </c>
      <c r="AJ26" s="715"/>
      <c r="AL26" s="798" t="s">
        <v>151</v>
      </c>
      <c r="AM26" s="799" t="s">
        <v>151</v>
      </c>
      <c r="AN26" s="800"/>
      <c r="AO26" s="795"/>
      <c r="AP26" s="805" t="e">
        <f>38+((Champion_Level-1)*5)</f>
        <v>#NAME?</v>
      </c>
      <c r="AQ26" s="790" t="s">
        <v>152</v>
      </c>
    </row>
    <row r="27" s="699" customFormat="1" ht="20" customHeight="1" spans="1:43">
      <c r="A27" s="717" t="s">
        <v>153</v>
      </c>
      <c r="B27" s="717" t="str">
        <f>IFERROR(VLOOKUP($A27,全人物技能说明!$A$1:$O$99,2,FALSE),"")</f>
        <v>阿米莉亚</v>
      </c>
      <c r="C27" s="717">
        <v>13</v>
      </c>
      <c r="D27" s="717" t="str">
        <f>IFERROR(VLOOKUP($A27,全人物技能说明!$A$1:$O$99,3,FALSE),"")</f>
        <v>5剧情</v>
      </c>
      <c r="E27" s="717" t="str">
        <f>IFERROR(VLOOKUP($A27,全人物技能说明!$A$1:$O$99,4,FALSE),"")</f>
        <v>史诗</v>
      </c>
      <c r="F27" s="731">
        <f>IFERROR(VLOOKUP($A27,全人物技能说明!$A$1:$O$99,7,FALSE),"")</f>
        <v>0</v>
      </c>
      <c r="G27" s="732" t="str">
        <f>IFERROR(VLOOKUP($A27,全人物技能说明!$A$1:$O$99,8,FALSE),"")</f>
        <v>创造一个诱饵分身（继承 [50% HP] 和 [100% DPS] 的防御），嘲讽敌人最多 2 秒。</v>
      </c>
      <c r="H27" s="732" t="s">
        <v>154</v>
      </c>
      <c r="I27" s="707" t="str">
        <f>IFERROR(VLOOKUP($A27,全人物技能说明!$A$1:$O$99,14,FALSE),"")</f>
        <v>A, I</v>
      </c>
      <c r="J27" s="707" t="str">
        <f>IFERROR(VLOOKUP($A27,全人物技能说明!$A$1:$O$99,15,FALSE),"")</f>
        <v>W</v>
      </c>
      <c r="K27" s="774" t="s">
        <v>17</v>
      </c>
      <c r="L27" s="754" t="s">
        <v>17</v>
      </c>
      <c r="M27" s="729" t="str">
        <f>IFERROR(IF(VLOOKUP($A27,全人物技能说明!$A$1:$O$99,7,FALSE)&lt;&gt;"",VLOOKUP($A27,全人物技能说明!$A$1:$O$99,7,FALSE),""),"")</f>
        <v/>
      </c>
      <c r="N27" s="768"/>
      <c r="O27" s="769"/>
      <c r="P27" s="753">
        <f>RANK(Y27,Y:Y)</f>
        <v>38</v>
      </c>
      <c r="Q27" s="753">
        <f>RANK(Z27,Z:Z)</f>
        <v>20</v>
      </c>
      <c r="R27" s="753">
        <f>RANK(AA27,AA:AA)</f>
        <v>23</v>
      </c>
      <c r="S27" s="753">
        <f>RANK(AB27,AB:AB)</f>
        <v>28</v>
      </c>
      <c r="T27" s="753">
        <f>RANK(AC27,AC:AC)</f>
        <v>27</v>
      </c>
      <c r="U27" s="707">
        <f t="shared" si="0"/>
        <v>662</v>
      </c>
      <c r="V27" s="707"/>
      <c r="W27" s="707">
        <f t="shared" si="1"/>
        <v>13</v>
      </c>
      <c r="X27" s="707"/>
      <c r="Y27" s="753">
        <f t="shared" si="2"/>
        <v>98</v>
      </c>
      <c r="Z27" s="753">
        <f t="shared" si="3"/>
        <v>150</v>
      </c>
      <c r="AA27" s="753">
        <f t="shared" si="4"/>
        <v>150</v>
      </c>
      <c r="AB27" s="753">
        <f t="shared" si="5"/>
        <v>132</v>
      </c>
      <c r="AC27" s="753">
        <f t="shared" si="6"/>
        <v>132</v>
      </c>
      <c r="AD27" s="707"/>
      <c r="AE27" s="707" t="str">
        <f>IFERROR(VLOOKUP($A27,全人物技能说明!$A$1:$O$99,9,FALSE),"")</f>
        <v>38(+5)</v>
      </c>
      <c r="AF27" s="707" t="str">
        <f>IFERROR(VLOOKUP($A27,全人物技能说明!$A$1:$O$99,10,FALSE),"")</f>
        <v>54(+8)</v>
      </c>
      <c r="AG27" s="707" t="str">
        <f>IFERROR(VLOOKUP($A27,全人物技能说明!$A$1:$O$99,11,FALSE),"")</f>
        <v>54(+8)</v>
      </c>
      <c r="AH27" s="707" t="str">
        <f>IFERROR(VLOOKUP($A27,全人物技能说明!$A$1:$O$99,12,FALSE),"")</f>
        <v>48(+7)</v>
      </c>
      <c r="AI27" s="707" t="str">
        <f>IFERROR(VLOOKUP($A27,全人物技能说明!$A$1:$O$99,13,FALSE),"")</f>
        <v>48(+7)</v>
      </c>
      <c r="AJ27" s="717"/>
      <c r="AL27" s="801"/>
      <c r="AM27" s="802"/>
      <c r="AN27" s="803" t="s">
        <v>155</v>
      </c>
      <c r="AO27" s="795"/>
      <c r="AP27" s="465" t="e">
        <f>40+((Champion_Level-1)*6)</f>
        <v>#NAME?</v>
      </c>
      <c r="AQ27" s="790" t="s">
        <v>156</v>
      </c>
    </row>
    <row r="28" s="700" customFormat="1" ht="20" customHeight="1" spans="1:43">
      <c r="A28" s="733" t="s">
        <v>157</v>
      </c>
      <c r="B28" s="711" t="str">
        <f>IFERROR(VLOOKUP($A28,全人物技能说明!$A$1:$O$99,2,FALSE),"")</f>
        <v>帕姆1</v>
      </c>
      <c r="C28" s="715">
        <v>13</v>
      </c>
      <c r="D28" s="715" t="str">
        <f>IFERROR(VLOOKUP($A28,全人物技能说明!$A$1:$O$99,3,FALSE),"")</f>
        <v>6剧情</v>
      </c>
      <c r="E28" s="715" t="str">
        <f>IFERROR(VLOOKUP($A28,全人物技能说明!$A$1:$O$99,4,FALSE),"")</f>
        <v>史诗</v>
      </c>
      <c r="F28" s="715" t="str">
        <f>IFERROR(VLOOKUP($A28,全人物技能说明!$A$1:$O$99,7,FALSE),"")</f>
        <v>近战X2武士刀，4次</v>
      </c>
      <c r="G28" s="730" t="str">
        <f>IFERROR(VLOOKUP($A28,全人物技能说明!$A$1:$O$99,8,FALSE),"")</f>
        <v>发动 4 连击，每次攻击造成 [75% DPS] 伤害。</v>
      </c>
      <c r="H28" s="730" t="s">
        <v>142</v>
      </c>
      <c r="I28" s="762" t="str">
        <f>IFERROR(VLOOKUP($A28,全人物技能说明!$A$1:$O$99,14,FALSE),"")</f>
        <v>全能W</v>
      </c>
      <c r="J28" s="757">
        <f>IFERROR(VLOOKUP($A28,全人物技能说明!$A$1:$O$99,15,FALSE),"")</f>
        <v>0</v>
      </c>
      <c r="K28" s="772" t="s">
        <v>15</v>
      </c>
      <c r="L28" s="758" t="s">
        <v>15</v>
      </c>
      <c r="M28" s="730" t="str">
        <f>IFERROR(IF(VLOOKUP($A28,全人物技能说明!$A$1:$O$99,7,FALSE)&lt;&gt;"",VLOOKUP($A28,全人物技能说明!$A$1:$O$99,7,FALSE),""),"")</f>
        <v>近战X2武士刀，4次</v>
      </c>
      <c r="N28" s="771"/>
      <c r="O28" s="771"/>
      <c r="P28" s="753">
        <f>RANK(Y28,Y:Y)</f>
        <v>30</v>
      </c>
      <c r="Q28" s="753">
        <f>RANK(Z28,Z:Z)</f>
        <v>27</v>
      </c>
      <c r="R28" s="753">
        <f>RANK(AA28,AA:AA)</f>
        <v>30</v>
      </c>
      <c r="S28" s="753">
        <f>RANK(AB28,AB:AB)</f>
        <v>28</v>
      </c>
      <c r="T28" s="753">
        <f>RANK(AC28,AC:AC)</f>
        <v>27</v>
      </c>
      <c r="U28" s="757">
        <f t="shared" si="0"/>
        <v>660</v>
      </c>
      <c r="V28" s="757"/>
      <c r="W28" s="757">
        <f t="shared" si="1"/>
        <v>13</v>
      </c>
      <c r="X28" s="757"/>
      <c r="Y28" s="756">
        <f t="shared" si="2"/>
        <v>132</v>
      </c>
      <c r="Z28" s="756">
        <f t="shared" si="3"/>
        <v>132</v>
      </c>
      <c r="AA28" s="756">
        <f t="shared" si="4"/>
        <v>132</v>
      </c>
      <c r="AB28" s="756">
        <f t="shared" si="5"/>
        <v>132</v>
      </c>
      <c r="AC28" s="756">
        <f t="shared" si="6"/>
        <v>132</v>
      </c>
      <c r="AD28" s="757"/>
      <c r="AE28" s="757" t="str">
        <f>IFERROR(VLOOKUP($A28,全人物技能说明!$A$1:$O$99,9,FALSE),"")</f>
        <v>48(+7)</v>
      </c>
      <c r="AF28" s="757" t="str">
        <f>IFERROR(VLOOKUP($A28,全人物技能说明!$A$1:$O$99,10,FALSE),"")</f>
        <v>48(+7)</v>
      </c>
      <c r="AG28" s="757" t="str">
        <f>IFERROR(VLOOKUP($A28,全人物技能说明!$A$1:$O$99,11,FALSE),"")</f>
        <v>48(+7)</v>
      </c>
      <c r="AH28" s="757" t="str">
        <f>IFERROR(VLOOKUP($A28,全人物技能说明!$A$1:$O$99,12,FALSE),"")</f>
        <v>48(+7)</v>
      </c>
      <c r="AI28" s="757" t="str">
        <f>IFERROR(VLOOKUP($A28,全人物技能说明!$A$1:$O$99,13,FALSE),"")</f>
        <v>48(+7)</v>
      </c>
      <c r="AJ28" s="804"/>
      <c r="AL28" s="803" t="s">
        <v>158</v>
      </c>
      <c r="AM28" s="805"/>
      <c r="AN28" s="806"/>
      <c r="AO28" s="795"/>
      <c r="AP28" s="805" t="e">
        <f>42+((Champion_Level-1)*6)</f>
        <v>#NAME?</v>
      </c>
      <c r="AQ28" s="790" t="s">
        <v>159</v>
      </c>
    </row>
    <row r="29" s="3" customFormat="1" ht="20" customHeight="1" spans="1:43">
      <c r="A29" s="734" t="s">
        <v>160</v>
      </c>
      <c r="B29" s="706" t="str">
        <f>IFERROR(VLOOKUP($A29,全人物技能说明!$A$1:$O$99,2,FALSE),"")</f>
        <v>丽莎</v>
      </c>
      <c r="C29" s="717">
        <v>13</v>
      </c>
      <c r="D29" s="717" t="str">
        <f>IFERROR(VLOOKUP($A29,全人物技能说明!$A$1:$O$99,3,FALSE),"")</f>
        <v>7箱子</v>
      </c>
      <c r="E29" s="717" t="str">
        <f>IFERROR(VLOOKUP($A29,全人物技能说明!$A$1:$O$99,4,FALSE),"")</f>
        <v>稀有</v>
      </c>
      <c r="F29" s="717" t="str">
        <f>IFERROR(VLOOKUP($A29,全人物技能说明!$A$1:$O$99,7,FALSE),"")</f>
        <v>近战X2武士刀，4次</v>
      </c>
      <c r="G29" s="729" t="str">
        <f>IFERROR(VLOOKUP($A29,全人物技能说明!$A$1:$O$99,8,FALSE),"")</f>
        <v>发动 4 连击，每次攻击造成 [90% DPS] 伤害。</v>
      </c>
      <c r="H29" s="729"/>
      <c r="I29" s="752" t="str">
        <f>IFERROR(VLOOKUP($A29,全人物技能说明!$A$1:$O$99,14,FALSE),"")</f>
        <v>W</v>
      </c>
      <c r="J29" s="707" t="str">
        <f>IFERROR(VLOOKUP($A29,全人物技能说明!$A$1:$O$99,15,FALSE),"")</f>
        <v>A, F</v>
      </c>
      <c r="K29" s="773" t="s">
        <v>16</v>
      </c>
      <c r="L29" s="776" t="s">
        <v>16</v>
      </c>
      <c r="M29" s="729" t="str">
        <f>IFERROR(IF(VLOOKUP($A29,全人物技能说明!$A$1:$O$99,7,FALSE)&lt;&gt;"",VLOOKUP($A29,全人物技能说明!$A$1:$O$99,7,FALSE),""),"")</f>
        <v>近战X2武士刀，4次</v>
      </c>
      <c r="N29" s="769"/>
      <c r="O29" s="769"/>
      <c r="P29" s="753">
        <f>RANK(Y29,Y:Y)</f>
        <v>30</v>
      </c>
      <c r="Q29" s="753">
        <f>RANK(Z29,Z:Z)</f>
        <v>32</v>
      </c>
      <c r="R29" s="753">
        <f>RANK(AA29,AA:AA)</f>
        <v>31</v>
      </c>
      <c r="S29" s="753">
        <f>RANK(AB29,AB:AB)</f>
        <v>27</v>
      </c>
      <c r="T29" s="753">
        <f>RANK(AC29,AC:AC)</f>
        <v>36</v>
      </c>
      <c r="U29" s="707">
        <f t="shared" si="0"/>
        <v>628</v>
      </c>
      <c r="V29" s="707"/>
      <c r="W29" s="707">
        <f t="shared" si="1"/>
        <v>13</v>
      </c>
      <c r="X29" s="707"/>
      <c r="Y29" s="753">
        <f t="shared" si="2"/>
        <v>132</v>
      </c>
      <c r="Z29" s="753">
        <f t="shared" si="3"/>
        <v>122</v>
      </c>
      <c r="AA29" s="753">
        <f t="shared" si="4"/>
        <v>126</v>
      </c>
      <c r="AB29" s="753">
        <f t="shared" si="5"/>
        <v>134</v>
      </c>
      <c r="AC29" s="753">
        <f t="shared" si="6"/>
        <v>114</v>
      </c>
      <c r="AD29" s="707"/>
      <c r="AE29" s="707" t="str">
        <f>IFERROR(VLOOKUP($A29,全人物技能说明!$A$1:$O$99,9,FALSE),"")</f>
        <v>48(+7)</v>
      </c>
      <c r="AF29" s="707" t="str">
        <f>IFERROR(VLOOKUP($A29,全人物技能说明!$A$1:$O$99,10,FALSE),"")</f>
        <v>38(+7)</v>
      </c>
      <c r="AG29" s="707" t="str">
        <f>IFERROR(VLOOKUP($A29,全人物技能说明!$A$1:$O$99,11,FALSE),"")</f>
        <v>42(+7)</v>
      </c>
      <c r="AH29" s="707" t="str">
        <f>IFERROR(VLOOKUP($A29,全人物技能说明!$A$1:$O$99,12,FALSE),"")</f>
        <v>38(+8)</v>
      </c>
      <c r="AI29" s="707" t="str">
        <f>IFERROR(VLOOKUP($A29,全人物技能说明!$A$1:$O$99,13,FALSE),"")</f>
        <v>42(+6)</v>
      </c>
      <c r="AJ29" s="807"/>
      <c r="AL29" s="544"/>
      <c r="AM29" s="808" t="s">
        <v>161</v>
      </c>
      <c r="AN29" s="809"/>
      <c r="AO29" s="817"/>
      <c r="AP29" s="544" t="e">
        <f>45+((Champion_Level-1)*6)</f>
        <v>#NAME?</v>
      </c>
      <c r="AQ29" s="543" t="s">
        <v>162</v>
      </c>
    </row>
    <row r="30" ht="20" customHeight="1" spans="1:43">
      <c r="A30" s="710" t="s">
        <v>163</v>
      </c>
      <c r="B30" s="715" t="str">
        <f>IFERROR(VLOOKUP($A30,全人物技能说明!$A$1:$O$99,2,FALSE),"")</f>
        <v>碧翠丝</v>
      </c>
      <c r="C30" s="715">
        <v>12</v>
      </c>
      <c r="D30" s="715" t="str">
        <f>IFERROR(VLOOKUP($A30,全人物技能说明!$A$1:$O$99,3,FALSE),"")</f>
        <v>4剧情</v>
      </c>
      <c r="E30" s="715" t="str">
        <f>IFERROR(VLOOKUP($A30,全人物技能说明!$A$1:$O$99,4,FALSE),"")</f>
        <v>传说</v>
      </c>
      <c r="F30" s="735">
        <f>IFERROR(VLOOKUP($A30,全人物技能说明!$A$1:$O$99,7,FALSE),"")</f>
        <v>0</v>
      </c>
      <c r="G30" s="732" t="str">
        <f>IFERROR(VLOOKUP($A30,全人物技能说明!$A$1:$O$99,8,FALSE),"")</f>
        <v>展露自我，嘲讽敌人 3 回合，减少 50% 所受到的伤害。</v>
      </c>
      <c r="H30" s="732" t="s">
        <v>164</v>
      </c>
      <c r="I30" s="757" t="str">
        <f>IFERROR(VLOOKUP($A30,全人物技能说明!$A$1:$O$99,14,FALSE),"")</f>
        <v>U</v>
      </c>
      <c r="J30" s="757" t="s">
        <v>16</v>
      </c>
      <c r="K30" s="766"/>
      <c r="L30" s="758" t="s">
        <v>16</v>
      </c>
      <c r="M30" s="730" t="str">
        <f>IFERROR(IF(VLOOKUP($A30,全人物技能说明!$A$1:$O$99,7,FALSE)&lt;&gt;"",VLOOKUP($A30,全人物技能说明!$A$1:$O$99,7,FALSE),""),"")</f>
        <v/>
      </c>
      <c r="N30" s="771"/>
      <c r="O30" s="770"/>
      <c r="P30" s="753">
        <f>RANK(Y30,Y:Y)</f>
        <v>32</v>
      </c>
      <c r="Q30" s="753">
        <f>RANK(Z30,Z:Z)</f>
        <v>37</v>
      </c>
      <c r="R30" s="753">
        <f>RANK(AA30,AA:AA)</f>
        <v>25</v>
      </c>
      <c r="S30" s="753">
        <f>RANK(AB30,AB:AB)</f>
        <v>21</v>
      </c>
      <c r="T30" s="753">
        <f>RANK(AC30,AC:AC)</f>
        <v>14</v>
      </c>
      <c r="U30" s="757">
        <f t="shared" si="0"/>
        <v>719</v>
      </c>
      <c r="V30" s="757"/>
      <c r="W30" s="757">
        <f t="shared" si="1"/>
        <v>12</v>
      </c>
      <c r="X30" s="757">
        <v>1</v>
      </c>
      <c r="Y30" s="756">
        <f t="shared" si="2"/>
        <v>125</v>
      </c>
      <c r="Z30" s="756">
        <f t="shared" si="3"/>
        <v>106</v>
      </c>
      <c r="AA30" s="756">
        <f t="shared" si="4"/>
        <v>142</v>
      </c>
      <c r="AB30" s="756">
        <f t="shared" si="5"/>
        <v>159</v>
      </c>
      <c r="AC30" s="756">
        <f t="shared" si="6"/>
        <v>187</v>
      </c>
      <c r="AD30" s="757"/>
      <c r="AE30" s="757" t="str">
        <f>IFERROR(VLOOKUP($A30,全人物技能说明!$A$1:$O$99,9,FALSE),"")</f>
        <v>48(+7)</v>
      </c>
      <c r="AF30" s="757" t="str">
        <f>IFERROR(VLOOKUP($A30,全人物技能说明!$A$1:$O$99,10,FALSE),"")</f>
        <v>40(+6)</v>
      </c>
      <c r="AG30" s="757" t="str">
        <f>IFERROR(VLOOKUP($A30,全人物技能说明!$A$1:$O$99,11,FALSE),"")</f>
        <v>54(+8)</v>
      </c>
      <c r="AH30" s="757" t="str">
        <f>IFERROR(VLOOKUP($A30,全人物技能说明!$A$1:$O$99,12,FALSE),"")</f>
        <v>60(+9)</v>
      </c>
      <c r="AI30" s="757" t="str">
        <f>IFERROR(VLOOKUP($A30,全人物技能说明!$A$1:$O$99,13,FALSE),"")</f>
        <v>66(+11)</v>
      </c>
      <c r="AJ30" s="759"/>
      <c r="AL30" s="810" t="s">
        <v>165</v>
      </c>
      <c r="AM30" s="811" t="s">
        <v>165</v>
      </c>
      <c r="AN30" s="799" t="s">
        <v>165</v>
      </c>
      <c r="AO30" s="818"/>
      <c r="AP30" s="805" t="e">
        <f>48+((Champion_Level-1)*7)</f>
        <v>#NAME?</v>
      </c>
      <c r="AQ30" s="790" t="s">
        <v>166</v>
      </c>
    </row>
    <row r="31" ht="20" customHeight="1" spans="1:43">
      <c r="A31" s="736" t="s">
        <v>167</v>
      </c>
      <c r="B31" s="723" t="str">
        <f>IFERROR(VLOOKUP($A31,全人物技能说明!$A$1:$O$99,2,FALSE),"")</f>
        <v>黛安娜</v>
      </c>
      <c r="C31" s="718">
        <v>9</v>
      </c>
      <c r="D31" s="718" t="str">
        <f>IFERROR(VLOOKUP($A31,全人物技能说明!$A$1:$O$99,3,FALSE),"")</f>
        <v>7箱子</v>
      </c>
      <c r="E31" s="718" t="str">
        <f>IFERROR(VLOOKUP($A31,全人物技能说明!$A$1:$O$99,4,FALSE),"")</f>
        <v>稀有</v>
      </c>
      <c r="F31" s="721" t="str">
        <f>IFERROR(VLOOKUP($A31,全人物技能说明!$A$1:$O$99,7,FALSE),"")</f>
        <v>鱼叉枪（W 和 F 属性第二高，U 属性中等，但在 W 属性链中这是最好的防御选择）</v>
      </c>
      <c r="G31" s="720" t="str">
        <f>IFERROR(VLOOKUP($A31,全人物技能说明!$A$1:$O$99,8,FALSE),"")</f>
        <v>恢复活力，回复自身 [25% HP] 并在 2 回合内获得 [125% DEF] 防御加成。</v>
      </c>
      <c r="H31" s="720"/>
      <c r="I31" s="761" t="str">
        <f>IFERROR(VLOOKUP($A31,全人物技能说明!$A$1:$O$99,14,FALSE),"")</f>
        <v>W</v>
      </c>
      <c r="J31" s="707" t="str">
        <f>IFERROR(VLOOKUP($A31,全人物技能说明!$A$1:$O$99,15,FALSE),"")</f>
        <v>A, I</v>
      </c>
      <c r="K31" s="774" t="s">
        <v>17</v>
      </c>
      <c r="L31" s="776" t="s">
        <v>17</v>
      </c>
      <c r="M31" s="726" t="str">
        <f>IFERROR(IF(VLOOKUP($A31,全人物技能说明!$A$1:$O$99,7,FALSE)&lt;&gt;"",VLOOKUP($A31,全人物技能说明!$A$1:$O$99,7,FALSE),""),"")</f>
        <v>鱼叉枪（W 和 F 属性第二高，U 属性中等，但在 W 属性链中这是最好的防御选择）</v>
      </c>
      <c r="N31" s="769"/>
      <c r="O31" s="770"/>
      <c r="P31" s="753">
        <f>RANK(Y31,Y:Y)</f>
        <v>24</v>
      </c>
      <c r="Q31" s="753">
        <f>RANK(Z31,Z:Z)</f>
        <v>38</v>
      </c>
      <c r="R31" s="753">
        <f>RANK(AA31,AA:AA)</f>
        <v>37</v>
      </c>
      <c r="S31" s="753">
        <f>RANK(AB31,AB:AB)</f>
        <v>36</v>
      </c>
      <c r="T31" s="753">
        <f>RANK(AC31,AC:AC)</f>
        <v>34</v>
      </c>
      <c r="U31" s="707">
        <f t="shared" si="0"/>
        <v>598</v>
      </c>
      <c r="V31" s="707"/>
      <c r="W31" s="707">
        <f t="shared" si="1"/>
        <v>9</v>
      </c>
      <c r="X31" s="707"/>
      <c r="Y31" s="753">
        <f t="shared" si="2"/>
        <v>154</v>
      </c>
      <c r="Z31" s="753">
        <f t="shared" si="3"/>
        <v>104</v>
      </c>
      <c r="AA31" s="753">
        <f t="shared" si="4"/>
        <v>104</v>
      </c>
      <c r="AB31" s="753">
        <f t="shared" si="5"/>
        <v>118</v>
      </c>
      <c r="AC31" s="753">
        <f t="shared" si="6"/>
        <v>118</v>
      </c>
      <c r="AD31" s="707"/>
      <c r="AE31" s="707" t="str">
        <f>IFERROR(VLOOKUP($A31,全人物技能说明!$A$1:$O$99,9,FALSE),"")</f>
        <v>66(+11)</v>
      </c>
      <c r="AF31" s="707" t="str">
        <f>IFERROR(VLOOKUP($A31,全人物技能说明!$A$1:$O$99,10,FALSE),"")</f>
        <v>48(+7)</v>
      </c>
      <c r="AG31" s="707" t="str">
        <f>IFERROR(VLOOKUP($A31,全人物技能说明!$A$1:$O$99,11,FALSE),"")</f>
        <v>48(+7)</v>
      </c>
      <c r="AH31" s="707" t="str">
        <f>IFERROR(VLOOKUP($A31,全人物技能说明!$A$1:$O$99,12,FALSE),"")</f>
        <v>54(+8)</v>
      </c>
      <c r="AI31" s="707" t="str">
        <f>IFERROR(VLOOKUP($A31,全人物技能说明!$A$1:$O$99,13,FALSE),"")</f>
        <v>54(+8)</v>
      </c>
      <c r="AJ31" s="807"/>
      <c r="AL31" s="510"/>
      <c r="AM31" s="510"/>
      <c r="AN31" s="812" t="s">
        <v>168</v>
      </c>
      <c r="AO31" s="819" t="s">
        <v>168</v>
      </c>
      <c r="AP31" s="465" t="e">
        <f>60+((Champion_Level-1)*9)</f>
        <v>#NAME?</v>
      </c>
      <c r="AQ31" s="790" t="s">
        <v>169</v>
      </c>
    </row>
    <row r="32" ht="20" customHeight="1" spans="1:43">
      <c r="A32" s="715" t="s">
        <v>170</v>
      </c>
      <c r="B32" s="715" t="str">
        <f>IFERROR(VLOOKUP($A32,全人物技能说明!$A$1:$O$99,2,FALSE),"")</f>
        <v>厄玛</v>
      </c>
      <c r="C32" s="712">
        <v>5</v>
      </c>
      <c r="D32" s="712" t="str">
        <f>IFERROR(VLOOKUP($A32,全人物技能说明!$A$1:$O$99,3,FALSE),"")</f>
        <v>1箱子</v>
      </c>
      <c r="E32" s="712" t="str">
        <f>IFERROR(VLOOKUP($A32,全人物技能说明!$A$1:$O$99,4,FALSE),"")</f>
        <v>传说</v>
      </c>
      <c r="F32" s="712" t="str">
        <f>IFERROR(VLOOKUP($A32,全人物技能说明!$A$1:$O$99,7,FALSE),"")</f>
        <v>UA为核心。X2武士刀，4次。X4匕首8次</v>
      </c>
      <c r="G32" s="716" t="str">
        <f>IFERROR(VLOOKUP($A32,全人物技能说明!$A$1:$O$99,8,FALSE),"")</f>
        <v>在 3 名敌人脚下投掷捕兽夹，对每人造成 [100% DPS] 伤害。</v>
      </c>
      <c r="H32" s="716" t="s">
        <v>171</v>
      </c>
      <c r="I32" s="757" t="str">
        <f>IFERROR(VLOOKUP($A32,全人物技能说明!$A$1:$O$99,14,FALSE),"")</f>
        <v>全能A</v>
      </c>
      <c r="J32" s="757" t="str">
        <f>IFERROR(VLOOKUP($A32,全人物技能说明!$A$1:$O$99,15,FALSE),"")</f>
        <v>F</v>
      </c>
      <c r="K32" s="773" t="s">
        <v>16</v>
      </c>
      <c r="L32" s="758" t="s">
        <v>16</v>
      </c>
      <c r="M32" s="716" t="str">
        <f>IFERROR(IF(VLOOKUP($A32,全人物技能说明!$A$1:$O$99,7,FALSE)&lt;&gt;"",VLOOKUP($A32,全人物技能说明!$A$1:$O$99,7,FALSE),""),"")</f>
        <v>UA为核心。X2武士刀，4次。X4匕首8次</v>
      </c>
      <c r="N32" s="766"/>
      <c r="O32" s="771"/>
      <c r="P32" s="753">
        <f>RANK(Y32,Y:Y)</f>
        <v>37</v>
      </c>
      <c r="Q32" s="753">
        <f>RANK(Z32,Z:Z)</f>
        <v>36</v>
      </c>
      <c r="R32" s="753">
        <f>RANK(AA32,AA:AA)</f>
        <v>36</v>
      </c>
      <c r="S32" s="753">
        <f>RANK(AB32,AB:AB)</f>
        <v>38</v>
      </c>
      <c r="T32" s="753">
        <f>RANK(AC32,AC:AC)</f>
        <v>37</v>
      </c>
      <c r="U32" s="757">
        <f t="shared" si="0"/>
        <v>536</v>
      </c>
      <c r="V32" s="757"/>
      <c r="W32" s="757">
        <f t="shared" si="1"/>
        <v>5</v>
      </c>
      <c r="X32" s="757"/>
      <c r="Y32" s="756">
        <f t="shared" si="2"/>
        <v>110</v>
      </c>
      <c r="Z32" s="756">
        <f t="shared" si="3"/>
        <v>110</v>
      </c>
      <c r="AA32" s="756">
        <f t="shared" si="4"/>
        <v>110</v>
      </c>
      <c r="AB32" s="756">
        <f t="shared" si="5"/>
        <v>96</v>
      </c>
      <c r="AC32" s="756">
        <f t="shared" si="6"/>
        <v>110</v>
      </c>
      <c r="AD32" s="757"/>
      <c r="AE32" s="757" t="str">
        <f>IFERROR(VLOOKUP($A32,全人物技能说明!$A$1:$O$99,9,FALSE),"")</f>
        <v>66(+11)</v>
      </c>
      <c r="AF32" s="757" t="str">
        <f>IFERROR(VLOOKUP($A32,全人物技能说明!$A$1:$O$99,10,FALSE),"")</f>
        <v>66(+11)</v>
      </c>
      <c r="AG32" s="757" t="str">
        <f>IFERROR(VLOOKUP($A32,全人物技能说明!$A$1:$O$99,11,FALSE),"")</f>
        <v>66(+11)</v>
      </c>
      <c r="AH32" s="757" t="str">
        <f>IFERROR(VLOOKUP($A32,全人物技能说明!$A$1:$O$99,12,FALSE),"")</f>
        <v>60(+9)</v>
      </c>
      <c r="AI32" s="757" t="str">
        <f>IFERROR(VLOOKUP($A32,全人物技能说明!$A$1:$O$99,13,FALSE),"")</f>
        <v>66(+11)</v>
      </c>
      <c r="AJ32" s="804"/>
      <c r="AL32" s="510"/>
      <c r="AM32" s="510"/>
      <c r="AN32" s="510"/>
      <c r="AO32" s="820" t="s">
        <v>172</v>
      </c>
      <c r="AP32" s="821" t="e">
        <f>72+((Champion_Level-1)*14)</f>
        <v>#NAME?</v>
      </c>
      <c r="AQ32" s="822" t="s">
        <v>173</v>
      </c>
    </row>
    <row r="33" ht="20" customHeight="1" spans="1:36">
      <c r="A33" s="712" t="s">
        <v>174</v>
      </c>
      <c r="B33" s="715" t="str">
        <f>IFERROR(VLOOKUP($A33,全人物技能说明!$A$1:$O$99,2,FALSE),"")</f>
        <v>黛维</v>
      </c>
      <c r="C33" s="715">
        <v>5</v>
      </c>
      <c r="D33" s="715" t="str">
        <f>IFERROR(VLOOKUP($A33,全人物技能说明!$A$1:$O$99,3,FALSE),"")</f>
        <v>8剧情</v>
      </c>
      <c r="E33" s="715" t="str">
        <f>IFERROR(VLOOKUP($A33,全人物技能说明!$A$1:$O$99,4,FALSE),"")</f>
        <v>史诗</v>
      </c>
      <c r="F33" s="715" t="str">
        <f>IFERROR(VLOOKUP($A33,全人物技能说明!$A$1:$O$99,7,FALSE),"")</f>
        <v>攻速倒数第二</v>
      </c>
      <c r="G33" s="730" t="str">
        <f>IFERROR(VLOOKUP($A33,全人物技能说明!$A$1:$O$99,8,FALSE),"")</f>
        <v>攻击当前目标，造成 [350% DMG] 伤害。</v>
      </c>
      <c r="H33" s="730" t="s">
        <v>175</v>
      </c>
      <c r="I33" s="757" t="str">
        <f>IFERROR(VLOOKUP($A33,全人物技能说明!$A$1:$O$99,14,FALSE),"")</f>
        <v>W, I, U</v>
      </c>
      <c r="J33" s="757" t="str">
        <f>IFERROR(VLOOKUP($A33,全人物技能说明!$A$1:$O$99,15,FALSE),"")</f>
        <v>A</v>
      </c>
      <c r="K33" s="772" t="s">
        <v>15</v>
      </c>
      <c r="L33" s="758" t="s">
        <v>15</v>
      </c>
      <c r="M33" s="730" t="str">
        <f>IFERROR(IF(VLOOKUP($A33,全人物技能说明!$A$1:$O$99,7,FALSE)&lt;&gt;"",VLOOKUP($A33,全人物技能说明!$A$1:$O$99,7,FALSE),""),"")</f>
        <v>攻速倒数第二</v>
      </c>
      <c r="N33" s="766"/>
      <c r="O33" s="771"/>
      <c r="P33" s="753">
        <f>RANK(Y33,Y:Y)</f>
        <v>39</v>
      </c>
      <c r="Q33" s="753">
        <f>RANK(Z33,Z:Z)</f>
        <v>41</v>
      </c>
      <c r="R33" s="753">
        <f>RANK(AA33,AA:AA)</f>
        <v>39</v>
      </c>
      <c r="S33" s="753">
        <f>RANK(AB33,AB:AB)</f>
        <v>40</v>
      </c>
      <c r="T33" s="753">
        <f>RANK(AC33,AC:AC)</f>
        <v>40</v>
      </c>
      <c r="U33" s="757">
        <f t="shared" si="0"/>
        <v>438</v>
      </c>
      <c r="V33" s="757"/>
      <c r="W33" s="757">
        <f t="shared" si="1"/>
        <v>5</v>
      </c>
      <c r="X33" s="757"/>
      <c r="Y33" s="756">
        <f t="shared" si="2"/>
        <v>96</v>
      </c>
      <c r="Z33" s="756">
        <f t="shared" si="3"/>
        <v>64</v>
      </c>
      <c r="AA33" s="756">
        <f t="shared" si="4"/>
        <v>96</v>
      </c>
      <c r="AB33" s="756">
        <f t="shared" si="5"/>
        <v>86</v>
      </c>
      <c r="AC33" s="756">
        <f t="shared" si="6"/>
        <v>96</v>
      </c>
      <c r="AD33" s="757"/>
      <c r="AE33" s="757" t="str">
        <f>IFERROR(VLOOKUP($A33,全人物技能说明!$A$1:$O$99,9,FALSE),"")</f>
        <v>60(+9)</v>
      </c>
      <c r="AF33" s="757" t="str">
        <f>IFERROR(VLOOKUP($A33,全人物技能说明!$A$1:$O$99,10,FALSE),"")</f>
        <v>40(+6)</v>
      </c>
      <c r="AG33" s="757" t="str">
        <f>IFERROR(VLOOKUP($A33,全人物技能说明!$A$1:$O$99,11,FALSE),"")</f>
        <v>60(+9)</v>
      </c>
      <c r="AH33" s="757" t="str">
        <f>IFERROR(VLOOKUP($A33,全人物技能说明!$A$1:$O$99,12,FALSE),"")</f>
        <v>54(+8)</v>
      </c>
      <c r="AI33" s="757" t="str">
        <f>IFERROR(VLOOKUP($A33,全人物技能说明!$A$1:$O$99,13,FALSE),"")</f>
        <v>60(+9)</v>
      </c>
      <c r="AJ33" s="804"/>
    </row>
    <row r="34" ht="20" customHeight="1" spans="1:36">
      <c r="A34" s="736" t="s">
        <v>176</v>
      </c>
      <c r="B34" s="715" t="str">
        <f>IFERROR(VLOOKUP($A34,全人物技能说明!$A$1:$O$99,2,FALSE),"")</f>
        <v>玛丽亚</v>
      </c>
      <c r="C34" s="715">
        <v>5</v>
      </c>
      <c r="D34" s="715" t="str">
        <f>IFERROR(VLOOKUP($A34,全人物技能说明!$A$1:$O$99,3,FALSE),"")</f>
        <v>8箱子</v>
      </c>
      <c r="E34" s="715" t="str">
        <f>IFERROR(VLOOKUP($A34,全人物技能说明!$A$1:$O$99,4,FALSE),"")</f>
        <v>稀有</v>
      </c>
      <c r="F34" s="715">
        <f>IFERROR(VLOOKUP($A34,全人物技能说明!$A$1:$O$99,7,FALSE),"")</f>
        <v>0</v>
      </c>
      <c r="G34" s="737" t="str">
        <f>IFERROR(VLOOKUP($A34,全人物技能说明!$A$1:$O$99,8,FALSE),"")</f>
        <v>为 2 名血量最低的队友回复 10% 最大生命值 + [20% INT]。</v>
      </c>
      <c r="H34" s="737" t="s">
        <v>177</v>
      </c>
      <c r="I34" s="761" t="str">
        <f>IFERROR(VLOOKUP($A34,全人物技能说明!$A$1:$O$99,14,FALSE),"")</f>
        <v>U</v>
      </c>
      <c r="J34" s="757" t="s">
        <v>17</v>
      </c>
      <c r="K34" s="774" t="s">
        <v>17</v>
      </c>
      <c r="L34" s="758" t="s">
        <v>17</v>
      </c>
      <c r="M34" s="730" t="str">
        <f>IFERROR(IF(VLOOKUP($A34,全人物技能说明!$A$1:$O$99,7,FALSE)&lt;&gt;"",VLOOKUP($A34,全人物技能说明!$A$1:$O$99,7,FALSE),""),"")</f>
        <v/>
      </c>
      <c r="N34" s="771"/>
      <c r="O34" s="771"/>
      <c r="P34" s="753">
        <f>RANK(Y34,Y:Y)</f>
        <v>39</v>
      </c>
      <c r="Q34" s="753">
        <f>RANK(Z34,Z:Z)</f>
        <v>41</v>
      </c>
      <c r="R34" s="753">
        <f>RANK(AA34,AA:AA)</f>
        <v>40</v>
      </c>
      <c r="S34" s="753">
        <f>RANK(AB34,AB:AB)</f>
        <v>41</v>
      </c>
      <c r="T34" s="753">
        <f>RANK(AC34,AC:AC)</f>
        <v>37</v>
      </c>
      <c r="U34" s="757">
        <f t="shared" si="0"/>
        <v>432</v>
      </c>
      <c r="V34" s="757"/>
      <c r="W34" s="757">
        <f t="shared" si="1"/>
        <v>5</v>
      </c>
      <c r="X34" s="757"/>
      <c r="Y34" s="756">
        <f t="shared" si="2"/>
        <v>96</v>
      </c>
      <c r="Z34" s="756">
        <f t="shared" si="3"/>
        <v>64</v>
      </c>
      <c r="AA34" s="756">
        <f t="shared" si="4"/>
        <v>86</v>
      </c>
      <c r="AB34" s="756">
        <f t="shared" si="5"/>
        <v>76</v>
      </c>
      <c r="AC34" s="756">
        <f t="shared" si="6"/>
        <v>110</v>
      </c>
      <c r="AD34" s="757"/>
      <c r="AE34" s="757" t="str">
        <f>IFERROR(VLOOKUP($A34,全人物技能说明!$A$1:$O$99,9,FALSE),"")</f>
        <v>60(+9)</v>
      </c>
      <c r="AF34" s="757" t="str">
        <f>IFERROR(VLOOKUP($A34,全人物技能说明!$A$1:$O$99,10,FALSE),"")</f>
        <v>40(+6)</v>
      </c>
      <c r="AG34" s="757" t="str">
        <f>IFERROR(VLOOKUP($A34,全人物技能说明!$A$1:$O$99,11,FALSE),"")</f>
        <v>54(+8)</v>
      </c>
      <c r="AH34" s="757" t="str">
        <f>IFERROR(VLOOKUP($A34,全人物技能说明!$A$1:$O$99,12,FALSE),"")</f>
        <v>48(+7)</v>
      </c>
      <c r="AI34" s="757" t="str">
        <f>IFERROR(VLOOKUP($A34,全人物技能说明!$A$1:$O$99,13,FALSE),"")</f>
        <v>66(+11)</v>
      </c>
      <c r="AJ34" s="804"/>
    </row>
    <row r="35" ht="20" customHeight="1" spans="1:36">
      <c r="A35" s="717" t="s">
        <v>178</v>
      </c>
      <c r="B35" s="717" t="str">
        <f>IFERROR(VLOOKUP($A35,全人物技能说明!$A$1:$O$99,2,FALSE),"")</f>
        <v>佩恩</v>
      </c>
      <c r="C35" s="717">
        <v>3</v>
      </c>
      <c r="D35" s="717" t="str">
        <f>IFERROR(VLOOKUP($A35,全人物技能说明!$A$1:$O$99,3,FALSE),"")</f>
        <v>5剧情</v>
      </c>
      <c r="E35" s="717" t="str">
        <f>IFERROR(VLOOKUP($A35,全人物技能说明!$A$1:$O$99,4,FALSE),"")</f>
        <v>传说</v>
      </c>
      <c r="F35" s="717">
        <f>IFERROR(VLOOKUP($A35,全人物技能说明!$A$1:$O$99,7,FALSE),"")</f>
        <v>0</v>
      </c>
      <c r="G35" s="729" t="str">
        <f>IFERROR(VLOOKUP($A35,全人物技能说明!$A$1:$O$99,8,FALSE),"")</f>
        <v>鞭笞最多 4 名敌人，各造成 [30% DPS] 伤害。</v>
      </c>
      <c r="H35" s="729" t="s">
        <v>179</v>
      </c>
      <c r="I35" s="707" t="str">
        <f>IFERROR(VLOOKUP($A35,全人物技能说明!$A$1:$O$99,14,FALSE),"")</f>
        <v>A</v>
      </c>
      <c r="J35" s="707" t="str">
        <f>IFERROR(VLOOKUP($A35,全人物技能说明!$A$1:$O$99,15,FALSE),"")</f>
        <v>U</v>
      </c>
      <c r="K35" s="773" t="s">
        <v>16</v>
      </c>
      <c r="L35" s="754" t="s">
        <v>16</v>
      </c>
      <c r="M35" s="729" t="str">
        <f>IFERROR(IF(VLOOKUP($A35,全人物技能说明!$A$1:$O$99,7,FALSE)&lt;&gt;"",VLOOKUP($A35,全人物技能说明!$A$1:$O$99,7,FALSE),""),"")</f>
        <v/>
      </c>
      <c r="N35" s="768"/>
      <c r="O35" s="769"/>
      <c r="P35" s="753">
        <f>RANK(Y35,Y:Y)</f>
        <v>41</v>
      </c>
      <c r="Q35" s="753">
        <f>RANK(Z35,Z:Z)</f>
        <v>39</v>
      </c>
      <c r="R35" s="753">
        <f>RANK(AA35,AA:AA)</f>
        <v>41</v>
      </c>
      <c r="S35" s="753">
        <f>RANK(AB35,AB:AB)</f>
        <v>39</v>
      </c>
      <c r="T35" s="753">
        <f>RANK(AC35,AC:AC)</f>
        <v>42</v>
      </c>
      <c r="U35" s="707">
        <f t="shared" si="0"/>
        <v>424</v>
      </c>
      <c r="V35" s="707"/>
      <c r="W35" s="707">
        <f t="shared" si="1"/>
        <v>3</v>
      </c>
      <c r="X35" s="707"/>
      <c r="Y35" s="753">
        <f t="shared" si="2"/>
        <v>88</v>
      </c>
      <c r="Z35" s="753">
        <f t="shared" si="3"/>
        <v>100</v>
      </c>
      <c r="AA35" s="753">
        <f t="shared" si="4"/>
        <v>78</v>
      </c>
      <c r="AB35" s="753">
        <f t="shared" si="5"/>
        <v>88</v>
      </c>
      <c r="AC35" s="753">
        <f t="shared" si="6"/>
        <v>70</v>
      </c>
      <c r="AD35" s="707"/>
      <c r="AE35" s="707" t="str">
        <f>IFERROR(VLOOKUP($A35,全人物技能说明!$A$1:$O$99,9,FALSE),"")</f>
        <v>66(+11)</v>
      </c>
      <c r="AF35" s="707" t="str">
        <f>IFERROR(VLOOKUP($A35,全人物技能说明!$A$1:$O$99,10,FALSE),"")</f>
        <v>72(+14)</v>
      </c>
      <c r="AG35" s="707" t="str">
        <f>IFERROR(VLOOKUP($A35,全人物技能说明!$A$1:$O$99,11,FALSE),"")</f>
        <v>60(+9)</v>
      </c>
      <c r="AH35" s="707" t="str">
        <f>IFERROR(VLOOKUP($A35,全人物技能说明!$A$1:$O$99,12,FALSE),"")</f>
        <v>66(+11)</v>
      </c>
      <c r="AI35" s="707" t="str">
        <f>IFERROR(VLOOKUP($A35,全人物技能说明!$A$1:$O$99,13,FALSE),"")</f>
        <v>54(+8)</v>
      </c>
      <c r="AJ35" s="807"/>
    </row>
    <row r="36" ht="20" customHeight="1" spans="1:36">
      <c r="A36" s="718" t="s">
        <v>180</v>
      </c>
      <c r="B36" s="717" t="str">
        <f>IFERROR(VLOOKUP($A36,全人物技能说明!$A$1:$O$99,2,FALSE),"")</f>
        <v>艾米莉</v>
      </c>
      <c r="C36" s="717">
        <v>2</v>
      </c>
      <c r="D36" s="717" t="str">
        <f>IFERROR(VLOOKUP($A36,全人物技能说明!$A$1:$O$99,3,FALSE),"")</f>
        <v>7剧情</v>
      </c>
      <c r="E36" s="717" t="str">
        <f>IFERROR(VLOOKUP($A36,全人物技能说明!$A$1:$O$99,4,FALSE),"")</f>
        <v>史诗</v>
      </c>
      <c r="F36" s="717">
        <f>IFERROR(VLOOKUP($A36,全人物技能说明!$A$1:$O$99,7,FALSE),"")</f>
        <v>0</v>
      </c>
      <c r="G36" s="729" t="str">
        <f>IFERROR(VLOOKUP($A36,全人物技能说明!$A$1:$O$99,8,FALSE),"")</f>
        <v>跳向最虚弱的敌人，造成 [250% DPS] 伤害。</v>
      </c>
      <c r="H36" s="729" t="s">
        <v>181</v>
      </c>
      <c r="I36" s="707" t="str">
        <f>IFERROR(VLOOKUP($A36,全人物技能说明!$A$1:$O$99,14,FALSE),"")</f>
        <v>W</v>
      </c>
      <c r="J36" s="707" t="str">
        <f>IFERROR(VLOOKUP($A36,全人物技能说明!$A$1:$O$99,15,FALSE),"")</f>
        <v>F</v>
      </c>
      <c r="K36" s="772" t="s">
        <v>15</v>
      </c>
      <c r="L36" s="754" t="s">
        <v>15</v>
      </c>
      <c r="M36" s="729" t="str">
        <f>IFERROR(IF(VLOOKUP($A36,全人物技能说明!$A$1:$O$99,7,FALSE)&lt;&gt;"",VLOOKUP($A36,全人物技能说明!$A$1:$O$99,7,FALSE),""),"")</f>
        <v/>
      </c>
      <c r="N36" s="768"/>
      <c r="O36" s="769"/>
      <c r="P36" s="753">
        <f>RANK(Y36,Y:Y)</f>
        <v>42</v>
      </c>
      <c r="Q36" s="753">
        <f>RANK(Z36,Z:Z)</f>
        <v>40</v>
      </c>
      <c r="R36" s="753">
        <f>RANK(AA36,AA:AA)</f>
        <v>42</v>
      </c>
      <c r="S36" s="753">
        <f>RANK(AB36,AB:AB)</f>
        <v>42</v>
      </c>
      <c r="T36" s="753">
        <f>RANK(AC36,AC:AC)</f>
        <v>41</v>
      </c>
      <c r="U36" s="707">
        <f t="shared" si="0"/>
        <v>371</v>
      </c>
      <c r="V36" s="707"/>
      <c r="W36" s="707">
        <f t="shared" si="1"/>
        <v>2</v>
      </c>
      <c r="X36" s="707"/>
      <c r="Y36" s="753">
        <f t="shared" si="2"/>
        <v>86</v>
      </c>
      <c r="Z36" s="753">
        <f t="shared" si="3"/>
        <v>69</v>
      </c>
      <c r="AA36" s="753">
        <f t="shared" si="4"/>
        <v>77</v>
      </c>
      <c r="AB36" s="753">
        <f t="shared" si="5"/>
        <v>62</v>
      </c>
      <c r="AC36" s="753">
        <f t="shared" si="6"/>
        <v>77</v>
      </c>
      <c r="AD36" s="707"/>
      <c r="AE36" s="707" t="str">
        <f>IFERROR(VLOOKUP($A36,全人物技能说明!$A$1:$O$99,9,FALSE),"")</f>
        <v>72(+14)</v>
      </c>
      <c r="AF36" s="707" t="str">
        <f>IFERROR(VLOOKUP($A36,全人物技能说明!$A$1:$O$99,10,FALSE),"")</f>
        <v>60(+9)</v>
      </c>
      <c r="AG36" s="707" t="str">
        <f>IFERROR(VLOOKUP($A36,全人物技能说明!$A$1:$O$99,11,FALSE),"")</f>
        <v>66(+11)</v>
      </c>
      <c r="AH36" s="707" t="str">
        <f>IFERROR(VLOOKUP($A36,全人物技能说明!$A$1:$O$99,12,FALSE),"")</f>
        <v>54(+8)</v>
      </c>
      <c r="AI36" s="707" t="str">
        <f>IFERROR(VLOOKUP($A36,全人物技能说明!$A$1:$O$99,13,FALSE),"")</f>
        <v>66(+11)</v>
      </c>
      <c r="AJ36" s="807"/>
    </row>
    <row r="37" ht="20" customHeight="1" spans="1:36">
      <c r="A37" s="712" t="s">
        <v>182</v>
      </c>
      <c r="B37" s="715" t="str">
        <f>IFERROR(VLOOKUP($A37,全人物技能说明!$A$1:$O$99,2,FALSE),"")</f>
        <v>阿德莱恩</v>
      </c>
      <c r="C37" s="715">
        <v>-2</v>
      </c>
      <c r="D37" s="715">
        <f>IFERROR(VLOOKUP($A37,全人物技能说明!$A$1:$O$99,3,FALSE),"")</f>
        <v>0</v>
      </c>
      <c r="E37" s="715">
        <f>IFERROR(VLOOKUP($A37,全人物技能说明!$A$1:$O$99,4,FALSE),"")</f>
        <v>0</v>
      </c>
      <c r="F37" s="715" t="str">
        <f>IFERROR(VLOOKUP($A37,全人物技能说明!$A$1:$O$99,7,FALSE),"")</f>
        <v>攻速倒数第一，成长高每级+14的A，使用X2近战武士刀8次</v>
      </c>
      <c r="G37" s="730" t="str">
        <f>IFERROR(VLOOKUP($A37,全人物技能说明!$A$1:$O$99,8,FALSE),"")</f>
        <v>随机敌人，每个造成36点伤害，忽略所有防御。</v>
      </c>
      <c r="H37" s="730"/>
      <c r="I37" s="757">
        <f>IFERROR(VLOOKUP($A37,全人物技能说明!$A$1:$O$99,14,FALSE),"")</f>
        <v>0</v>
      </c>
      <c r="J37" s="757">
        <f>IFERROR(VLOOKUP($A37,全人物技能说明!$A$1:$O$99,15,FALSE),"")</f>
        <v>0</v>
      </c>
      <c r="K37" s="766"/>
      <c r="L37" s="758" t="s">
        <v>16</v>
      </c>
      <c r="M37" s="730" t="str">
        <f>IFERROR(IF(VLOOKUP($A37,全人物技能说明!$A$1:$O$99,7,FALSE)&lt;&gt;"",VLOOKUP($A37,全人物技能说明!$A$1:$O$99,7,FALSE),""),"")</f>
        <v>攻速倒数第一，成长高每级+14的A，使用X2近战武士刀8次</v>
      </c>
      <c r="N37" s="766"/>
      <c r="O37" s="771"/>
      <c r="P37" s="753">
        <f>RANK(Y37,Y:Y)</f>
        <v>44</v>
      </c>
      <c r="Q37" s="753">
        <f>RANK(Z37,Z:Z)</f>
        <v>45</v>
      </c>
      <c r="R37" s="753">
        <f>RANK(AA37,AA:AA)</f>
        <v>43</v>
      </c>
      <c r="S37" s="753">
        <f>RANK(AB37,AB:AB)</f>
        <v>44</v>
      </c>
      <c r="T37" s="753">
        <f>RANK(AC37,AC:AC)</f>
        <v>46</v>
      </c>
      <c r="U37" s="757">
        <f t="shared" si="0"/>
        <v>153</v>
      </c>
      <c r="V37" s="757"/>
      <c r="W37" s="757">
        <f t="shared" si="1"/>
        <v>-2</v>
      </c>
      <c r="X37" s="757"/>
      <c r="Y37" s="756">
        <f t="shared" si="2"/>
        <v>30</v>
      </c>
      <c r="Z37" s="756">
        <f t="shared" si="3"/>
        <v>30</v>
      </c>
      <c r="AA37" s="756">
        <f t="shared" si="4"/>
        <v>33</v>
      </c>
      <c r="AB37" s="756">
        <f t="shared" si="5"/>
        <v>30</v>
      </c>
      <c r="AC37" s="756">
        <f t="shared" si="6"/>
        <v>30</v>
      </c>
      <c r="AD37" s="757"/>
      <c r="AE37" s="757" t="str">
        <f>IFERROR(VLOOKUP($A37,全人物技能说明!$A$1:$O$99,9,FALSE),"")</f>
        <v>54(+8)</v>
      </c>
      <c r="AF37" s="757" t="str">
        <f>IFERROR(VLOOKUP($A37,全人物技能说明!$A$1:$O$99,10,FALSE),"")</f>
        <v>72(+14)</v>
      </c>
      <c r="AG37" s="757" t="str">
        <f>IFERROR(VLOOKUP($A37,全人物技能说明!$A$1:$O$99,11,FALSE),"")</f>
        <v>60(+9)</v>
      </c>
      <c r="AH37" s="757" t="str">
        <f>IFERROR(VLOOKUP($A37,全人物技能说明!$A$1:$O$99,12,FALSE),"")</f>
        <v>72(+14)</v>
      </c>
      <c r="AI37" s="757" t="str">
        <f>IFERROR(VLOOKUP($A37,全人物技能说明!$A$1:$O$99,13,FALSE),"")</f>
        <v>54(+8)</v>
      </c>
      <c r="AJ37" s="804"/>
    </row>
    <row r="38" ht="20" customHeight="1" spans="1:36">
      <c r="A38" s="718" t="s">
        <v>183</v>
      </c>
      <c r="B38" s="717" t="str">
        <f>IFERROR(VLOOKUP($A38,全人物技能说明!$A$1:$O$99,2,FALSE),"")</f>
        <v>威妮莎</v>
      </c>
      <c r="C38" s="717">
        <v>-2</v>
      </c>
      <c r="D38" s="717" t="str">
        <f>IFERROR(VLOOKUP($A38,全人物技能说明!$A$1:$O$99,3,FALSE),"")</f>
        <v>5箱子</v>
      </c>
      <c r="E38" s="717" t="str">
        <f>IFERROR(VLOOKUP($A38,全人物技能说明!$A$1:$O$99,4,FALSE),"")</f>
        <v>稀有</v>
      </c>
      <c r="F38" s="717">
        <f>IFERROR(VLOOKUP($A38,全人物技能说明!$A$1:$O$99,7,FALSE),"")</f>
        <v>0</v>
      </c>
      <c r="G38" s="729" t="str">
        <f>IFERROR(VLOOKUP($A38,全人物技能说明!$A$1:$O$99,8,FALSE),"")</f>
        <v>指挥 2 名队友瞬间攻击一名敌人。</v>
      </c>
      <c r="H38" s="729"/>
      <c r="I38" s="707" t="str">
        <f>IFERROR(VLOOKUP($A38,全人物技能说明!$A$1:$O$99,14,FALSE),"")</f>
        <v>F</v>
      </c>
      <c r="J38" s="707" t="str">
        <f>IFERROR(VLOOKUP($A38,全人物技能说明!$A$1:$O$99,15,FALSE),"")</f>
        <v>I</v>
      </c>
      <c r="K38" s="768"/>
      <c r="L38" s="754" t="s">
        <v>16</v>
      </c>
      <c r="M38" s="729" t="str">
        <f>IFERROR(IF(VLOOKUP($A38,全人物技能说明!$A$1:$O$99,7,FALSE)&lt;&gt;"",VLOOKUP($A38,全人物技能说明!$A$1:$O$99,7,FALSE),""),"")</f>
        <v/>
      </c>
      <c r="N38" s="768"/>
      <c r="O38" s="769"/>
      <c r="P38" s="753">
        <f>RANK(Y38,Y:Y)</f>
        <v>43</v>
      </c>
      <c r="Q38" s="753">
        <f>RANK(Z38,Z:Z)</f>
        <v>43</v>
      </c>
      <c r="R38" s="753">
        <f>RANK(AA38,AA:AA)</f>
        <v>45</v>
      </c>
      <c r="S38" s="753">
        <f>RANK(AB38,AB:AB)</f>
        <v>44</v>
      </c>
      <c r="T38" s="753">
        <f>RANK(AC38,AC:AC)</f>
        <v>44</v>
      </c>
      <c r="U38" s="707">
        <f t="shared" si="0"/>
        <v>159</v>
      </c>
      <c r="V38" s="707"/>
      <c r="W38" s="707">
        <f t="shared" si="1"/>
        <v>-2</v>
      </c>
      <c r="X38" s="707"/>
      <c r="Y38" s="753">
        <f t="shared" si="2"/>
        <v>33</v>
      </c>
      <c r="Z38" s="753">
        <f t="shared" si="3"/>
        <v>33</v>
      </c>
      <c r="AA38" s="753">
        <f t="shared" si="4"/>
        <v>30</v>
      </c>
      <c r="AB38" s="753">
        <f t="shared" si="5"/>
        <v>30</v>
      </c>
      <c r="AC38" s="753">
        <f t="shared" si="6"/>
        <v>33</v>
      </c>
      <c r="AD38" s="707"/>
      <c r="AE38" s="707" t="str">
        <f>IFERROR(VLOOKUP($A38,全人物技能说明!$A$1:$O$99,9,FALSE),"")</f>
        <v>66(+11)</v>
      </c>
      <c r="AF38" s="707" t="str">
        <f>IFERROR(VLOOKUP($A38,全人物技能说明!$A$1:$O$99,10,FALSE),"")</f>
        <v>66(+11)</v>
      </c>
      <c r="AG38" s="707" t="str">
        <f>IFERROR(VLOOKUP($A38,全人物技能说明!$A$1:$O$99,11,FALSE),"")</f>
        <v>54(+8)</v>
      </c>
      <c r="AH38" s="707" t="str">
        <f>IFERROR(VLOOKUP($A38,全人物技能说明!$A$1:$O$99,12,FALSE),"")</f>
        <v>72(+14)</v>
      </c>
      <c r="AI38" s="707" t="str">
        <f>IFERROR(VLOOKUP($A38,全人物技能说明!$A$1:$O$99,13,FALSE),"")</f>
        <v>60(+9)</v>
      </c>
      <c r="AJ38" s="807"/>
    </row>
    <row r="39" ht="20" customHeight="1" spans="1:36">
      <c r="A39" s="734" t="s">
        <v>184</v>
      </c>
      <c r="B39" s="717" t="str">
        <f>IFERROR(VLOOKUP($A39,全人物技能说明!$A$1:$O$99,2,FALSE),"")</f>
        <v>粉红</v>
      </c>
      <c r="C39" s="717">
        <v>-2</v>
      </c>
      <c r="D39" s="717" t="str">
        <f>IFERROR(VLOOKUP($A39,全人物技能说明!$A$1:$O$99,3,FALSE),"")</f>
        <v>8箱子</v>
      </c>
      <c r="E39" s="717" t="str">
        <f>IFERROR(VLOOKUP($A39,全人物技能说明!$A$1:$O$99,4,FALSE),"")</f>
        <v>史诗</v>
      </c>
      <c r="F39" s="717">
        <f>IFERROR(VLOOKUP($A39,全人物技能说明!$A$1:$O$99,7,FALSE),"")</f>
        <v>0</v>
      </c>
      <c r="G39" s="738" t="str">
        <f>IFERROR(VLOOKUP($A39,全人物技能说明!$A$1:$O$99,8,FALSE),"")</f>
        <v>展露粉嫩，使全体敌人眩晕1回，并使其在接下来的2次受击中降 [15% ?] 防。</v>
      </c>
      <c r="H39" s="738"/>
      <c r="I39" s="752" t="str">
        <f>IFERROR(VLOOKUP($A39,全人物技能说明!$A$1:$O$99,14,FALSE),"")</f>
        <v>F</v>
      </c>
      <c r="J39" s="707" t="str">
        <f>IFERROR(VLOOKUP($A39,全人物技能说明!$A$1:$O$99,15,FALSE),"")</f>
        <v>W</v>
      </c>
      <c r="K39" s="768"/>
      <c r="L39" s="754" t="s">
        <v>16</v>
      </c>
      <c r="M39" s="729" t="str">
        <f>IFERROR(IF(VLOOKUP($A39,全人物技能说明!$A$1:$O$99,7,FALSE)&lt;&gt;"",VLOOKUP($A39,全人物技能说明!$A$1:$O$99,7,FALSE),""),"")</f>
        <v/>
      </c>
      <c r="N39" s="769"/>
      <c r="O39" s="769"/>
      <c r="P39" s="753">
        <f>RANK(Y39,Y:Y)</f>
        <v>44</v>
      </c>
      <c r="Q39" s="753">
        <f>RANK(Z39,Z:Z)</f>
        <v>43</v>
      </c>
      <c r="R39" s="753">
        <f>RANK(AA39,AA:AA)</f>
        <v>43</v>
      </c>
      <c r="S39" s="753">
        <f>RANK(AB39,AB:AB)</f>
        <v>44</v>
      </c>
      <c r="T39" s="753">
        <f>RANK(AC39,AC:AC)</f>
        <v>44</v>
      </c>
      <c r="U39" s="707">
        <f t="shared" si="0"/>
        <v>159</v>
      </c>
      <c r="V39" s="707"/>
      <c r="W39" s="707">
        <f t="shared" si="1"/>
        <v>-2</v>
      </c>
      <c r="X39" s="707"/>
      <c r="Y39" s="753">
        <f t="shared" si="2"/>
        <v>30</v>
      </c>
      <c r="Z39" s="753">
        <f t="shared" si="3"/>
        <v>33</v>
      </c>
      <c r="AA39" s="753">
        <f t="shared" si="4"/>
        <v>33</v>
      </c>
      <c r="AB39" s="753">
        <f t="shared" si="5"/>
        <v>30</v>
      </c>
      <c r="AC39" s="753">
        <f t="shared" si="6"/>
        <v>33</v>
      </c>
      <c r="AD39" s="707"/>
      <c r="AE39" s="707" t="str">
        <f>IFERROR(VLOOKUP($A39,全人物技能说明!$A$1:$O$99,9,FALSE),"")</f>
        <v>54(+8)</v>
      </c>
      <c r="AF39" s="707" t="str">
        <f>IFERROR(VLOOKUP($A39,全人物技能说明!$A$1:$O$99,10,FALSE),"")</f>
        <v>66(+11)</v>
      </c>
      <c r="AG39" s="707" t="str">
        <f>IFERROR(VLOOKUP($A39,全人物技能说明!$A$1:$O$99,11,FALSE),"")</f>
        <v>66(+11)</v>
      </c>
      <c r="AH39" s="707" t="str">
        <f>IFERROR(VLOOKUP($A39,全人物技能说明!$A$1:$O$99,12,FALSE),"")</f>
        <v>72(+14)</v>
      </c>
      <c r="AI39" s="707" t="str">
        <f>IFERROR(VLOOKUP($A39,全人物技能说明!$A$1:$O$99,13,FALSE),"")</f>
        <v>60(+9)</v>
      </c>
      <c r="AJ39" s="807"/>
    </row>
    <row r="40" ht="20" customHeight="1" spans="1:36">
      <c r="A40" s="739" t="s">
        <v>185</v>
      </c>
      <c r="B40" s="717">
        <f>IFERROR(VLOOKUP($A40,全人物技能说明!$A$1:$O$99,2,FALSE),"")</f>
        <v>0</v>
      </c>
      <c r="C40" s="717">
        <v>-9</v>
      </c>
      <c r="D40" s="718" t="str">
        <f>IFERROR(VLOOKUP($A40,全人物技能说明!$A$1:$O$99,3,FALSE),"")</f>
        <v>Z工人</v>
      </c>
      <c r="E40" s="717" t="str">
        <f>IFERROR(VLOOKUP($A40,全人物技能说明!$A$1:$O$99,4,FALSE),"")</f>
        <v>传说</v>
      </c>
      <c r="F40" s="717" t="str">
        <f>IFERROR(VLOOKUP($A40,全人物技能说明!$A$1:$O$99,7,FALSE),"")</f>
        <v>工人</v>
      </c>
      <c r="G40" s="729">
        <f>IFERROR(VLOOKUP($A40,全人物技能说明!$A$1:$O$99,8,FALSE),"")</f>
        <v>0</v>
      </c>
      <c r="H40" s="729"/>
      <c r="I40" s="707" t="str">
        <f>IFERROR(VLOOKUP($A40,全人物技能说明!$A$1:$O$99,14,FALSE),"")</f>
        <v>W</v>
      </c>
      <c r="J40" s="707">
        <f>IFERROR(VLOOKUP($A40,全人物技能说明!$A$1:$O$99,15,FALSE),"")</f>
        <v>0</v>
      </c>
      <c r="K40" s="768"/>
      <c r="L40" s="754"/>
      <c r="M40" s="729" t="str">
        <f>IFERROR(IF(VLOOKUP($A40,全人物技能说明!$A$1:$O$99,7,FALSE)&lt;&gt;"",VLOOKUP($A40,全人物技能说明!$A$1:$O$99,7,FALSE),""),"")</f>
        <v>工人</v>
      </c>
      <c r="N40" s="768"/>
      <c r="O40" s="771" t="s">
        <v>52</v>
      </c>
      <c r="P40" s="753">
        <f>RANK(Y40,Y:Y)</f>
        <v>13</v>
      </c>
      <c r="Q40" s="753">
        <f>RANK(Z40,Z:Z)</f>
        <v>28</v>
      </c>
      <c r="R40" s="753">
        <f>RANK(AA40,AA:AA)</f>
        <v>24</v>
      </c>
      <c r="S40" s="753">
        <f>RANK(AB40,AB:AB)</f>
        <v>31</v>
      </c>
      <c r="T40" s="753">
        <f>RANK(AC40,AC:AC)</f>
        <v>31</v>
      </c>
      <c r="U40" s="707">
        <f t="shared" si="0"/>
        <v>712</v>
      </c>
      <c r="V40" s="707"/>
      <c r="W40" s="707">
        <v>20</v>
      </c>
      <c r="X40" s="707"/>
      <c r="Y40" s="753">
        <f t="shared" si="2"/>
        <v>193</v>
      </c>
      <c r="Z40" s="753">
        <f t="shared" si="3"/>
        <v>124</v>
      </c>
      <c r="AA40" s="753">
        <f t="shared" si="4"/>
        <v>147</v>
      </c>
      <c r="AB40" s="753">
        <f t="shared" si="5"/>
        <v>124</v>
      </c>
      <c r="AC40" s="753">
        <f t="shared" si="6"/>
        <v>124</v>
      </c>
      <c r="AD40" s="707"/>
      <c r="AE40" s="707" t="str">
        <f>IFERROR(VLOOKUP($A40,全人物技能说明!$A$1:$O$99,9,FALSE),"")</f>
        <v>41(+8)</v>
      </c>
      <c r="AF40" s="707" t="str">
        <f>IFERROR(VLOOKUP($A40,全人物技能说明!$A$1:$O$99,10,FALSE),"")</f>
        <v>29(+5)</v>
      </c>
      <c r="AG40" s="707" t="str">
        <f>IFERROR(VLOOKUP($A40,全人物技能说明!$A$1:$O$99,11,FALSE),"")</f>
        <v>33(+6)</v>
      </c>
      <c r="AH40" s="707" t="str">
        <f>IFERROR(VLOOKUP($A40,全人物技能说明!$A$1:$O$99,12,FALSE),"")</f>
        <v>29(+5)</v>
      </c>
      <c r="AI40" s="707" t="str">
        <f>IFERROR(VLOOKUP($A40,全人物技能说明!$A$1:$O$99,13,FALSE),"")</f>
        <v>29(+5)</v>
      </c>
      <c r="AJ40" s="804"/>
    </row>
    <row r="41" ht="20" customHeight="1" spans="1:36">
      <c r="A41" s="740" t="s">
        <v>186</v>
      </c>
      <c r="B41" s="715"/>
      <c r="C41" s="715">
        <v>-9</v>
      </c>
      <c r="D41" s="718" t="str">
        <f>IFERROR(VLOOKUP($A41,全人物技能说明!$A$1:$O$99,3,FALSE),"")</f>
        <v>Z工人</v>
      </c>
      <c r="E41" s="717" t="str">
        <f>IFERROR(VLOOKUP($A41,全人物技能说明!$A$1:$O$99,4,FALSE),"")</f>
        <v>史诗</v>
      </c>
      <c r="F41" s="715"/>
      <c r="G41" s="730"/>
      <c r="H41" s="730"/>
      <c r="I41" s="757"/>
      <c r="J41" s="757"/>
      <c r="K41" s="766"/>
      <c r="L41" s="758"/>
      <c r="M41" s="729" t="str">
        <f>IFERROR(IF(VLOOKUP($A41,全人物技能说明!$A$1:$O$99,7,FALSE)&lt;&gt;"",VLOOKUP($A41,全人物技能说明!$A$1:$O$99,7,FALSE),""),"")</f>
        <v>工人</v>
      </c>
      <c r="N41" s="771"/>
      <c r="O41" s="771"/>
      <c r="P41" s="753">
        <f>RANK(Y41,Y:Y)</f>
        <v>15</v>
      </c>
      <c r="Q41" s="753">
        <f>RANK(Z41,Z:Z)</f>
        <v>32</v>
      </c>
      <c r="R41" s="753">
        <f>RANK(AA41,AA:AA)</f>
        <v>33</v>
      </c>
      <c r="S41" s="753">
        <f>RANK(AB41,AB:AB)</f>
        <v>37</v>
      </c>
      <c r="T41" s="753">
        <f>RANK(AC41,AC:AC)</f>
        <v>22</v>
      </c>
      <c r="U41" s="757"/>
      <c r="V41" s="757"/>
      <c r="W41" s="756"/>
      <c r="X41" s="756"/>
      <c r="Y41" s="756">
        <v>191</v>
      </c>
      <c r="Z41" s="756">
        <v>122</v>
      </c>
      <c r="AA41" s="756">
        <v>122</v>
      </c>
      <c r="AB41" s="756">
        <v>99</v>
      </c>
      <c r="AC41" s="756">
        <v>145</v>
      </c>
      <c r="AD41" s="757"/>
      <c r="AE41" s="757"/>
      <c r="AF41" s="757"/>
      <c r="AG41" s="757"/>
      <c r="AH41" s="757"/>
      <c r="AI41" s="757"/>
      <c r="AJ41" s="804"/>
    </row>
    <row r="42" ht="20" customHeight="1" spans="1:36">
      <c r="A42" s="741" t="s">
        <v>187</v>
      </c>
      <c r="B42" s="717">
        <f>IFERROR(VLOOKUP($A42,全人物技能说明!$A$1:$O$99,2,FALSE),"")</f>
        <v>0</v>
      </c>
      <c r="C42" s="717">
        <v>-9</v>
      </c>
      <c r="D42" s="718" t="str">
        <f>IFERROR(VLOOKUP($A42,全人物技能说明!$A$1:$O$99,3,FALSE),"")</f>
        <v>Z工人</v>
      </c>
      <c r="E42" s="717" t="str">
        <f>IFERROR(VLOOKUP($A42,全人物技能说明!$A$1:$O$99,4,FALSE),"")</f>
        <v>传说</v>
      </c>
      <c r="F42" s="717" t="str">
        <f>IFERROR(VLOOKUP($A42,全人物技能说明!$A$1:$O$99,7,FALSE),"")</f>
        <v>工人</v>
      </c>
      <c r="G42" s="729">
        <f>IFERROR(VLOOKUP($A42,全人物技能说明!$A$1:$O$99,8,FALSE),"")</f>
        <v>0</v>
      </c>
      <c r="H42" s="729"/>
      <c r="I42" s="707" t="str">
        <f>IFERROR(VLOOKUP($A42,全人物技能说明!$A$1:$O$99,14,FALSE),"")</f>
        <v>W</v>
      </c>
      <c r="J42" s="707">
        <f>IFERROR(VLOOKUP($A42,全人物技能说明!$A$1:$O$99,15,FALSE),"")</f>
        <v>0</v>
      </c>
      <c r="K42" s="768"/>
      <c r="L42" s="754"/>
      <c r="M42" s="729" t="str">
        <f>IFERROR(IF(VLOOKUP($A42,全人物技能说明!$A$1:$O$99,7,FALSE)&lt;&gt;"",VLOOKUP($A42,全人物技能说明!$A$1:$O$99,7,FALSE),""),"")</f>
        <v>工人</v>
      </c>
      <c r="N42" s="768"/>
      <c r="O42" s="771"/>
      <c r="P42" s="753">
        <f>RANK(Y42,Y:Y)</f>
        <v>16</v>
      </c>
      <c r="Q42" s="753">
        <f>RANK(Z42,Z:Z)</f>
        <v>35</v>
      </c>
      <c r="R42" s="753">
        <f>RANK(AA42,AA:AA)</f>
        <v>34</v>
      </c>
      <c r="S42" s="753">
        <f>RANK(AB42,AB:AB)</f>
        <v>35</v>
      </c>
      <c r="T42" s="753">
        <f>RANK(AC42,AC:AC)</f>
        <v>24</v>
      </c>
      <c r="U42" s="707">
        <f>Y42+Z42+AA42+AB42+AC42</f>
        <v>687</v>
      </c>
      <c r="V42" s="707"/>
      <c r="W42" s="707">
        <v>20</v>
      </c>
      <c r="X42" s="707"/>
      <c r="Y42" s="753">
        <f>IFERROR(VALUE(LEFT(AE42,FIND("(",AE42)-1))+($W42-1)*VALUE(MID(AE42,FIND("+",AE42)+1,FIND(")",AE42)-FIND("+",AE42)-1)),"")</f>
        <v>188</v>
      </c>
      <c r="Z42" s="753">
        <f>IFERROR(VALUE(LEFT(AF42,FIND("(",AF42)-1))+($W42-1)*VALUE(MID(AF42,FIND("+",AF42)+1,FIND(")",AF42)-FIND("+",AF42)-1)),"")</f>
        <v>119</v>
      </c>
      <c r="AA42" s="753">
        <f>IFERROR(VALUE(LEFT(AG42,FIND("(",AG42)-1))+($W42-1)*VALUE(MID(AG42,FIND("+",AG42)+1,FIND(")",AG42)-FIND("+",AG42)-1)),"")</f>
        <v>119</v>
      </c>
      <c r="AB42" s="753">
        <f>IFERROR(VALUE(LEFT(AH42,FIND("(",AH42)-1))+($W42-1)*VALUE(MID(AH42,FIND("+",AH42)+1,FIND(")",AH42)-FIND("+",AH42)-1)),"")</f>
        <v>119</v>
      </c>
      <c r="AC42" s="753">
        <f>IFERROR(VALUE(LEFT(AI42,FIND("(",AI42)-1))+($W42-1)*VALUE(MID(AI42,FIND("+",AI42)+1,FIND(")",AI42)-FIND("+",AI42)-1)),"")</f>
        <v>142</v>
      </c>
      <c r="AD42" s="707"/>
      <c r="AE42" s="707" t="str">
        <f>IFERROR(VLOOKUP($A42,全人物技能说明!$A$1:$O$99,9,FALSE),"")</f>
        <v>36(+8)</v>
      </c>
      <c r="AF42" s="707" t="str">
        <f>IFERROR(VLOOKUP($A42,全人物技能说明!$A$1:$O$99,10,FALSE),"")</f>
        <v>24(+5)</v>
      </c>
      <c r="AG42" s="707" t="str">
        <f>IFERROR(VLOOKUP($A42,全人物技能说明!$A$1:$O$99,11,FALSE),"")</f>
        <v>24(+5)</v>
      </c>
      <c r="AH42" s="707" t="str">
        <f>IFERROR(VLOOKUP($A42,全人物技能说明!$A$1:$O$99,12,FALSE),"")</f>
        <v>24(+5)</v>
      </c>
      <c r="AI42" s="707" t="str">
        <f>IFERROR(VLOOKUP($A42,全人物技能说明!$A$1:$O$99,13,FALSE),"")</f>
        <v>28(+6)</v>
      </c>
      <c r="AJ42" s="804"/>
    </row>
    <row r="43" ht="20" customHeight="1" spans="1:36">
      <c r="A43" s="741" t="s">
        <v>188</v>
      </c>
      <c r="B43" s="717">
        <f>IFERROR(VLOOKUP($A43,全人物技能说明!$A$1:$O$99,2,FALSE),"")</f>
        <v>0</v>
      </c>
      <c r="C43" s="717">
        <v>-9</v>
      </c>
      <c r="D43" s="718" t="str">
        <f>IFERROR(VLOOKUP($A43,全人物技能说明!$A$1:$O$99,3,FALSE),"")</f>
        <v>Z工人</v>
      </c>
      <c r="E43" s="717" t="str">
        <f>IFERROR(VLOOKUP($A43,全人物技能说明!$A$1:$O$99,4,FALSE),"")</f>
        <v>传说</v>
      </c>
      <c r="F43" s="717" t="str">
        <f>IFERROR(VLOOKUP($A43,全人物技能说明!$A$1:$O$99,7,FALSE),"")</f>
        <v>工人</v>
      </c>
      <c r="G43" s="729">
        <f>IFERROR(VLOOKUP($A43,全人物技能说明!$A$1:$O$99,8,FALSE),"")</f>
        <v>0</v>
      </c>
      <c r="H43" s="729"/>
      <c r="I43" s="707" t="str">
        <f>IFERROR(VLOOKUP($A43,全人物技能说明!$A$1:$O$99,14,FALSE),"")</f>
        <v>F</v>
      </c>
      <c r="J43" s="707">
        <f>IFERROR(VLOOKUP($A43,全人物技能说明!$A$1:$O$99,15,FALSE),"")</f>
        <v>0</v>
      </c>
      <c r="K43" s="768"/>
      <c r="L43" s="754"/>
      <c r="M43" s="729" t="str">
        <f>IFERROR(IF(VLOOKUP($A43,全人物技能说明!$A$1:$O$99,7,FALSE)&lt;&gt;"",VLOOKUP($A43,全人物技能说明!$A$1:$O$99,7,FALSE),""),"")</f>
        <v>工人</v>
      </c>
      <c r="N43" s="768"/>
      <c r="O43" s="769" t="s">
        <v>18</v>
      </c>
      <c r="P43" s="753">
        <f>RANK(Y43,Y:Y)</f>
        <v>25</v>
      </c>
      <c r="Q43" s="753">
        <f>RANK(Z43,Z:Z)</f>
        <v>28</v>
      </c>
      <c r="R43" s="753">
        <f>RANK(AA43,AA:AA)</f>
        <v>38</v>
      </c>
      <c r="S43" s="753">
        <f>RANK(AB43,AB:AB)</f>
        <v>14</v>
      </c>
      <c r="T43" s="753">
        <f>RANK(AC43,AC:AC)</f>
        <v>20</v>
      </c>
      <c r="U43" s="707">
        <f>Y43+Z43+AA43+AB43+AC43</f>
        <v>712</v>
      </c>
      <c r="V43" s="707"/>
      <c r="W43" s="707">
        <v>20</v>
      </c>
      <c r="X43" s="707"/>
      <c r="Y43" s="753">
        <f>IFERROR(VALUE(LEFT(AE43,FIND("(",AE43)-1))+($W43-1)*VALUE(MID(AE43,FIND("+",AE43)+1,FIND(")",AE43)-FIND("+",AE43)-1)),"")</f>
        <v>147</v>
      </c>
      <c r="Z43" s="753">
        <f>IFERROR(VALUE(LEFT(AF43,FIND("(",AF43)-1))+($W43-1)*VALUE(MID(AF43,FIND("+",AF43)+1,FIND(")",AF43)-FIND("+",AF43)-1)),"")</f>
        <v>124</v>
      </c>
      <c r="AA43" s="753">
        <f>IFERROR(VALUE(LEFT(AG43,FIND("(",AG43)-1))+($W43-1)*VALUE(MID(AG43,FIND("+",AG43)+1,FIND(")",AG43)-FIND("+",AG43)-1)),"")</f>
        <v>101</v>
      </c>
      <c r="AB43" s="753">
        <f>IFERROR(VALUE(LEFT(AH43,FIND("(",AH43)-1))+($W43-1)*VALUE(MID(AH43,FIND("+",AH43)+1,FIND(")",AH43)-FIND("+",AH43)-1)),"")</f>
        <v>193</v>
      </c>
      <c r="AC43" s="753">
        <f>IFERROR(VALUE(LEFT(AI43,FIND("(",AI43)-1))+($W43-1)*VALUE(MID(AI43,FIND("+",AI43)+1,FIND(")",AI43)-FIND("+",AI43)-1)),"")</f>
        <v>147</v>
      </c>
      <c r="AD43" s="707"/>
      <c r="AE43" s="707" t="str">
        <f>IFERROR(VLOOKUP($A43,全人物技能说明!$A$1:$O$99,9,FALSE),"")</f>
        <v>33(+6)</v>
      </c>
      <c r="AF43" s="707" t="str">
        <f>IFERROR(VLOOKUP($A43,全人物技能说明!$A$1:$O$99,10,FALSE),"")</f>
        <v>29(+5)</v>
      </c>
      <c r="AG43" s="707" t="str">
        <f>IFERROR(VLOOKUP($A43,全人物技能说明!$A$1:$O$99,11,FALSE),"")</f>
        <v>25(+4)</v>
      </c>
      <c r="AH43" s="707" t="str">
        <f>IFERROR(VLOOKUP($A43,全人物技能说明!$A$1:$O$99,12,FALSE),"")</f>
        <v>41(+8)</v>
      </c>
      <c r="AI43" s="707" t="str">
        <f>IFERROR(VLOOKUP($A43,全人物技能说明!$A$1:$O$99,13,FALSE),"")</f>
        <v>33(+6)</v>
      </c>
      <c r="AJ43" s="804"/>
    </row>
    <row r="44" ht="20" customHeight="1" spans="1:36">
      <c r="A44" s="741" t="s">
        <v>189</v>
      </c>
      <c r="B44" s="717">
        <f>IFERROR(VLOOKUP($A44,全人物技能说明!$A$1:$O$99,2,FALSE),"")</f>
        <v>0</v>
      </c>
      <c r="C44" s="717">
        <v>-9</v>
      </c>
      <c r="D44" s="718" t="str">
        <f>IFERROR(VLOOKUP($A44,全人物技能说明!$A$1:$O$99,3,FALSE),"")</f>
        <v>Z工人</v>
      </c>
      <c r="E44" s="717" t="str">
        <f>IFERROR(VLOOKUP($A44,全人物技能说明!$A$1:$O$99,4,FALSE),"")</f>
        <v>传说</v>
      </c>
      <c r="F44" s="717" t="str">
        <f>IFERROR(VLOOKUP($A44,全人物技能说明!$A$1:$O$99,7,FALSE),"")</f>
        <v>工人</v>
      </c>
      <c r="G44" s="729">
        <f>IFERROR(VLOOKUP($A44,全人物技能说明!$A$1:$O$99,8,FALSE),"")</f>
        <v>0</v>
      </c>
      <c r="H44" s="729"/>
      <c r="I44" s="707" t="str">
        <f>IFERROR(VLOOKUP($A44,全人物技能说明!$A$1:$O$99,14,FALSE),"")</f>
        <v>I</v>
      </c>
      <c r="J44" s="707">
        <f>IFERROR(VLOOKUP($A44,全人物技能说明!$A$1:$O$99,15,FALSE),"")</f>
        <v>0</v>
      </c>
      <c r="K44" s="768"/>
      <c r="L44" s="754"/>
      <c r="M44" s="729" t="str">
        <f>IFERROR(IF(VLOOKUP($A44,全人物技能说明!$A$1:$O$99,7,FALSE)&lt;&gt;"",VLOOKUP($A44,全人物技能说明!$A$1:$O$99,7,FALSE),""),"")</f>
        <v>工人</v>
      </c>
      <c r="N44" s="768"/>
      <c r="O44" s="769" t="s">
        <v>59</v>
      </c>
      <c r="P44" s="753">
        <f>RANK(Y44,Y:Y)</f>
        <v>25</v>
      </c>
      <c r="Q44" s="753">
        <f>RANK(Z44,Z:Z)</f>
        <v>28</v>
      </c>
      <c r="R44" s="753">
        <f>RANK(AA44,AA:AA)</f>
        <v>11</v>
      </c>
      <c r="S44" s="753">
        <f>RANK(AB44,AB:AB)</f>
        <v>31</v>
      </c>
      <c r="T44" s="753">
        <f>RANK(AC44,AC:AC)</f>
        <v>31</v>
      </c>
      <c r="U44" s="707">
        <f>Y44+Z44+AA44+AB44+AC44</f>
        <v>712</v>
      </c>
      <c r="V44" s="707"/>
      <c r="W44" s="707">
        <v>20</v>
      </c>
      <c r="X44" s="707"/>
      <c r="Y44" s="753">
        <f>IFERROR(VALUE(LEFT(AE44,FIND("(",AE44)-1))+($W44-1)*VALUE(MID(AE44,FIND("+",AE44)+1,FIND(")",AE44)-FIND("+",AE44)-1)),"")</f>
        <v>147</v>
      </c>
      <c r="Z44" s="753">
        <f>IFERROR(VALUE(LEFT(AF44,FIND("(",AF44)-1))+($W44-1)*VALUE(MID(AF44,FIND("+",AF44)+1,FIND(")",AF44)-FIND("+",AF44)-1)),"")</f>
        <v>124</v>
      </c>
      <c r="AA44" s="753">
        <f>IFERROR(VALUE(LEFT(AG44,FIND("(",AG44)-1))+($W44-1)*VALUE(MID(AG44,FIND("+",AG44)+1,FIND(")",AG44)-FIND("+",AG44)-1)),"")</f>
        <v>193</v>
      </c>
      <c r="AB44" s="753">
        <f>IFERROR(VALUE(LEFT(AH44,FIND("(",AH44)-1))+($W44-1)*VALUE(MID(AH44,FIND("+",AH44)+1,FIND(")",AH44)-FIND("+",AH44)-1)),"")</f>
        <v>124</v>
      </c>
      <c r="AC44" s="753">
        <f>IFERROR(VALUE(LEFT(AI44,FIND("(",AI44)-1))+($W44-1)*VALUE(MID(AI44,FIND("+",AI44)+1,FIND(")",AI44)-FIND("+",AI44)-1)),"")</f>
        <v>124</v>
      </c>
      <c r="AD44" s="707"/>
      <c r="AE44" s="707" t="str">
        <f>IFERROR(VLOOKUP($A44,全人物技能说明!$A$1:$O$99,9,FALSE),"")</f>
        <v>33(+6)</v>
      </c>
      <c r="AF44" s="707" t="str">
        <f>IFERROR(VLOOKUP($A44,全人物技能说明!$A$1:$O$99,10,FALSE),"")</f>
        <v>29(+5)</v>
      </c>
      <c r="AG44" s="707" t="str">
        <f>IFERROR(VLOOKUP($A44,全人物技能说明!$A$1:$O$99,11,FALSE),"")</f>
        <v>41(+8)</v>
      </c>
      <c r="AH44" s="707" t="str">
        <f>IFERROR(VLOOKUP($A44,全人物技能说明!$A$1:$O$99,12,FALSE),"")</f>
        <v>29(+5)</v>
      </c>
      <c r="AI44" s="707" t="str">
        <f>IFERROR(VLOOKUP($A44,全人物技能说明!$A$1:$O$99,13,FALSE),"")</f>
        <v>29(+5)</v>
      </c>
      <c r="AJ44" s="807"/>
    </row>
    <row r="45" ht="20" customHeight="1" spans="1:36">
      <c r="A45" s="742" t="s">
        <v>190</v>
      </c>
      <c r="B45" s="717"/>
      <c r="C45" s="717">
        <v>-9</v>
      </c>
      <c r="D45" s="718" t="str">
        <f>IFERROR(VLOOKUP($A45,全人物技能说明!$A$1:$O$99,3,FALSE),"")</f>
        <v>Z工人</v>
      </c>
      <c r="E45" s="717" t="str">
        <f>IFERROR(VLOOKUP($A45,全人物技能说明!$A$1:$O$99,4,FALSE),"")</f>
        <v>史诗</v>
      </c>
      <c r="F45" s="717"/>
      <c r="G45" s="729"/>
      <c r="H45" s="729"/>
      <c r="I45" s="707"/>
      <c r="J45" s="707"/>
      <c r="K45" s="768"/>
      <c r="L45" s="754"/>
      <c r="M45" s="729" t="str">
        <f>IFERROR(IF(VLOOKUP($A45,全人物技能说明!$A$1:$O$99,7,FALSE)&lt;&gt;"",VLOOKUP($A45,全人物技能说明!$A$1:$O$99,7,FALSE),""),"")</f>
        <v>工人</v>
      </c>
      <c r="N45" s="769"/>
      <c r="O45" s="769" t="s">
        <v>129</v>
      </c>
      <c r="P45" s="753">
        <f>RANK(Y45,Y:Y)</f>
        <v>27</v>
      </c>
      <c r="Q45" s="753">
        <f>RANK(Z45,Z:Z)</f>
        <v>32</v>
      </c>
      <c r="R45" s="753">
        <f>RANK(AA45,AA:AA)</f>
        <v>12</v>
      </c>
      <c r="S45" s="753">
        <f>RANK(AB45,AB:AB)</f>
        <v>34</v>
      </c>
      <c r="T45" s="753">
        <f>RANK(AC45,AC:AC)</f>
        <v>39</v>
      </c>
      <c r="U45" s="707"/>
      <c r="V45" s="707"/>
      <c r="W45" s="753"/>
      <c r="X45" s="753"/>
      <c r="Y45" s="753">
        <v>145</v>
      </c>
      <c r="Z45" s="753">
        <v>122</v>
      </c>
      <c r="AA45" s="753">
        <v>191</v>
      </c>
      <c r="AB45" s="753">
        <v>122</v>
      </c>
      <c r="AC45" s="753">
        <v>99</v>
      </c>
      <c r="AD45" s="707"/>
      <c r="AE45" s="707"/>
      <c r="AF45" s="707"/>
      <c r="AG45" s="707"/>
      <c r="AH45" s="707"/>
      <c r="AI45" s="707"/>
      <c r="AJ45" s="807"/>
    </row>
    <row r="46" ht="20" customHeight="1" spans="1:36">
      <c r="A46" s="739" t="s">
        <v>191</v>
      </c>
      <c r="B46" s="717">
        <f>IFERROR(VLOOKUP($A46,全人物技能说明!$A$1:$O$99,2,FALSE),"")</f>
        <v>0</v>
      </c>
      <c r="C46" s="717">
        <v>-9</v>
      </c>
      <c r="D46" s="718" t="str">
        <f>IFERROR(VLOOKUP($A46,全人物技能说明!$A$1:$O$99,3,FALSE),"")</f>
        <v>Z工人</v>
      </c>
      <c r="E46" s="717" t="str">
        <f>IFERROR(VLOOKUP($A46,全人物技能说明!$A$1:$O$99,4,FALSE),"")</f>
        <v>传说</v>
      </c>
      <c r="F46" s="717" t="str">
        <f>IFERROR(VLOOKUP($A46,全人物技能说明!$A$1:$O$99,7,FALSE),"")</f>
        <v>工人</v>
      </c>
      <c r="G46" s="729">
        <f>IFERROR(VLOOKUP($A46,全人物技能说明!$A$1:$O$99,8,FALSE),"")</f>
        <v>0</v>
      </c>
      <c r="H46" s="729"/>
      <c r="I46" s="707" t="str">
        <f>IFERROR(VLOOKUP($A46,全人物技能说明!$A$1:$O$99,14,FALSE),"")</f>
        <v>A</v>
      </c>
      <c r="J46" s="707">
        <f>IFERROR(VLOOKUP($A46,全人物技能说明!$A$1:$O$99,15,FALSE),"")</f>
        <v>0</v>
      </c>
      <c r="K46" s="768"/>
      <c r="L46" s="754"/>
      <c r="M46" s="729" t="str">
        <f>IFERROR(IF(VLOOKUP($A46,全人物技能说明!$A$1:$O$99,7,FALSE)&lt;&gt;"",VLOOKUP($A46,全人物技能说明!$A$1:$O$99,7,FALSE),""),"")</f>
        <v>工人</v>
      </c>
      <c r="N46" s="768"/>
      <c r="O46" s="769" t="s">
        <v>67</v>
      </c>
      <c r="P46" s="753">
        <f>RANK(Y46,Y:Y)</f>
        <v>33</v>
      </c>
      <c r="Q46" s="753">
        <f>RANK(Z46,Z:Z)</f>
        <v>14</v>
      </c>
      <c r="R46" s="753">
        <f>RANK(AA46,AA:AA)</f>
        <v>32</v>
      </c>
      <c r="S46" s="753">
        <f>RANK(AB46,AB:AB)</f>
        <v>24</v>
      </c>
      <c r="T46" s="753">
        <f>RANK(AC46,AC:AC)</f>
        <v>31</v>
      </c>
      <c r="U46" s="707">
        <f>Y46+Z46+AA46+AB46+AC46</f>
        <v>712</v>
      </c>
      <c r="V46" s="707"/>
      <c r="W46" s="707">
        <v>20</v>
      </c>
      <c r="X46" s="707"/>
      <c r="Y46" s="753">
        <f>IFERROR(VALUE(LEFT(AE46,FIND("(",AE46)-1))+($W46-1)*VALUE(MID(AE46,FIND("+",AE46)+1,FIND(")",AE46)-FIND("+",AE46)-1)),"")</f>
        <v>124</v>
      </c>
      <c r="Z46" s="753">
        <f>IFERROR(VALUE(LEFT(AF46,FIND("(",AF46)-1))+($W46-1)*VALUE(MID(AF46,FIND("+",AF46)+1,FIND(")",AF46)-FIND("+",AF46)-1)),"")</f>
        <v>193</v>
      </c>
      <c r="AA46" s="753">
        <f>IFERROR(VALUE(LEFT(AG46,FIND("(",AG46)-1))+($W46-1)*VALUE(MID(AG46,FIND("+",AG46)+1,FIND(")",AG46)-FIND("+",AG46)-1)),"")</f>
        <v>124</v>
      </c>
      <c r="AB46" s="753">
        <f>IFERROR(VALUE(LEFT(AH46,FIND("(",AH46)-1))+($W46-1)*VALUE(MID(AH46,FIND("+",AH46)+1,FIND(")",AH46)-FIND("+",AH46)-1)),"")</f>
        <v>147</v>
      </c>
      <c r="AC46" s="753">
        <f>IFERROR(VALUE(LEFT(AI46,FIND("(",AI46)-1))+($W46-1)*VALUE(MID(AI46,FIND("+",AI46)+1,FIND(")",AI46)-FIND("+",AI46)-1)),"")</f>
        <v>124</v>
      </c>
      <c r="AD46" s="707"/>
      <c r="AE46" s="707" t="str">
        <f>IFERROR(VLOOKUP($A46,全人物技能说明!$A$1:$O$99,9,FALSE),"")</f>
        <v>29(+5)</v>
      </c>
      <c r="AF46" s="707" t="str">
        <f>IFERROR(VLOOKUP($A46,全人物技能说明!$A$1:$O$99,10,FALSE),"")</f>
        <v>41(+8)</v>
      </c>
      <c r="AG46" s="707" t="str">
        <f>IFERROR(VLOOKUP($A46,全人物技能说明!$A$1:$O$99,11,FALSE),"")</f>
        <v>29(+5)</v>
      </c>
      <c r="AH46" s="707" t="str">
        <f>IFERROR(VLOOKUP($A46,全人物技能说明!$A$1:$O$99,12,FALSE),"")</f>
        <v>33(+6)</v>
      </c>
      <c r="AI46" s="707" t="str">
        <f>IFERROR(VLOOKUP($A46,全人物技能说明!$A$1:$O$99,13,FALSE),"")</f>
        <v>29(+5)</v>
      </c>
      <c r="AJ46" s="807"/>
    </row>
    <row r="47" ht="20" customHeight="1" spans="1:36">
      <c r="A47" s="743" t="s">
        <v>192</v>
      </c>
      <c r="B47" s="717">
        <f>IFERROR(VLOOKUP($A47,全人物技能说明!$A$1:$O$99,2,FALSE),"")</f>
        <v>0</v>
      </c>
      <c r="C47" s="717">
        <v>-9</v>
      </c>
      <c r="D47" s="718" t="str">
        <f>IFERROR(VLOOKUP($A47,全人物技能说明!$A$1:$O$99,3,FALSE),"")</f>
        <v>Z工人</v>
      </c>
      <c r="E47" s="717" t="str">
        <f>IFERROR(VLOOKUP($A47,全人物技能说明!$A$1:$O$99,4,FALSE),"")</f>
        <v>传说</v>
      </c>
      <c r="F47" s="717" t="str">
        <f>IFERROR(VLOOKUP($A47,全人物技能说明!$A$1:$O$99,7,FALSE),"")</f>
        <v>工人</v>
      </c>
      <c r="G47" s="729">
        <f>IFERROR(VLOOKUP($A47,全人物技能说明!$A$1:$O$99,8,FALSE),"")</f>
        <v>0</v>
      </c>
      <c r="H47" s="729"/>
      <c r="I47" s="707" t="str">
        <f>IFERROR(VLOOKUP($A47,全人物技能说明!$A$1:$O$99,14,FALSE),"")</f>
        <v>U</v>
      </c>
      <c r="J47" s="707">
        <f>IFERROR(VLOOKUP($A47,全人物技能说明!$A$1:$O$99,15,FALSE),"")</f>
        <v>0</v>
      </c>
      <c r="K47" s="768"/>
      <c r="L47" s="754"/>
      <c r="M47" s="729" t="str">
        <f>IFERROR(IF(VLOOKUP($A47,全人物技能说明!$A$1:$O$99,7,FALSE)&lt;&gt;"",VLOOKUP($A47,全人物技能说明!$A$1:$O$99,7,FALSE),""),"")</f>
        <v>工人</v>
      </c>
      <c r="N47" s="718"/>
      <c r="O47" s="769"/>
      <c r="P47" s="753">
        <f>RANK(Y47,Y:Y)</f>
        <v>46</v>
      </c>
      <c r="Q47" s="753">
        <f>RANK(Z47,Z:Z)</f>
        <v>46</v>
      </c>
      <c r="R47" s="753">
        <f>RANK(AA47,AA:AA)</f>
        <v>46</v>
      </c>
      <c r="S47" s="753">
        <f>RANK(AB47,AB:AB)</f>
        <v>43</v>
      </c>
      <c r="T47" s="753">
        <f>RANK(AC47,AC:AC)</f>
        <v>43</v>
      </c>
      <c r="U47" s="768">
        <f>Y47+Z47+AA47+AB47+AC47</f>
        <v>161</v>
      </c>
      <c r="V47" s="768"/>
      <c r="W47" s="718">
        <v>1</v>
      </c>
      <c r="X47" s="718"/>
      <c r="Y47" s="717">
        <f>IFERROR(VALUE(LEFT(AE47,FIND("(",AE47)-1))+($W47-1)*VALUE(MID(AE47,FIND("+",AE47)+1,FIND(")",AE47)-FIND("+",AE47)-1)),"")</f>
        <v>29</v>
      </c>
      <c r="Z47" s="717">
        <f>IFERROR(VALUE(LEFT(AF47,FIND("(",AF47)-1))+($W47-1)*VALUE(MID(AF47,FIND("+",AF47)+1,FIND(")",AF47)-FIND("+",AF47)-1)),"")</f>
        <v>29</v>
      </c>
      <c r="AA47" s="717">
        <f>IFERROR(VALUE(LEFT(AG47,FIND("(",AG47)-1))+($W47-1)*VALUE(MID(AG47,FIND("+",AG47)+1,FIND(")",AG47)-FIND("+",AG47)-1)),"")</f>
        <v>29</v>
      </c>
      <c r="AB47" s="717">
        <f>IFERROR(VALUE(LEFT(AH47,FIND("(",AH47)-1))+($W47-1)*VALUE(MID(AH47,FIND("+",AH47)+1,FIND(")",AH47)-FIND("+",AH47)-1)),"")</f>
        <v>33</v>
      </c>
      <c r="AC47" s="717">
        <f>IFERROR(VALUE(LEFT(AI47,FIND("(",AI47)-1))+($W47-1)*VALUE(MID(AI47,FIND("+",AI47)+1,FIND(")",AI47)-FIND("+",AI47)-1)),"")</f>
        <v>41</v>
      </c>
      <c r="AD47" s="707"/>
      <c r="AE47" s="707" t="str">
        <f>IFERROR(VLOOKUP($A47,全人物技能说明!$A$1:$O$99,9,FALSE),"")</f>
        <v>29(+5)</v>
      </c>
      <c r="AF47" s="707" t="str">
        <f>IFERROR(VLOOKUP($A47,全人物技能说明!$A$1:$O$99,10,FALSE),"")</f>
        <v>29(+5)</v>
      </c>
      <c r="AG47" s="707" t="str">
        <f>IFERROR(VLOOKUP($A47,全人物技能说明!$A$1:$O$99,11,FALSE),"")</f>
        <v>29(+6)</v>
      </c>
      <c r="AH47" s="707" t="str">
        <f>IFERROR(VLOOKUP($A47,全人物技能说明!$A$1:$O$99,12,FALSE),"")</f>
        <v>33(+7)</v>
      </c>
      <c r="AI47" s="707" t="str">
        <f>IFERROR(VLOOKUP($A47,全人物技能说明!$A$1:$O$99,13,FALSE),"")</f>
        <v>41(+8)</v>
      </c>
      <c r="AJ47" s="807"/>
    </row>
    <row r="48" ht="20" customHeight="1" spans="1:36">
      <c r="A48" s="718" t="s">
        <v>193</v>
      </c>
      <c r="B48" s="717" t="str">
        <f>IFERROR(VLOOKUP($A48,全人物技能说明!$A$1:$O$99,2,FALSE),"")</f>
        <v>_+++</v>
      </c>
      <c r="C48" s="717">
        <v>-99</v>
      </c>
      <c r="D48" s="717" t="str">
        <f>IFERROR(VLOOKUP($A48,全人物技能说明!$A$1:$O$99,4,FALSE),"")</f>
        <v>_+++</v>
      </c>
      <c r="E48" s="717" t="str">
        <f>IFERROR(VLOOKUP($A48,全人物技能说明!$A$1:$O$99,4,FALSE),"")</f>
        <v>_+++</v>
      </c>
      <c r="F48" s="717" t="str">
        <f>IFERROR(VLOOKUP($A48,全人物技能说明!$A$1:$O$99,7,FALSE),"")</f>
        <v>_+++</v>
      </c>
      <c r="G48" s="729" t="str">
        <f>IFERROR(VLOOKUP($A48,全人物技能说明!$A$1:$O$99,8,FALSE),"")</f>
        <v>_+++</v>
      </c>
      <c r="H48" s="729"/>
      <c r="I48" s="707" t="str">
        <f>IFERROR(VLOOKUP($A48,全人物技能说明!$A$1:$O$99,14,FALSE),"")</f>
        <v>_+++</v>
      </c>
      <c r="J48" s="707" t="str">
        <f>IFERROR(VLOOKUP($A48,全人物技能说明!$A$1:$O$99,15,FALSE),"")</f>
        <v>_+++</v>
      </c>
      <c r="K48" s="768"/>
      <c r="L48" s="754"/>
      <c r="M48" s="729" t="str">
        <f>IFERROR(IF(VLOOKUP($A48,全人物技能说明!$A$1:$O$99,7,FALSE)&lt;&gt;"",VLOOKUP($A48,全人物技能说明!$A$1:$O$99,7,FALSE),""),"")</f>
        <v>_+++</v>
      </c>
      <c r="N48" s="718"/>
      <c r="O48" s="769"/>
      <c r="P48" s="753">
        <f>RANK(Y48,Y:Y)</f>
        <v>47</v>
      </c>
      <c r="Q48" s="753">
        <f>RANK(Z48,Z:Z)</f>
        <v>47</v>
      </c>
      <c r="R48" s="753">
        <f>RANK(AA48,AA:AA)</f>
        <v>47</v>
      </c>
      <c r="S48" s="753">
        <f>RANK(AB48,AB:AB)</f>
        <v>47</v>
      </c>
      <c r="T48" s="753">
        <f>RANK(AC48,AC:AC)</f>
        <v>47</v>
      </c>
      <c r="U48" s="768">
        <f>Y48+Z48+AA48+AB48+AC48</f>
        <v>0</v>
      </c>
      <c r="V48" s="768"/>
      <c r="W48" s="718">
        <v>0</v>
      </c>
      <c r="X48" s="718"/>
      <c r="Y48" s="717">
        <f>IFERROR(VALUE(LEFT(AE48,FIND("(",AE48)-1))+($W48-1)*VALUE(MID(AE48,FIND("+",AE48)+1,FIND(")",AE48)-FIND("+",AE48)-1)),"")</f>
        <v>0</v>
      </c>
      <c r="Z48" s="717">
        <f>IFERROR(VALUE(LEFT(AF48,FIND("(",AF48)-1))+($W48-1)*VALUE(MID(AF48,FIND("+",AF48)+1,FIND(")",AF48)-FIND("+",AF48)-1)),"")</f>
        <v>0</v>
      </c>
      <c r="AA48" s="717">
        <f>IFERROR(VALUE(LEFT(AG48,FIND("(",AG48)-1))+($W48-1)*VALUE(MID(AG48,FIND("+",AG48)+1,FIND(")",AG48)-FIND("+",AG48)-1)),"")</f>
        <v>0</v>
      </c>
      <c r="AB48" s="717">
        <f>IFERROR(VALUE(LEFT(AH48,FIND("(",AH48)-1))+($W48-1)*VALUE(MID(AH48,FIND("+",AH48)+1,FIND(")",AH48)-FIND("+",AH48)-1)),"")</f>
        <v>0</v>
      </c>
      <c r="AC48" s="717">
        <f>IFERROR(VALUE(LEFT(AI48,FIND("(",AI48)-1))+($W48-1)*VALUE(MID(AI48,FIND("+",AI48)+1,FIND(")",AI48)-FIND("+",AI48)-1)),"")</f>
        <v>0</v>
      </c>
      <c r="AD48" s="707"/>
      <c r="AE48" s="707" t="str">
        <f>IFERROR(VLOOKUP($A48,全人物技能说明!$A$1:$O$99,9,FALSE),"")</f>
        <v>0(+0)</v>
      </c>
      <c r="AF48" s="707" t="str">
        <f>IFERROR(VLOOKUP($A48,全人物技能说明!$A$1:$O$99,10,FALSE),"")</f>
        <v>0(+0)</v>
      </c>
      <c r="AG48" s="707" t="str">
        <f>IFERROR(VLOOKUP($A48,全人物技能说明!$A$1:$O$99,11,FALSE),"")</f>
        <v>0(+0)</v>
      </c>
      <c r="AH48" s="707" t="str">
        <f>IFERROR(VLOOKUP($A48,全人物技能说明!$A$1:$O$99,12,FALSE),"")</f>
        <v>0(+0)</v>
      </c>
      <c r="AI48" s="707" t="str">
        <f>IFERROR(VLOOKUP($A48,全人物技能说明!$A$1:$O$99,13,FALSE),"")</f>
        <v>0(+0)</v>
      </c>
      <c r="AJ48" s="813"/>
    </row>
    <row r="49" ht="20" customHeight="1" spans="1:36">
      <c r="A49" s="712"/>
      <c r="B49" s="715"/>
      <c r="C49" s="715"/>
      <c r="D49" s="715"/>
      <c r="E49" s="715"/>
      <c r="F49" s="715"/>
      <c r="G49" s="730"/>
      <c r="H49" s="730"/>
      <c r="I49" s="757"/>
      <c r="J49" s="757"/>
      <c r="K49" s="766"/>
      <c r="L49" s="758"/>
      <c r="M49" s="730" t="str">
        <f>IFERROR(IF(VLOOKUP($A49,全人物技能说明!$A$1:$O$99,7,FALSE)&lt;&gt;"",VLOOKUP($A49,全人物技能说明!$A$1:$O$99,7,FALSE),""),"")</f>
        <v/>
      </c>
      <c r="N49" s="715"/>
      <c r="O49" s="771"/>
      <c r="P49" s="757"/>
      <c r="Q49" s="757"/>
      <c r="R49" s="757"/>
      <c r="S49" s="757"/>
      <c r="T49" s="757"/>
      <c r="U49" s="766"/>
      <c r="V49" s="766"/>
      <c r="W49" s="715"/>
      <c r="X49" s="715"/>
      <c r="Y49" s="715"/>
      <c r="Z49" s="715"/>
      <c r="AA49" s="715"/>
      <c r="AB49" s="715"/>
      <c r="AC49" s="715"/>
      <c r="AD49" s="757"/>
      <c r="AE49" s="757"/>
      <c r="AF49" s="757"/>
      <c r="AG49" s="757"/>
      <c r="AH49" s="757"/>
      <c r="AI49" s="757"/>
      <c r="AJ49" s="804"/>
    </row>
    <row r="50" ht="20" customHeight="1" spans="1:36">
      <c r="A50" s="718"/>
      <c r="B50" s="717"/>
      <c r="C50" s="717"/>
      <c r="D50" s="717"/>
      <c r="E50" s="717"/>
      <c r="F50" s="717"/>
      <c r="G50" s="729"/>
      <c r="H50" s="729"/>
      <c r="I50" s="707"/>
      <c r="J50" s="707"/>
      <c r="K50" s="768"/>
      <c r="L50" s="754"/>
      <c r="M50" s="729" t="str">
        <f>IFERROR(IF(VLOOKUP($A50,全人物技能说明!$A$1:$O$99,7,FALSE)&lt;&gt;"",VLOOKUP($A50,全人物技能说明!$A$1:$O$99,7,FALSE),""),"")</f>
        <v/>
      </c>
      <c r="N50" s="717"/>
      <c r="O50" s="769"/>
      <c r="P50" s="707"/>
      <c r="Q50" s="707"/>
      <c r="R50" s="707"/>
      <c r="S50" s="707"/>
      <c r="T50" s="707"/>
      <c r="U50" s="768"/>
      <c r="V50" s="768"/>
      <c r="W50" s="717"/>
      <c r="X50" s="717"/>
      <c r="Y50" s="717"/>
      <c r="Z50" s="717"/>
      <c r="AA50" s="717"/>
      <c r="AB50" s="717"/>
      <c r="AC50" s="717"/>
      <c r="AD50" s="707"/>
      <c r="AE50" s="707"/>
      <c r="AF50" s="707"/>
      <c r="AG50" s="707"/>
      <c r="AH50" s="707"/>
      <c r="AI50" s="707"/>
      <c r="AJ50" s="807"/>
    </row>
    <row r="51" ht="20" customHeight="1" spans="1:36">
      <c r="A51" s="712"/>
      <c r="B51" s="715"/>
      <c r="C51" s="715"/>
      <c r="D51" s="715"/>
      <c r="E51" s="715"/>
      <c r="F51" s="715"/>
      <c r="G51" s="730"/>
      <c r="H51" s="730"/>
      <c r="I51" s="757"/>
      <c r="J51" s="757"/>
      <c r="K51" s="766"/>
      <c r="L51" s="758"/>
      <c r="M51" s="730" t="str">
        <f>IFERROR(IF(VLOOKUP($A51,全人物技能说明!$A$1:$O$99,7,FALSE)&lt;&gt;"",VLOOKUP($A51,全人物技能说明!$A$1:$O$99,7,FALSE),""),"")</f>
        <v/>
      </c>
      <c r="N51" s="715"/>
      <c r="O51" s="771"/>
      <c r="P51" s="757"/>
      <c r="Q51" s="757"/>
      <c r="R51" s="757"/>
      <c r="S51" s="757"/>
      <c r="T51" s="757"/>
      <c r="U51" s="766"/>
      <c r="V51" s="766"/>
      <c r="W51" s="715"/>
      <c r="X51" s="715"/>
      <c r="Y51" s="715"/>
      <c r="Z51" s="715"/>
      <c r="AA51" s="715"/>
      <c r="AB51" s="715"/>
      <c r="AC51" s="715"/>
      <c r="AD51" s="757"/>
      <c r="AE51" s="757"/>
      <c r="AF51" s="757"/>
      <c r="AG51" s="757"/>
      <c r="AH51" s="757"/>
      <c r="AI51" s="757"/>
      <c r="AJ51" s="804"/>
    </row>
    <row r="52" ht="20" customHeight="1" spans="1:36">
      <c r="A52" s="718"/>
      <c r="B52" s="717"/>
      <c r="C52" s="717"/>
      <c r="D52" s="717"/>
      <c r="E52" s="717"/>
      <c r="F52" s="717"/>
      <c r="G52" s="729"/>
      <c r="H52" s="729"/>
      <c r="I52" s="707"/>
      <c r="J52" s="707"/>
      <c r="K52" s="768"/>
      <c r="L52" s="754"/>
      <c r="M52" s="729" t="str">
        <f>IFERROR(IF(VLOOKUP($A52,全人物技能说明!$A$1:$O$99,7,FALSE)&lt;&gt;"",VLOOKUP($A52,全人物技能说明!$A$1:$O$99,7,FALSE),""),"")</f>
        <v/>
      </c>
      <c r="N52" s="717"/>
      <c r="O52" s="769"/>
      <c r="P52" s="707"/>
      <c r="Q52" s="707"/>
      <c r="R52" s="707"/>
      <c r="S52" s="707"/>
      <c r="T52" s="707"/>
      <c r="U52" s="768"/>
      <c r="V52" s="768"/>
      <c r="W52" s="717"/>
      <c r="X52" s="717"/>
      <c r="Y52" s="717"/>
      <c r="Z52" s="717"/>
      <c r="AA52" s="717"/>
      <c r="AB52" s="717"/>
      <c r="AC52" s="717"/>
      <c r="AD52" s="707"/>
      <c r="AE52" s="707"/>
      <c r="AF52" s="707"/>
      <c r="AG52" s="707"/>
      <c r="AH52" s="707"/>
      <c r="AI52" s="707"/>
      <c r="AJ52" s="807"/>
    </row>
    <row r="53" ht="20" customHeight="1" spans="1:36">
      <c r="A53" s="712"/>
      <c r="B53" s="715"/>
      <c r="C53" s="715"/>
      <c r="D53" s="715"/>
      <c r="E53" s="715"/>
      <c r="F53" s="715"/>
      <c r="G53" s="730"/>
      <c r="H53" s="730"/>
      <c r="I53" s="757"/>
      <c r="J53" s="757"/>
      <c r="K53" s="766"/>
      <c r="L53" s="758"/>
      <c r="M53" s="730" t="str">
        <f>IFERROR(IF(VLOOKUP($A53,全人物技能说明!$A$1:$O$99,7,FALSE)&lt;&gt;"",VLOOKUP($A53,全人物技能说明!$A$1:$O$99,7,FALSE),""),"")</f>
        <v/>
      </c>
      <c r="N53" s="715"/>
      <c r="O53" s="771"/>
      <c r="P53" s="757"/>
      <c r="Q53" s="757"/>
      <c r="R53" s="757"/>
      <c r="S53" s="757"/>
      <c r="T53" s="757"/>
      <c r="U53" s="766"/>
      <c r="V53" s="766"/>
      <c r="W53" s="715"/>
      <c r="X53" s="715"/>
      <c r="Y53" s="715"/>
      <c r="Z53" s="715"/>
      <c r="AA53" s="715"/>
      <c r="AB53" s="715"/>
      <c r="AC53" s="715"/>
      <c r="AD53" s="757"/>
      <c r="AE53" s="757"/>
      <c r="AF53" s="757"/>
      <c r="AG53" s="757"/>
      <c r="AH53" s="757"/>
      <c r="AI53" s="757"/>
      <c r="AJ53" s="804"/>
    </row>
    <row r="54" ht="20" customHeight="1" spans="1:36">
      <c r="A54" s="718"/>
      <c r="B54" s="717"/>
      <c r="C54" s="717"/>
      <c r="D54" s="717"/>
      <c r="E54" s="717"/>
      <c r="F54" s="717"/>
      <c r="G54" s="729"/>
      <c r="H54" s="729"/>
      <c r="I54" s="707"/>
      <c r="J54" s="707"/>
      <c r="K54" s="768"/>
      <c r="L54" s="754"/>
      <c r="M54" s="729" t="str">
        <f>IFERROR(IF(VLOOKUP($A54,全人物技能说明!$A$1:$O$99,7,FALSE)&lt;&gt;"",VLOOKUP($A54,全人物技能说明!$A$1:$O$99,7,FALSE),""),"")</f>
        <v/>
      </c>
      <c r="N54" s="717"/>
      <c r="O54" s="769"/>
      <c r="P54" s="707"/>
      <c r="Q54" s="707"/>
      <c r="R54" s="707"/>
      <c r="S54" s="707"/>
      <c r="T54" s="707"/>
      <c r="U54" s="768"/>
      <c r="V54" s="768"/>
      <c r="W54" s="717"/>
      <c r="X54" s="717"/>
      <c r="Y54" s="717"/>
      <c r="Z54" s="717"/>
      <c r="AA54" s="717"/>
      <c r="AB54" s="717"/>
      <c r="AC54" s="717"/>
      <c r="AD54" s="707"/>
      <c r="AE54" s="707"/>
      <c r="AF54" s="707"/>
      <c r="AG54" s="707"/>
      <c r="AH54" s="707"/>
      <c r="AI54" s="707"/>
      <c r="AJ54" s="807"/>
    </row>
    <row r="55" ht="20" customHeight="1" spans="1:36">
      <c r="A55" s="712"/>
      <c r="B55" s="715"/>
      <c r="C55" s="715"/>
      <c r="D55" s="715"/>
      <c r="E55" s="715"/>
      <c r="F55" s="715"/>
      <c r="G55" s="730"/>
      <c r="H55" s="730"/>
      <c r="I55" s="757"/>
      <c r="J55" s="757"/>
      <c r="K55" s="766"/>
      <c r="L55" s="758"/>
      <c r="M55" s="730" t="str">
        <f>IFERROR(IF(VLOOKUP($A55,全人物技能说明!$A$1:$O$99,7,FALSE)&lt;&gt;"",VLOOKUP($A55,全人物技能说明!$A$1:$O$99,7,FALSE),""),"")</f>
        <v/>
      </c>
      <c r="N55" s="715"/>
      <c r="O55" s="771"/>
      <c r="P55" s="757"/>
      <c r="Q55" s="757"/>
      <c r="R55" s="757"/>
      <c r="S55" s="757"/>
      <c r="T55" s="757"/>
      <c r="U55" s="766"/>
      <c r="V55" s="766"/>
      <c r="W55" s="715"/>
      <c r="X55" s="715"/>
      <c r="Y55" s="715"/>
      <c r="Z55" s="715"/>
      <c r="AA55" s="715"/>
      <c r="AB55" s="715"/>
      <c r="AC55" s="715"/>
      <c r="AD55" s="757"/>
      <c r="AE55" s="757"/>
      <c r="AF55" s="757"/>
      <c r="AG55" s="757"/>
      <c r="AH55" s="757"/>
      <c r="AI55" s="757"/>
      <c r="AJ55" s="804"/>
    </row>
    <row r="56" ht="20" customHeight="1" spans="1:36">
      <c r="A56" s="718"/>
      <c r="B56" s="717"/>
      <c r="C56" s="717"/>
      <c r="D56" s="717"/>
      <c r="E56" s="717"/>
      <c r="F56" s="717"/>
      <c r="G56" s="729"/>
      <c r="H56" s="729"/>
      <c r="I56" s="707"/>
      <c r="J56" s="707"/>
      <c r="K56" s="768"/>
      <c r="L56" s="754"/>
      <c r="M56" s="729" t="str">
        <f>IFERROR(IF(VLOOKUP($A56,全人物技能说明!$A$1:$O$99,7,FALSE)&lt;&gt;"",VLOOKUP($A56,全人物技能说明!$A$1:$O$99,7,FALSE),""),"")</f>
        <v/>
      </c>
      <c r="N56" s="717"/>
      <c r="O56" s="769"/>
      <c r="P56" s="707"/>
      <c r="Q56" s="707"/>
      <c r="R56" s="707"/>
      <c r="S56" s="707"/>
      <c r="T56" s="707"/>
      <c r="U56" s="768"/>
      <c r="V56" s="768"/>
      <c r="W56" s="717"/>
      <c r="X56" s="717"/>
      <c r="Y56" s="717"/>
      <c r="Z56" s="717"/>
      <c r="AA56" s="717"/>
      <c r="AB56" s="717"/>
      <c r="AC56" s="717"/>
      <c r="AD56" s="707"/>
      <c r="AE56" s="707"/>
      <c r="AF56" s="707"/>
      <c r="AG56" s="707"/>
      <c r="AH56" s="707"/>
      <c r="AI56" s="707"/>
      <c r="AJ56" s="807"/>
    </row>
    <row r="57" ht="20" customHeight="1" spans="1:36">
      <c r="A57" s="712"/>
      <c r="B57" s="715"/>
      <c r="C57" s="715"/>
      <c r="D57" s="715"/>
      <c r="E57" s="715"/>
      <c r="F57" s="715"/>
      <c r="G57" s="730"/>
      <c r="H57" s="730"/>
      <c r="I57" s="757"/>
      <c r="J57" s="757"/>
      <c r="K57" s="766"/>
      <c r="L57" s="758"/>
      <c r="M57" s="730" t="str">
        <f>IFERROR(IF(VLOOKUP($A57,全人物技能说明!$A$1:$O$99,7,FALSE)&lt;&gt;"",VLOOKUP($A57,全人物技能说明!$A$1:$O$99,7,FALSE),""),"")</f>
        <v/>
      </c>
      <c r="N57" s="715"/>
      <c r="O57" s="771"/>
      <c r="P57" s="757"/>
      <c r="Q57" s="757"/>
      <c r="R57" s="757"/>
      <c r="S57" s="757"/>
      <c r="T57" s="757"/>
      <c r="U57" s="766"/>
      <c r="V57" s="766"/>
      <c r="W57" s="715"/>
      <c r="X57" s="715"/>
      <c r="Y57" s="715"/>
      <c r="Z57" s="715"/>
      <c r="AA57" s="715"/>
      <c r="AB57" s="715"/>
      <c r="AC57" s="715"/>
      <c r="AD57" s="757"/>
      <c r="AE57" s="757"/>
      <c r="AF57" s="757"/>
      <c r="AG57" s="757"/>
      <c r="AH57" s="757"/>
      <c r="AI57" s="757"/>
      <c r="AJ57" s="804"/>
    </row>
    <row r="58" ht="20" customHeight="1" spans="1:36">
      <c r="A58" s="718"/>
      <c r="B58" s="717"/>
      <c r="C58" s="717"/>
      <c r="D58" s="717"/>
      <c r="E58" s="717"/>
      <c r="F58" s="717"/>
      <c r="G58" s="729"/>
      <c r="H58" s="729"/>
      <c r="I58" s="707"/>
      <c r="J58" s="707"/>
      <c r="K58" s="768"/>
      <c r="L58" s="754"/>
      <c r="M58" s="729" t="str">
        <f>IFERROR(IF(VLOOKUP($A58,全人物技能说明!$A$1:$O$99,7,FALSE)&lt;&gt;"",VLOOKUP($A58,全人物技能说明!$A$1:$O$99,7,FALSE),""),"")</f>
        <v/>
      </c>
      <c r="N58" s="717"/>
      <c r="O58" s="769"/>
      <c r="P58" s="707"/>
      <c r="Q58" s="707"/>
      <c r="R58" s="707"/>
      <c r="S58" s="707"/>
      <c r="T58" s="707"/>
      <c r="U58" s="768"/>
      <c r="V58" s="768"/>
      <c r="W58" s="717"/>
      <c r="X58" s="717"/>
      <c r="Y58" s="717"/>
      <c r="Z58" s="717"/>
      <c r="AA58" s="717"/>
      <c r="AB58" s="717"/>
      <c r="AC58" s="717"/>
      <c r="AD58" s="707"/>
      <c r="AE58" s="707"/>
      <c r="AF58" s="707"/>
      <c r="AG58" s="707"/>
      <c r="AH58" s="707"/>
      <c r="AI58" s="707"/>
      <c r="AJ58" s="807"/>
    </row>
    <row r="59" ht="20" customHeight="1" spans="1:36">
      <c r="A59" s="712"/>
      <c r="B59" s="715"/>
      <c r="C59" s="715"/>
      <c r="D59" s="715"/>
      <c r="E59" s="715"/>
      <c r="F59" s="715"/>
      <c r="G59" s="730"/>
      <c r="H59" s="730"/>
      <c r="I59" s="757"/>
      <c r="J59" s="757"/>
      <c r="K59" s="766"/>
      <c r="L59" s="758"/>
      <c r="M59" s="730" t="str">
        <f>IFERROR(IF(VLOOKUP($A59,全人物技能说明!$A$1:$O$99,7,FALSE)&lt;&gt;"",VLOOKUP($A59,全人物技能说明!$A$1:$O$99,7,FALSE),""),"")</f>
        <v/>
      </c>
      <c r="N59" s="715"/>
      <c r="O59" s="771"/>
      <c r="P59" s="757"/>
      <c r="Q59" s="757"/>
      <c r="R59" s="757"/>
      <c r="S59" s="757"/>
      <c r="T59" s="757"/>
      <c r="U59" s="766"/>
      <c r="V59" s="766"/>
      <c r="W59" s="715"/>
      <c r="X59" s="715"/>
      <c r="Y59" s="715"/>
      <c r="Z59" s="715"/>
      <c r="AA59" s="715"/>
      <c r="AB59" s="715"/>
      <c r="AC59" s="715"/>
      <c r="AD59" s="757"/>
      <c r="AE59" s="757"/>
      <c r="AF59" s="757"/>
      <c r="AG59" s="757"/>
      <c r="AH59" s="757"/>
      <c r="AI59" s="757"/>
      <c r="AJ59" s="804"/>
    </row>
    <row r="60" spans="1:36">
      <c r="A60" s="744"/>
      <c r="B60" s="745"/>
      <c r="C60" s="744"/>
      <c r="D60" s="744"/>
      <c r="E60" s="744"/>
      <c r="F60" s="744"/>
      <c r="G60" s="746"/>
      <c r="H60" s="746"/>
      <c r="I60" s="744"/>
      <c r="J60" s="744"/>
      <c r="K60" s="744"/>
      <c r="L60" s="747"/>
      <c r="M60" s="746"/>
      <c r="N60" s="744"/>
      <c r="O60" s="745"/>
      <c r="P60" s="744"/>
      <c r="Q60" s="744"/>
      <c r="R60" s="744"/>
      <c r="S60" s="744"/>
      <c r="T60" s="744"/>
      <c r="U60" s="778"/>
      <c r="V60" s="778"/>
      <c r="W60" s="744"/>
      <c r="X60" s="744"/>
      <c r="Y60" s="781"/>
      <c r="Z60" s="781"/>
      <c r="AA60" s="781"/>
      <c r="AB60" s="781"/>
      <c r="AC60" s="781"/>
      <c r="AD60" s="744"/>
      <c r="AE60" s="744"/>
      <c r="AF60" s="744"/>
      <c r="AG60" s="744"/>
      <c r="AH60" s="744"/>
      <c r="AI60" s="744"/>
      <c r="AJ60" s="747"/>
    </row>
    <row r="61" spans="1:36">
      <c r="A61" s="744"/>
      <c r="B61" s="745"/>
      <c r="C61" s="744"/>
      <c r="D61" s="744"/>
      <c r="E61" s="744"/>
      <c r="F61" s="744"/>
      <c r="G61" s="746"/>
      <c r="H61" s="746"/>
      <c r="I61" s="744"/>
      <c r="J61" s="744"/>
      <c r="K61" s="744"/>
      <c r="L61" s="747"/>
      <c r="M61" s="746"/>
      <c r="N61" s="744"/>
      <c r="O61" s="745"/>
      <c r="P61" s="744"/>
      <c r="Q61" s="744"/>
      <c r="R61" s="744"/>
      <c r="S61" s="744"/>
      <c r="T61" s="744"/>
      <c r="U61" s="778"/>
      <c r="V61" s="778"/>
      <c r="W61" s="744"/>
      <c r="X61" s="744"/>
      <c r="Y61" s="781"/>
      <c r="Z61" s="781"/>
      <c r="AA61" s="781"/>
      <c r="AB61" s="781"/>
      <c r="AC61" s="781"/>
      <c r="AD61" s="744"/>
      <c r="AE61" s="744"/>
      <c r="AF61" s="744"/>
      <c r="AG61" s="744"/>
      <c r="AH61" s="744"/>
      <c r="AI61" s="744"/>
      <c r="AJ61" s="747"/>
    </row>
    <row r="62" spans="1:36">
      <c r="A62" s="744"/>
      <c r="B62" s="745"/>
      <c r="C62" s="744"/>
      <c r="D62" s="744"/>
      <c r="E62" s="744"/>
      <c r="F62" s="744"/>
      <c r="G62" s="746"/>
      <c r="H62" s="746"/>
      <c r="I62" s="744"/>
      <c r="J62" s="744"/>
      <c r="K62" s="744"/>
      <c r="L62" s="747"/>
      <c r="M62" s="746"/>
      <c r="N62" s="744"/>
      <c r="O62" s="745"/>
      <c r="P62" s="744"/>
      <c r="Q62" s="744"/>
      <c r="R62" s="744"/>
      <c r="S62" s="744"/>
      <c r="T62" s="744"/>
      <c r="U62" s="778"/>
      <c r="V62" s="778"/>
      <c r="W62" s="744"/>
      <c r="X62" s="744"/>
      <c r="Y62" s="781"/>
      <c r="Z62" s="781"/>
      <c r="AA62" s="781"/>
      <c r="AB62" s="781"/>
      <c r="AC62" s="781"/>
      <c r="AD62" s="744"/>
      <c r="AE62" s="744"/>
      <c r="AF62" s="744"/>
      <c r="AG62" s="744"/>
      <c r="AH62" s="744"/>
      <c r="AI62" s="744"/>
      <c r="AJ62" s="747"/>
    </row>
    <row r="63" spans="1:36">
      <c r="A63" s="747"/>
      <c r="B63" s="748"/>
      <c r="C63" s="747"/>
      <c r="D63" s="747"/>
      <c r="E63" s="747"/>
      <c r="F63" s="747"/>
      <c r="I63" s="747"/>
      <c r="J63" s="747"/>
      <c r="K63" s="747"/>
      <c r="L63" s="747"/>
      <c r="N63" s="747"/>
      <c r="O63" s="748"/>
      <c r="P63" s="747"/>
      <c r="Q63" s="747"/>
      <c r="R63" s="747"/>
      <c r="S63" s="747"/>
      <c r="T63" s="747"/>
      <c r="U63" s="779"/>
      <c r="V63" s="779"/>
      <c r="W63" s="747"/>
      <c r="X63" s="747"/>
      <c r="Y63" s="11"/>
      <c r="Z63" s="11"/>
      <c r="AA63" s="11"/>
      <c r="AB63" s="11"/>
      <c r="AC63" s="11"/>
      <c r="AD63" s="747"/>
      <c r="AE63" s="747"/>
      <c r="AF63" s="747"/>
      <c r="AG63" s="747"/>
      <c r="AH63" s="747"/>
      <c r="AI63" s="747"/>
      <c r="AJ63" s="747"/>
    </row>
    <row r="64" spans="1:36">
      <c r="A64" s="747"/>
      <c r="B64" s="748"/>
      <c r="C64" s="747"/>
      <c r="D64" s="747"/>
      <c r="E64" s="747"/>
      <c r="F64" s="747"/>
      <c r="I64" s="747"/>
      <c r="J64" s="747"/>
      <c r="K64" s="747"/>
      <c r="L64" s="747"/>
      <c r="N64" s="747"/>
      <c r="O64" s="748"/>
      <c r="P64" s="747"/>
      <c r="Q64" s="747"/>
      <c r="R64" s="747"/>
      <c r="S64" s="747"/>
      <c r="T64" s="747"/>
      <c r="U64" s="779"/>
      <c r="V64" s="779"/>
      <c r="W64" s="747"/>
      <c r="X64" s="747"/>
      <c r="Y64" s="11"/>
      <c r="Z64" s="11"/>
      <c r="AA64" s="11"/>
      <c r="AB64" s="11"/>
      <c r="AC64" s="11"/>
      <c r="AD64" s="747"/>
      <c r="AE64" s="747"/>
      <c r="AF64" s="747"/>
      <c r="AG64" s="747"/>
      <c r="AH64" s="747"/>
      <c r="AI64" s="747"/>
      <c r="AJ64" s="747"/>
    </row>
    <row r="65" spans="1:36">
      <c r="A65" s="747"/>
      <c r="B65" s="748"/>
      <c r="C65" s="747"/>
      <c r="D65" s="747"/>
      <c r="E65" s="747"/>
      <c r="F65" s="747"/>
      <c r="I65" s="747"/>
      <c r="J65" s="747"/>
      <c r="K65" s="747"/>
      <c r="L65" s="747"/>
      <c r="N65" s="747"/>
      <c r="O65" s="748"/>
      <c r="P65" s="747"/>
      <c r="Q65" s="747"/>
      <c r="R65" s="747"/>
      <c r="S65" s="747"/>
      <c r="T65" s="747"/>
      <c r="U65" s="779"/>
      <c r="V65" s="779"/>
      <c r="W65" s="747"/>
      <c r="X65" s="747"/>
      <c r="Y65" s="11"/>
      <c r="Z65" s="11"/>
      <c r="AA65" s="11"/>
      <c r="AB65" s="11"/>
      <c r="AC65" s="11"/>
      <c r="AD65" s="747"/>
      <c r="AE65" s="747"/>
      <c r="AF65" s="747"/>
      <c r="AG65" s="747"/>
      <c r="AH65" s="747"/>
      <c r="AI65" s="747"/>
      <c r="AJ65" s="747"/>
    </row>
    <row r="66" spans="1:36">
      <c r="A66" s="747"/>
      <c r="B66" s="748"/>
      <c r="C66" s="747"/>
      <c r="D66" s="747"/>
      <c r="E66" s="747"/>
      <c r="F66" s="747"/>
      <c r="I66" s="747"/>
      <c r="J66" s="747"/>
      <c r="K66" s="747"/>
      <c r="L66" s="747"/>
      <c r="N66" s="747"/>
      <c r="O66" s="748"/>
      <c r="P66" s="747"/>
      <c r="Q66" s="747"/>
      <c r="R66" s="747"/>
      <c r="S66" s="747"/>
      <c r="T66" s="747"/>
      <c r="U66" s="779"/>
      <c r="V66" s="779"/>
      <c r="W66" s="747"/>
      <c r="X66" s="747"/>
      <c r="Y66" s="11"/>
      <c r="Z66" s="11"/>
      <c r="AA66" s="11"/>
      <c r="AB66" s="11"/>
      <c r="AC66" s="11"/>
      <c r="AD66" s="747"/>
      <c r="AE66" s="747"/>
      <c r="AF66" s="747"/>
      <c r="AG66" s="747"/>
      <c r="AH66" s="747"/>
      <c r="AI66" s="747"/>
      <c r="AJ66" s="747"/>
    </row>
    <row r="67" spans="1:36">
      <c r="A67" s="747"/>
      <c r="B67" s="748"/>
      <c r="C67" s="747"/>
      <c r="D67" s="747"/>
      <c r="E67" s="747"/>
      <c r="F67" s="747"/>
      <c r="I67" s="747"/>
      <c r="J67" s="747"/>
      <c r="K67" s="747"/>
      <c r="L67" s="747"/>
      <c r="N67" s="747"/>
      <c r="O67" s="748"/>
      <c r="P67" s="747"/>
      <c r="Q67" s="747"/>
      <c r="R67" s="747"/>
      <c r="S67" s="747"/>
      <c r="T67" s="747"/>
      <c r="U67" s="779"/>
      <c r="V67" s="779"/>
      <c r="W67" s="747"/>
      <c r="X67" s="747"/>
      <c r="Y67" s="11"/>
      <c r="Z67" s="11"/>
      <c r="AA67" s="11"/>
      <c r="AB67" s="11"/>
      <c r="AC67" s="11"/>
      <c r="AD67" s="747"/>
      <c r="AE67" s="747"/>
      <c r="AF67" s="747"/>
      <c r="AG67" s="747"/>
      <c r="AH67" s="747"/>
      <c r="AI67" s="747"/>
      <c r="AJ67" s="747"/>
    </row>
    <row r="68" spans="1:36">
      <c r="A68" s="747"/>
      <c r="B68" s="748"/>
      <c r="C68" s="747"/>
      <c r="D68" s="747"/>
      <c r="E68" s="747"/>
      <c r="F68" s="747"/>
      <c r="I68" s="747"/>
      <c r="J68" s="747"/>
      <c r="K68" s="747"/>
      <c r="L68" s="747"/>
      <c r="N68" s="747"/>
      <c r="O68" s="748"/>
      <c r="P68" s="747"/>
      <c r="Q68" s="747"/>
      <c r="R68" s="747"/>
      <c r="S68" s="747"/>
      <c r="T68" s="747"/>
      <c r="U68" s="779"/>
      <c r="V68" s="779"/>
      <c r="W68" s="747"/>
      <c r="X68" s="747"/>
      <c r="Y68" s="11"/>
      <c r="Z68" s="11"/>
      <c r="AA68" s="11"/>
      <c r="AB68" s="11"/>
      <c r="AC68" s="11"/>
      <c r="AD68" s="747"/>
      <c r="AE68" s="747"/>
      <c r="AF68" s="747"/>
      <c r="AG68" s="747"/>
      <c r="AH68" s="747"/>
      <c r="AI68" s="747"/>
      <c r="AJ68" s="747"/>
    </row>
    <row r="69" spans="1:36">
      <c r="A69" s="747"/>
      <c r="B69" s="748"/>
      <c r="C69" s="747"/>
      <c r="D69" s="747"/>
      <c r="E69" s="747"/>
      <c r="F69" s="747"/>
      <c r="I69" s="747"/>
      <c r="J69" s="747"/>
      <c r="K69" s="747"/>
      <c r="L69" s="747"/>
      <c r="N69" s="747"/>
      <c r="O69" s="748"/>
      <c r="P69" s="747"/>
      <c r="Q69" s="747"/>
      <c r="R69" s="747"/>
      <c r="S69" s="747"/>
      <c r="T69" s="747"/>
      <c r="U69" s="779"/>
      <c r="V69" s="779"/>
      <c r="W69" s="747"/>
      <c r="X69" s="747"/>
      <c r="Y69" s="11"/>
      <c r="Z69" s="11"/>
      <c r="AA69" s="11"/>
      <c r="AB69" s="11"/>
      <c r="AC69" s="11"/>
      <c r="AD69" s="747"/>
      <c r="AE69" s="747"/>
      <c r="AF69" s="747"/>
      <c r="AG69" s="747"/>
      <c r="AH69" s="747"/>
      <c r="AI69" s="747"/>
      <c r="AJ69" s="747"/>
    </row>
    <row r="79" spans="8:8">
      <c r="H79" s="10" t="s">
        <v>194</v>
      </c>
    </row>
    <row r="80" spans="8:8">
      <c r="H80" s="10" t="s">
        <v>195</v>
      </c>
    </row>
    <row r="81" spans="8:8">
      <c r="H81" s="10" t="s">
        <v>196</v>
      </c>
    </row>
    <row r="82" spans="8:8">
      <c r="H82" s="10" t="s">
        <v>197</v>
      </c>
    </row>
    <row r="83" spans="8:8">
      <c r="H83" s="169" t="s">
        <v>198</v>
      </c>
    </row>
    <row r="85" spans="8:8">
      <c r="H85" s="169" t="s">
        <v>199</v>
      </c>
    </row>
    <row r="86" spans="8:8">
      <c r="H86" s="10" t="s">
        <v>200</v>
      </c>
    </row>
    <row r="88" spans="8:8">
      <c r="H88" s="10" t="s">
        <v>201</v>
      </c>
    </row>
    <row r="89" spans="8:8">
      <c r="H89" s="10" t="s">
        <v>202</v>
      </c>
    </row>
    <row r="99" spans="8:8">
      <c r="H99" s="169" t="s">
        <v>203</v>
      </c>
    </row>
    <row r="100" spans="8:8">
      <c r="H100" s="169" t="s">
        <v>204</v>
      </c>
    </row>
    <row r="101" spans="8:8">
      <c r="H101" s="169" t="s">
        <v>205</v>
      </c>
    </row>
    <row r="102" spans="8:8">
      <c r="H102" s="169" t="s">
        <v>206</v>
      </c>
    </row>
    <row r="103" spans="8:8">
      <c r="H103" s="169" t="s">
        <v>207</v>
      </c>
    </row>
    <row r="105" spans="8:8">
      <c r="H105" s="169" t="s">
        <v>208</v>
      </c>
    </row>
    <row r="106" spans="8:8">
      <c r="H106" s="169" t="s">
        <v>209</v>
      </c>
    </row>
    <row r="107" spans="8:8">
      <c r="H107" s="169" t="s">
        <v>210</v>
      </c>
    </row>
    <row r="108" spans="8:8">
      <c r="H108" s="169" t="s">
        <v>211</v>
      </c>
    </row>
    <row r="109" spans="8:8">
      <c r="H109" s="169" t="s">
        <v>212</v>
      </c>
    </row>
    <row r="112" spans="8:8">
      <c r="H112" s="169" t="s">
        <v>213</v>
      </c>
    </row>
    <row r="113" spans="8:8">
      <c r="H113" s="169" t="s">
        <v>214</v>
      </c>
    </row>
    <row r="114" spans="8:8">
      <c r="H114" s="169" t="s">
        <v>215</v>
      </c>
    </row>
    <row r="115" spans="8:8">
      <c r="H115" s="169" t="s">
        <v>216</v>
      </c>
    </row>
    <row r="116" spans="8:8">
      <c r="H116" s="169" t="s">
        <v>217</v>
      </c>
    </row>
    <row r="118" spans="8:8">
      <c r="H118" s="169" t="s">
        <v>218</v>
      </c>
    </row>
    <row r="119" spans="8:8">
      <c r="H119" s="169" t="s">
        <v>219</v>
      </c>
    </row>
    <row r="120" spans="8:8">
      <c r="H120" s="169" t="s">
        <v>220</v>
      </c>
    </row>
    <row r="121" spans="8:8">
      <c r="H121" s="169" t="s">
        <v>221</v>
      </c>
    </row>
    <row r="122" spans="8:8">
      <c r="H122" s="169" t="s">
        <v>222</v>
      </c>
    </row>
    <row r="124" spans="8:8">
      <c r="H124" s="169" t="s">
        <v>223</v>
      </c>
    </row>
    <row r="125" spans="8:8">
      <c r="H125" s="169" t="s">
        <v>224</v>
      </c>
    </row>
    <row r="126" spans="8:8">
      <c r="H126" s="169" t="s">
        <v>225</v>
      </c>
    </row>
    <row r="127" spans="8:8">
      <c r="H127" s="169" t="s">
        <v>226</v>
      </c>
    </row>
    <row r="128" spans="8:8">
      <c r="H128" s="169" t="s">
        <v>227</v>
      </c>
    </row>
    <row r="130" spans="8:8">
      <c r="H130" s="169" t="s">
        <v>228</v>
      </c>
    </row>
    <row r="131" spans="8:8">
      <c r="H131" s="169" t="s">
        <v>229</v>
      </c>
    </row>
    <row r="132" spans="8:8">
      <c r="H132" s="169" t="s">
        <v>230</v>
      </c>
    </row>
    <row r="135" spans="8:8">
      <c r="H135" s="169" t="s">
        <v>231</v>
      </c>
    </row>
    <row r="136" spans="8:8">
      <c r="H136" s="169" t="s">
        <v>232</v>
      </c>
    </row>
    <row r="137" spans="8:8">
      <c r="H137" s="169" t="s">
        <v>233</v>
      </c>
    </row>
    <row r="138" spans="8:8">
      <c r="H138" s="169" t="s">
        <v>234</v>
      </c>
    </row>
    <row r="139" spans="8:8">
      <c r="H139" s="169" t="s">
        <v>235</v>
      </c>
    </row>
    <row r="140" spans="8:8">
      <c r="H140" s="169" t="s">
        <v>236</v>
      </c>
    </row>
    <row r="141" spans="8:8">
      <c r="H141" s="169" t="s">
        <v>237</v>
      </c>
    </row>
    <row r="142" spans="8:8">
      <c r="H142" s="169" t="s">
        <v>238</v>
      </c>
    </row>
    <row r="146" spans="15:15">
      <c r="O146"/>
    </row>
    <row r="147" spans="15:15">
      <c r="O147"/>
    </row>
    <row r="148" spans="15:15">
      <c r="O148"/>
    </row>
    <row r="149" spans="8:15">
      <c r="H149" s="169" t="s">
        <v>239</v>
      </c>
      <c r="O149"/>
    </row>
    <row r="150" spans="8:15">
      <c r="H150" s="169" t="s">
        <v>240</v>
      </c>
      <c r="O150"/>
    </row>
    <row r="151" spans="8:15">
      <c r="H151" s="169" t="s">
        <v>241</v>
      </c>
      <c r="O151"/>
    </row>
    <row r="152" spans="8:15">
      <c r="H152" s="169" t="s">
        <v>242</v>
      </c>
      <c r="O152"/>
    </row>
    <row r="153" spans="8:15">
      <c r="H153" s="169" t="s">
        <v>243</v>
      </c>
      <c r="O153"/>
    </row>
    <row r="154" spans="8:15">
      <c r="H154" s="169" t="s">
        <v>244</v>
      </c>
      <c r="O154"/>
    </row>
    <row r="155" spans="8:15">
      <c r="H155" s="169" t="s">
        <v>245</v>
      </c>
      <c r="O155"/>
    </row>
    <row r="156" spans="8:8">
      <c r="H156" s="169" t="s">
        <v>246</v>
      </c>
    </row>
    <row r="157" spans="8:8">
      <c r="H157" s="169" t="s">
        <v>247</v>
      </c>
    </row>
    <row r="158" spans="8:8">
      <c r="H158" s="169" t="s">
        <v>248</v>
      </c>
    </row>
    <row r="160" spans="8:8">
      <c r="H160" s="169" t="s">
        <v>249</v>
      </c>
    </row>
    <row r="161" spans="8:8">
      <c r="H161" s="169" t="s">
        <v>250</v>
      </c>
    </row>
    <row r="162" spans="8:8">
      <c r="H162" s="169" t="s">
        <v>251</v>
      </c>
    </row>
    <row r="163" spans="8:8">
      <c r="H163" s="169" t="s">
        <v>252</v>
      </c>
    </row>
    <row r="164" spans="8:8">
      <c r="H164" s="169" t="s">
        <v>253</v>
      </c>
    </row>
    <row r="165" spans="8:8">
      <c r="H165" s="169" t="s">
        <v>208</v>
      </c>
    </row>
    <row r="166" spans="8:8">
      <c r="H166" s="169" t="s">
        <v>254</v>
      </c>
    </row>
    <row r="167" spans="8:8">
      <c r="H167" s="169" t="s">
        <v>255</v>
      </c>
    </row>
    <row r="172" spans="8:8">
      <c r="H172" s="169" t="s">
        <v>256</v>
      </c>
    </row>
    <row r="173" spans="8:8">
      <c r="H173" s="169" t="s">
        <v>257</v>
      </c>
    </row>
    <row r="174" spans="8:8">
      <c r="H174" s="169" t="s">
        <v>258</v>
      </c>
    </row>
    <row r="175" spans="8:8">
      <c r="H175" s="169" t="s">
        <v>259</v>
      </c>
    </row>
    <row r="176" spans="8:8">
      <c r="H176" s="169" t="s">
        <v>260</v>
      </c>
    </row>
    <row r="177" spans="8:8">
      <c r="H177" s="169" t="s">
        <v>261</v>
      </c>
    </row>
    <row r="178" spans="8:8">
      <c r="H178" s="169" t="s">
        <v>262</v>
      </c>
    </row>
    <row r="179" spans="8:8">
      <c r="H179" s="169" t="s">
        <v>263</v>
      </c>
    </row>
    <row r="186" spans="8:8">
      <c r="H186" s="169" t="s">
        <v>264</v>
      </c>
    </row>
    <row r="187" spans="8:8">
      <c r="H187" s="169" t="s">
        <v>265</v>
      </c>
    </row>
    <row r="188" spans="8:8">
      <c r="H188" s="169" t="s">
        <v>266</v>
      </c>
    </row>
    <row r="193" spans="8:8">
      <c r="H193" s="169" t="s">
        <v>267</v>
      </c>
    </row>
    <row r="195" spans="8:8">
      <c r="H195" s="169" t="s">
        <v>268</v>
      </c>
    </row>
    <row r="196" spans="8:8">
      <c r="H196" s="169" t="s">
        <v>269</v>
      </c>
    </row>
    <row r="197" spans="8:8">
      <c r="H197" s="169" t="s">
        <v>270</v>
      </c>
    </row>
    <row r="198" spans="8:8">
      <c r="H198" s="169" t="s">
        <v>271</v>
      </c>
    </row>
    <row r="200" spans="8:8">
      <c r="H200" s="169" t="s">
        <v>272</v>
      </c>
    </row>
    <row r="201" spans="8:8">
      <c r="H201" s="169" t="s">
        <v>273</v>
      </c>
    </row>
    <row r="202" spans="8:8">
      <c r="H202" s="169" t="s">
        <v>274</v>
      </c>
    </row>
    <row r="205" spans="8:8">
      <c r="H205" s="169" t="s">
        <v>275</v>
      </c>
    </row>
    <row r="206" spans="8:8">
      <c r="H206" s="169" t="s">
        <v>276</v>
      </c>
    </row>
  </sheetData>
  <mergeCells count="8">
    <mergeCell ref="AL2:AL4"/>
    <mergeCell ref="AL5:AL7"/>
    <mergeCell ref="AL8:AL10"/>
    <mergeCell ref="AL11:AL13"/>
    <mergeCell ref="AL14:AL16"/>
    <mergeCell ref="AL17:AL19"/>
    <mergeCell ref="AP14:AP16"/>
    <mergeCell ref="AP17:AP19"/>
  </mergeCells>
  <conditionalFormatting sqref="A41:A43">
    <cfRule type="containsText" dxfId="36" priority="3"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Sybil",A41)))</formula>
    </cfRule>
  </conditionalFormatting>
  <conditionalFormatting sqref="A44:A45">
    <cfRule type="containsText" dxfId="36" priority="2"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Sybil",A44)))</formula>
    </cfRule>
  </conditionalFormatting>
  <conditionalFormatting sqref="Y$1:Y$1048576 Z48:AC48">
    <cfRule type="top10" dxfId="37" priority="8" rank="10"/>
  </conditionalFormatting>
  <conditionalFormatting sqref="Z1:Z47 Z49:Z1048576">
    <cfRule type="top10" dxfId="37" priority="7" rank="10"/>
  </conditionalFormatting>
  <conditionalFormatting sqref="AA1:AA47 AA49:AA1048576">
    <cfRule type="top10" dxfId="37" priority="6" rank="10"/>
  </conditionalFormatting>
  <conditionalFormatting sqref="AB1:AB47 AB49:AB1048576">
    <cfRule type="top10" dxfId="37" priority="5" rank="10"/>
  </conditionalFormatting>
  <conditionalFormatting sqref="AC1:AC47 AC49:AC1048576">
    <cfRule type="top10" dxfId="37" priority="4" rank="10"/>
  </conditionalFormatting>
  <conditionalFormatting sqref="A2:A40 A46:A69">
    <cfRule type="expression" dxfId="38" priority="16">
      <formula>OR(A2="Adah",A2="Adelaine",A2="Carmilla",A2="Catherine",A2="CB-69",A2="Dahia",A2="Desiderata",A2="Guinevere",A2="Harriet",A2="Jasmine",A2="Makeda",A2="Pearl",A2="Reznor",A2="Kriss",A2="Stella",A2="Milena",A2="Sybil")</formula>
    </cfRule>
  </conditionalFormatting>
  <conditionalFormatting sqref="P2:T48">
    <cfRule type="expression" dxfId="39" priority="1">
      <formula>AND(P2&lt;=20,Y2&lt;&gt;"",MAX($Y2:$AC2)&lt;&gt;"",Y2=MAX($Y2:$AC2))</formula>
    </cfRule>
  </conditionalFormatting>
  <conditionalFormatting sqref="Y2:Y69 Z48:AC48">
    <cfRule type="colorScale" priority="14">
      <colorScale>
        <cfvo type="min"/>
        <cfvo type="percentile" val="50"/>
        <cfvo type="max"/>
        <color rgb="FFF8696B"/>
        <color rgb="FFFFEB84"/>
        <color rgb="FF63BE7B"/>
      </colorScale>
    </cfRule>
  </conditionalFormatting>
  <conditionalFormatting sqref="Y2:AC69">
    <cfRule type="expression" dxfId="40" priority="15">
      <formula>AND(Y2&lt;&gt;"",MAX($Y2:$AC2)&lt;&gt;"",Y2=MAX($Y2:$AC2))</formula>
    </cfRule>
  </conditionalFormatting>
  <conditionalFormatting sqref="Z2:Z47 Z49:Z69">
    <cfRule type="colorScale" priority="13">
      <colorScale>
        <cfvo type="min"/>
        <cfvo type="percentile" val="50"/>
        <cfvo type="max"/>
        <color rgb="FFF8696B"/>
        <color rgb="FFFFEB84"/>
        <color rgb="FF63BE7B"/>
      </colorScale>
    </cfRule>
  </conditionalFormatting>
  <conditionalFormatting sqref="AA2:AA47 AA49:AA69">
    <cfRule type="colorScale" priority="12">
      <colorScale>
        <cfvo type="min"/>
        <cfvo type="percentile" val="50"/>
        <cfvo type="max"/>
        <color rgb="FFF8696B"/>
        <color rgb="FFFFEB84"/>
        <color rgb="FF63BE7B"/>
      </colorScale>
    </cfRule>
  </conditionalFormatting>
  <conditionalFormatting sqref="AB2:AB47 AB49:AB69">
    <cfRule type="colorScale" priority="11">
      <colorScale>
        <cfvo type="min"/>
        <cfvo type="percentile" val="50"/>
        <cfvo type="max"/>
        <color rgb="FFF8696B"/>
        <color rgb="FFFFEB84"/>
        <color rgb="FF63BE7B"/>
      </colorScale>
    </cfRule>
  </conditionalFormatting>
  <conditionalFormatting sqref="AC2:AC47 AC49:AC69">
    <cfRule type="colorScale" priority="9">
      <colorScale>
        <cfvo type="min"/>
        <cfvo type="percentile" val="50"/>
        <cfvo type="max"/>
        <color rgb="FFF8696B"/>
        <color rgb="FFFFEB84"/>
        <color rgb="FF63BE7B"/>
      </colorScale>
    </cfRule>
  </conditionalFormatting>
  <dataValidations count="1">
    <dataValidation type="list" allowBlank="1" showInputMessage="1" showErrorMessage="1" sqref="A1 A31 A40 A84 A201 A2:A30 A32:A39 A44:A59 A60:A83 A85:A200 A202:A1048576">
      <formula1>全人物技能说明!$A:$A</formula1>
    </dataValidation>
  </dataValidations>
  <pageMargins left="0.75" right="0.75" top="1" bottom="1" header="0.5" footer="0.5"/>
  <headerFooter/>
  <ignoredErrors>
    <ignoredError sqref="A1" listDataValidation="1"/>
  </ignoredErrors>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6"/>
  <sheetViews>
    <sheetView zoomScale="85" zoomScaleNormal="85" workbookViewId="0">
      <selection activeCell="B1" sqref="B$1:B$1048576"/>
    </sheetView>
  </sheetViews>
  <sheetFormatPr defaultColWidth="9" defaultRowHeight="13.5"/>
  <cols>
    <col min="1" max="1" width="8.23333333333333" style="649" customWidth="1"/>
    <col min="2" max="2" width="8.225" style="649" customWidth="1"/>
    <col min="3" max="3" width="5.875" style="21" customWidth="1"/>
    <col min="4" max="4" width="4.46666666666667" style="21" customWidth="1"/>
    <col min="5" max="6" width="3.23333333333333" style="21" customWidth="1"/>
    <col min="7" max="7" width="73.9583333333333" style="21" customWidth="1"/>
    <col min="8" max="8" width="80" style="21" customWidth="1"/>
    <col min="9" max="13" width="8.375" style="21" customWidth="1"/>
    <col min="14" max="15" width="8.625" style="21" customWidth="1"/>
    <col min="16" max="16" width="10.5833333333333" style="21" customWidth="1"/>
    <col min="17" max="18" width="14.875"/>
    <col min="19" max="23" width="6.25" style="21" customWidth="1"/>
    <col min="24" max="25" width="14.875" style="21" customWidth="1"/>
    <col min="26" max="16363" width="9" style="21"/>
  </cols>
  <sheetData>
    <row r="1" ht="15.75" spans="1:25">
      <c r="A1" s="649" t="s">
        <v>277</v>
      </c>
      <c r="B1" s="649" t="s">
        <v>278</v>
      </c>
      <c r="C1" s="21" t="s">
        <v>279</v>
      </c>
      <c r="D1" s="21" t="s">
        <v>4</v>
      </c>
      <c r="E1" s="21" t="s">
        <v>280</v>
      </c>
      <c r="F1" s="21" t="s">
        <v>281</v>
      </c>
      <c r="G1" s="21" t="s">
        <v>12</v>
      </c>
      <c r="H1" s="21" t="s">
        <v>282</v>
      </c>
      <c r="I1" s="21" t="s">
        <v>15</v>
      </c>
      <c r="J1" s="21" t="s">
        <v>16</v>
      </c>
      <c r="K1" s="21" t="s">
        <v>17</v>
      </c>
      <c r="L1" s="21" t="s">
        <v>18</v>
      </c>
      <c r="M1" s="21" t="s">
        <v>19</v>
      </c>
      <c r="N1" s="689" t="s">
        <v>283</v>
      </c>
      <c r="O1" s="689" t="s">
        <v>284</v>
      </c>
      <c r="P1" s="690" t="s">
        <v>285</v>
      </c>
      <c r="S1" s="689" t="s">
        <v>15</v>
      </c>
      <c r="T1" s="689" t="s">
        <v>16</v>
      </c>
      <c r="U1" s="689" t="s">
        <v>17</v>
      </c>
      <c r="V1" s="689" t="s">
        <v>18</v>
      </c>
      <c r="W1" s="689" t="s">
        <v>19</v>
      </c>
      <c r="X1" s="21" t="s">
        <v>283</v>
      </c>
      <c r="Y1" s="21" t="s">
        <v>284</v>
      </c>
    </row>
    <row r="2" ht="15.75" spans="1:25">
      <c r="A2" s="649" t="s">
        <v>286</v>
      </c>
      <c r="C2" s="21" t="s">
        <v>287</v>
      </c>
      <c r="I2" s="648" t="s">
        <v>288</v>
      </c>
      <c r="J2" s="648" t="s">
        <v>288</v>
      </c>
      <c r="K2" s="648" t="s">
        <v>288</v>
      </c>
      <c r="L2" s="648" t="s">
        <v>288</v>
      </c>
      <c r="M2" s="648" t="s">
        <v>288</v>
      </c>
      <c r="N2" s="21" t="s">
        <v>286</v>
      </c>
      <c r="O2" s="21" t="s">
        <v>286</v>
      </c>
      <c r="S2" s="691"/>
      <c r="T2" s="691"/>
      <c r="U2" s="689" t="s">
        <v>289</v>
      </c>
      <c r="V2" s="696" t="s">
        <v>290</v>
      </c>
      <c r="W2" s="689" t="s">
        <v>289</v>
      </c>
      <c r="X2" s="21" t="e">
        <f t="array" ref="X2">_xlfn.TEXTJOIN(", ",TRUE,IF(VALUE(LEFT(I2:M2,2))=MAX(VALUE(LEFT(I2:M2,2))),$I$1:$M$1,""))</f>
        <v>#VALUE!</v>
      </c>
      <c r="Y2" s="21" t="e">
        <f t="array" ref="Y2">_xlfn.TEXTJOIN(", ",TRUE,IF(VALUE(LEFT(I2:M2,2))=MIN(VALUE(LEFT(I2:M2,2))),$I$1:$M$1,""))</f>
        <v>#VALUE!</v>
      </c>
    </row>
    <row r="3" ht="15.75" spans="1:25">
      <c r="A3" s="649" t="s">
        <v>193</v>
      </c>
      <c r="B3" s="649" t="s">
        <v>193</v>
      </c>
      <c r="C3" s="21" t="s">
        <v>291</v>
      </c>
      <c r="D3" s="21" t="s">
        <v>193</v>
      </c>
      <c r="E3" s="21" t="s">
        <v>193</v>
      </c>
      <c r="F3" s="21" t="s">
        <v>193</v>
      </c>
      <c r="G3" s="21" t="s">
        <v>193</v>
      </c>
      <c r="H3" s="21" t="s">
        <v>193</v>
      </c>
      <c r="I3" s="648" t="s">
        <v>288</v>
      </c>
      <c r="J3" s="648" t="s">
        <v>288</v>
      </c>
      <c r="K3" s="648" t="s">
        <v>288</v>
      </c>
      <c r="L3" s="648" t="s">
        <v>288</v>
      </c>
      <c r="M3" s="648" t="s">
        <v>288</v>
      </c>
      <c r="N3" s="691" t="s">
        <v>193</v>
      </c>
      <c r="O3" s="691" t="s">
        <v>193</v>
      </c>
      <c r="P3" s="21" t="s">
        <v>193</v>
      </c>
      <c r="S3" s="689" t="s">
        <v>289</v>
      </c>
      <c r="T3" s="696" t="s">
        <v>292</v>
      </c>
      <c r="U3" s="689" t="s">
        <v>289</v>
      </c>
      <c r="V3" s="696" t="s">
        <v>290</v>
      </c>
      <c r="W3" s="696" t="s">
        <v>290</v>
      </c>
      <c r="X3" s="21" t="e">
        <f>_xlfn.TEXTJOIN(", ",TRUE,IF(VALUE(LEFT(I3:M3,2))=MAX(VALUE(LEFT(I3:M3,2))),$I$1:$M$1,""))</f>
        <v>#VALUE!</v>
      </c>
      <c r="Y3" s="21" t="e">
        <f t="array" ref="Y3">_xlfn.TEXTJOIN(", ",TRUE,IF(VALUE(LEFT(I3:M3,2))=MIN(VALUE(LEFT(I3:M3,2))),$I$1:$M$1,""))</f>
        <v>#VALUE!</v>
      </c>
    </row>
    <row r="4" ht="15.75" spans="1:25">
      <c r="A4" s="687" t="s">
        <v>293</v>
      </c>
      <c r="B4" s="687" t="s">
        <v>294</v>
      </c>
      <c r="N4" s="691"/>
      <c r="O4" s="691"/>
      <c r="S4" s="696" t="s">
        <v>290</v>
      </c>
      <c r="T4" s="689" t="s">
        <v>289</v>
      </c>
      <c r="U4" s="696" t="s">
        <v>292</v>
      </c>
      <c r="V4" s="696" t="s">
        <v>290</v>
      </c>
      <c r="W4" s="696" t="s">
        <v>292</v>
      </c>
      <c r="X4" s="21" t="e">
        <f t="array" ref="X4">_xlfn.TEXTJOIN(", ",TRUE,IF(VALUE(LEFT(I4:M4,2))=MAX(VALUE(LEFT(I4:M4,2))),$I$1:$M$1,""))</f>
        <v>#VALUE!</v>
      </c>
      <c r="Y4" s="21" t="e">
        <f t="array" ref="Y4">_xlfn.TEXTJOIN(", ",TRUE,IF(VALUE(LEFT(I4:M4,2))=MIN(VALUE(LEFT(I4:M4,2))),$I$1:$M$1,""))</f>
        <v>#VALUE!</v>
      </c>
    </row>
    <row r="5" ht="15" spans="1:25">
      <c r="A5" s="687" t="s">
        <v>182</v>
      </c>
      <c r="B5" s="687" t="s">
        <v>295</v>
      </c>
      <c r="G5" s="21" t="s">
        <v>296</v>
      </c>
      <c r="H5" s="21" t="s">
        <v>297</v>
      </c>
      <c r="I5" s="648" t="s">
        <v>298</v>
      </c>
      <c r="J5" s="648" t="s">
        <v>299</v>
      </c>
      <c r="K5" s="648" t="s">
        <v>300</v>
      </c>
      <c r="L5" s="648" t="s">
        <v>299</v>
      </c>
      <c r="M5" s="648" t="s">
        <v>298</v>
      </c>
      <c r="N5" s="691"/>
      <c r="O5" s="691"/>
      <c r="P5" s="21" t="s">
        <v>301</v>
      </c>
      <c r="S5" s="696" t="s">
        <v>290</v>
      </c>
      <c r="T5" s="696" t="s">
        <v>292</v>
      </c>
      <c r="U5" s="696" t="s">
        <v>290</v>
      </c>
      <c r="V5" s="696" t="s">
        <v>292</v>
      </c>
      <c r="W5" s="696" t="s">
        <v>292</v>
      </c>
      <c r="X5" s="21" t="str">
        <f t="array" ref="X5">_xlfn.TEXTJOIN(", ",TRUE,IF(VALUE(LEFT(I5:M5,2))=MAX(VALUE(LEFT(I5:M5,2))),$I$1:$M$1,""))</f>
        <v>A, F</v>
      </c>
      <c r="Y5" s="21" t="str">
        <f t="array" ref="Y5">_xlfn.TEXTJOIN(", ",TRUE,IF(VALUE(LEFT(I5:M5,2))=MIN(VALUE(LEFT(I5:M5,2))),$I$1:$M$1,""))</f>
        <v>W, U</v>
      </c>
    </row>
    <row r="6" ht="15.75" spans="1:25">
      <c r="A6" s="649" t="s">
        <v>302</v>
      </c>
      <c r="B6" s="649" t="s">
        <v>303</v>
      </c>
      <c r="C6" s="21" t="s">
        <v>304</v>
      </c>
      <c r="D6" s="21" t="s">
        <v>305</v>
      </c>
      <c r="E6" s="21" t="s">
        <v>306</v>
      </c>
      <c r="F6" s="21" t="s">
        <v>307</v>
      </c>
      <c r="H6" s="21" t="s">
        <v>308</v>
      </c>
      <c r="I6" s="21" t="s">
        <v>299</v>
      </c>
      <c r="J6" s="21" t="s">
        <v>309</v>
      </c>
      <c r="K6" s="21" t="s">
        <v>299</v>
      </c>
      <c r="L6" s="21" t="s">
        <v>298</v>
      </c>
      <c r="M6" s="21" t="s">
        <v>310</v>
      </c>
      <c r="N6" s="689" t="s">
        <v>311</v>
      </c>
      <c r="O6" s="689" t="s">
        <v>19</v>
      </c>
      <c r="P6" s="692"/>
      <c r="S6" s="691"/>
      <c r="T6" s="691"/>
      <c r="U6" s="689" t="s">
        <v>289</v>
      </c>
      <c r="V6" s="696" t="s">
        <v>292</v>
      </c>
      <c r="W6" s="696" t="s">
        <v>292</v>
      </c>
      <c r="X6" s="21" t="str">
        <f t="array" ref="X6">_xlfn.TEXTJOIN(", ",TRUE,IF(VALUE(LEFT(I6:M6,2))=MAX(VALUE(LEFT(I6:M6,2))),$I$1:$M$1,""))</f>
        <v>W, I</v>
      </c>
      <c r="Y6" s="21" t="str">
        <f t="array" ref="Y6">_xlfn.TEXTJOIN(", ",TRUE,IF(VALUE(LEFT(I6:M6,2))=MIN(VALUE(LEFT(I6:M6,2))),$I$1:$M$1,""))</f>
        <v>U</v>
      </c>
    </row>
    <row r="7" ht="15.75" spans="1:25">
      <c r="A7" s="649" t="s">
        <v>153</v>
      </c>
      <c r="B7" s="649" t="s">
        <v>312</v>
      </c>
      <c r="C7" s="21" t="s">
        <v>313</v>
      </c>
      <c r="D7" s="21" t="s">
        <v>314</v>
      </c>
      <c r="E7" s="21" t="s">
        <v>315</v>
      </c>
      <c r="F7" s="21" t="s">
        <v>316</v>
      </c>
      <c r="H7" s="21" t="s">
        <v>317</v>
      </c>
      <c r="I7" s="21" t="s">
        <v>318</v>
      </c>
      <c r="J7" s="21" t="s">
        <v>298</v>
      </c>
      <c r="K7" s="21" t="s">
        <v>298</v>
      </c>
      <c r="L7" s="21" t="s">
        <v>310</v>
      </c>
      <c r="M7" s="21" t="s">
        <v>310</v>
      </c>
      <c r="N7" s="689" t="s">
        <v>319</v>
      </c>
      <c r="O7" s="689" t="s">
        <v>15</v>
      </c>
      <c r="P7" s="692"/>
      <c r="S7" s="696" t="s">
        <v>290</v>
      </c>
      <c r="T7" s="696" t="s">
        <v>292</v>
      </c>
      <c r="U7" s="696" t="s">
        <v>292</v>
      </c>
      <c r="V7" s="689" t="s">
        <v>289</v>
      </c>
      <c r="W7" s="696" t="s">
        <v>290</v>
      </c>
      <c r="X7" s="21" t="str">
        <f t="array" ref="X7">_xlfn.TEXTJOIN(", ",TRUE,IF(VALUE(LEFT(I7:M7,2))=MAX(VALUE(LEFT(I7:M7,2))),$I$1:$M$1,""))</f>
        <v>A, I</v>
      </c>
      <c r="Y7" s="21" t="str">
        <f t="array" ref="Y7">_xlfn.TEXTJOIN(", ",TRUE,IF(VALUE(LEFT(I7:M7,2))=MIN(VALUE(LEFT(I7:M7,2))),$I$1:$M$1,""))</f>
        <v>W</v>
      </c>
    </row>
    <row r="8" ht="15.75" spans="1:25">
      <c r="A8" s="649" t="s">
        <v>320</v>
      </c>
      <c r="B8" s="649" t="s">
        <v>321</v>
      </c>
      <c r="C8" s="21" t="s">
        <v>322</v>
      </c>
      <c r="D8" s="21" t="s">
        <v>323</v>
      </c>
      <c r="E8" s="21" t="s">
        <v>324</v>
      </c>
      <c r="F8" s="21" t="s">
        <v>325</v>
      </c>
      <c r="G8" s="21" t="s">
        <v>326</v>
      </c>
      <c r="H8" s="21" t="s">
        <v>327</v>
      </c>
      <c r="I8" s="21" t="s">
        <v>318</v>
      </c>
      <c r="J8" s="21" t="s">
        <v>328</v>
      </c>
      <c r="K8" s="21" t="s">
        <v>310</v>
      </c>
      <c r="L8" s="21" t="s">
        <v>318</v>
      </c>
      <c r="M8" s="21" t="s">
        <v>328</v>
      </c>
      <c r="N8" s="689" t="s">
        <v>17</v>
      </c>
      <c r="O8" s="689" t="s">
        <v>329</v>
      </c>
      <c r="P8" s="692"/>
      <c r="S8" s="696" t="s">
        <v>290</v>
      </c>
      <c r="T8" s="689" t="s">
        <v>289</v>
      </c>
      <c r="U8" s="689" t="s">
        <v>289</v>
      </c>
      <c r="V8" s="696" t="s">
        <v>292</v>
      </c>
      <c r="W8" s="689" t="s">
        <v>289</v>
      </c>
      <c r="X8" s="21" t="str">
        <f t="array" ref="X8">_xlfn.TEXTJOIN(", ",TRUE,IF(VALUE(LEFT(I8:M8,2))=MAX(VALUE(LEFT(I8:M8,2))),$I$1:$M$1,""))</f>
        <v>I</v>
      </c>
      <c r="Y8" s="21" t="str">
        <f t="array" ref="Y8">_xlfn.TEXTJOIN(", ",TRUE,IF(VALUE(LEFT(I8:M8,2))=MIN(VALUE(LEFT(I8:M8,2))),$I$1:$M$1,""))</f>
        <v>W, F</v>
      </c>
    </row>
    <row r="9" ht="15.75" spans="1:25">
      <c r="A9" s="649" t="s">
        <v>96</v>
      </c>
      <c r="B9" s="649" t="s">
        <v>330</v>
      </c>
      <c r="C9" s="21" t="s">
        <v>331</v>
      </c>
      <c r="D9" s="21" t="s">
        <v>323</v>
      </c>
      <c r="E9" s="21" t="s">
        <v>332</v>
      </c>
      <c r="F9" s="21" t="s">
        <v>333</v>
      </c>
      <c r="G9" s="21" t="s">
        <v>334</v>
      </c>
      <c r="H9" s="21" t="s">
        <v>335</v>
      </c>
      <c r="I9" s="21" t="s">
        <v>318</v>
      </c>
      <c r="J9" s="21" t="s">
        <v>328</v>
      </c>
      <c r="K9" s="21" t="s">
        <v>318</v>
      </c>
      <c r="L9" s="21" t="s">
        <v>328</v>
      </c>
      <c r="M9" s="21" t="s">
        <v>310</v>
      </c>
      <c r="N9" s="689" t="s">
        <v>19</v>
      </c>
      <c r="O9" s="689" t="s">
        <v>311</v>
      </c>
      <c r="P9" s="692"/>
      <c r="S9" s="696" t="s">
        <v>290</v>
      </c>
      <c r="T9" s="696" t="s">
        <v>292</v>
      </c>
      <c r="U9" s="696" t="s">
        <v>290</v>
      </c>
      <c r="V9" s="696" t="s">
        <v>292</v>
      </c>
      <c r="W9" s="696" t="s">
        <v>290</v>
      </c>
      <c r="X9" s="21" t="str">
        <f t="array" ref="X9">_xlfn.TEXTJOIN(", ",TRUE,IF(VALUE(LEFT(I9:M9,2))=MAX(VALUE(LEFT(I9:M9,2))),$I$1:$M$1,""))</f>
        <v>U</v>
      </c>
      <c r="Y9" s="21" t="str">
        <f t="array" ref="Y9">_xlfn.TEXTJOIN(", ",TRUE,IF(VALUE(LEFT(I9:M9,2))=MIN(VALUE(LEFT(I9:M9,2))),$I$1:$M$1,""))</f>
        <v>W, I</v>
      </c>
    </row>
    <row r="10" ht="15.75" spans="1:25">
      <c r="A10" s="649" t="s">
        <v>336</v>
      </c>
      <c r="B10" s="649" t="s">
        <v>337</v>
      </c>
      <c r="C10" s="21" t="s">
        <v>338</v>
      </c>
      <c r="D10" s="21" t="s">
        <v>305</v>
      </c>
      <c r="E10" s="21" t="s">
        <v>339</v>
      </c>
      <c r="F10" s="21" t="s">
        <v>340</v>
      </c>
      <c r="G10" s="21" t="s">
        <v>341</v>
      </c>
      <c r="H10" s="21" t="s">
        <v>342</v>
      </c>
      <c r="I10" s="21" t="s">
        <v>318</v>
      </c>
      <c r="J10" s="21" t="s">
        <v>310</v>
      </c>
      <c r="K10" s="21" t="s">
        <v>343</v>
      </c>
      <c r="L10" s="21" t="s">
        <v>328</v>
      </c>
      <c r="M10" s="21" t="s">
        <v>310</v>
      </c>
      <c r="N10" s="689" t="s">
        <v>344</v>
      </c>
      <c r="O10" s="689" t="s">
        <v>17</v>
      </c>
      <c r="P10" s="692"/>
      <c r="S10" s="696" t="s">
        <v>290</v>
      </c>
      <c r="T10" s="696" t="s">
        <v>292</v>
      </c>
      <c r="U10" s="696" t="s">
        <v>292</v>
      </c>
      <c r="V10" s="689" t="s">
        <v>289</v>
      </c>
      <c r="W10" s="689" t="s">
        <v>289</v>
      </c>
      <c r="X10" s="21" t="str">
        <f t="array" ref="X10">_xlfn.TEXTJOIN(", ",TRUE,IF(VALUE(LEFT(I10:M10,2))=MAX(VALUE(LEFT(I10:M10,2))),$I$1:$M$1,""))</f>
        <v>A, U</v>
      </c>
      <c r="Y10" s="21" t="str">
        <f t="array" ref="Y10">_xlfn.TEXTJOIN(", ",TRUE,IF(VALUE(LEFT(I10:M10,2))=MIN(VALUE(LEFT(I10:M10,2))),$I$1:$M$1,""))</f>
        <v>I</v>
      </c>
    </row>
    <row r="11" ht="15.75" spans="1:25">
      <c r="A11" s="649" t="s">
        <v>345</v>
      </c>
      <c r="B11" s="649" t="s">
        <v>346</v>
      </c>
      <c r="C11" s="21" t="s">
        <v>347</v>
      </c>
      <c r="D11" s="21" t="s">
        <v>305</v>
      </c>
      <c r="E11" s="21" t="s">
        <v>348</v>
      </c>
      <c r="F11" s="21" t="s">
        <v>349</v>
      </c>
      <c r="H11" s="21" t="s">
        <v>350</v>
      </c>
      <c r="I11" s="21" t="s">
        <v>300</v>
      </c>
      <c r="J11" s="21" t="s">
        <v>300</v>
      </c>
      <c r="K11" s="21" t="s">
        <v>299</v>
      </c>
      <c r="L11" s="21" t="s">
        <v>300</v>
      </c>
      <c r="M11" s="21" t="s">
        <v>309</v>
      </c>
      <c r="N11" s="689" t="s">
        <v>17</v>
      </c>
      <c r="O11" s="689" t="s">
        <v>351</v>
      </c>
      <c r="P11" s="692"/>
      <c r="S11" s="696" t="s">
        <v>290</v>
      </c>
      <c r="T11" s="696" t="s">
        <v>292</v>
      </c>
      <c r="U11" s="689" t="s">
        <v>289</v>
      </c>
      <c r="V11" s="689" t="s">
        <v>289</v>
      </c>
      <c r="W11" s="696" t="s">
        <v>290</v>
      </c>
      <c r="X11" s="21" t="str">
        <f t="array" ref="X11">_xlfn.TEXTJOIN(", ",TRUE,IF(VALUE(LEFT(I11:M11,2))=MAX(VALUE(LEFT(I11:M11,2))),$I$1:$M$1,""))</f>
        <v>I</v>
      </c>
      <c r="Y11" s="21" t="str">
        <f t="array" ref="Y11">_xlfn.TEXTJOIN(", ",TRUE,IF(VALUE(LEFT(I11:M11,2))=MIN(VALUE(LEFT(I11:M11,2))),$I$1:$M$1,""))</f>
        <v>W, A, F</v>
      </c>
    </row>
    <row r="12" ht="15.75" spans="1:25">
      <c r="A12" s="649" t="s">
        <v>352</v>
      </c>
      <c r="B12" s="649" t="s">
        <v>353</v>
      </c>
      <c r="C12" s="21" t="s">
        <v>347</v>
      </c>
      <c r="D12" s="21" t="s">
        <v>305</v>
      </c>
      <c r="E12" s="21" t="s">
        <v>354</v>
      </c>
      <c r="F12" s="21" t="s">
        <v>355</v>
      </c>
      <c r="H12" s="21" t="s">
        <v>356</v>
      </c>
      <c r="I12" s="21" t="s">
        <v>298</v>
      </c>
      <c r="J12" s="21" t="s">
        <v>309</v>
      </c>
      <c r="K12" s="21" t="s">
        <v>300</v>
      </c>
      <c r="L12" s="21" t="s">
        <v>309</v>
      </c>
      <c r="M12" s="21" t="s">
        <v>299</v>
      </c>
      <c r="N12" s="689" t="s">
        <v>19</v>
      </c>
      <c r="O12" s="689" t="s">
        <v>15</v>
      </c>
      <c r="P12" s="692"/>
      <c r="S12" s="696" t="s">
        <v>290</v>
      </c>
      <c r="T12" s="696" t="s">
        <v>292</v>
      </c>
      <c r="U12" s="696" t="s">
        <v>292</v>
      </c>
      <c r="V12" s="696" t="s">
        <v>292</v>
      </c>
      <c r="W12" s="696" t="s">
        <v>292</v>
      </c>
      <c r="X12" s="21" t="str">
        <f t="array" ref="X12">_xlfn.TEXTJOIN(", ",TRUE,IF(VALUE(LEFT(I12:M12,2))=MAX(VALUE(LEFT(I12:M12,2))),$I$1:$M$1,""))</f>
        <v>U</v>
      </c>
      <c r="Y12" s="21" t="str">
        <f t="array" ref="Y12">_xlfn.TEXTJOIN(", ",TRUE,IF(VALUE(LEFT(I12:M12,2))=MIN(VALUE(LEFT(I12:M12,2))),$I$1:$M$1,""))</f>
        <v>W</v>
      </c>
    </row>
    <row r="13" ht="15.75" spans="1:25">
      <c r="A13" s="649" t="s">
        <v>163</v>
      </c>
      <c r="B13" s="649" t="s">
        <v>357</v>
      </c>
      <c r="C13" s="21" t="s">
        <v>358</v>
      </c>
      <c r="D13" s="21" t="s">
        <v>305</v>
      </c>
      <c r="E13" s="21" t="s">
        <v>359</v>
      </c>
      <c r="F13" s="21" t="s">
        <v>360</v>
      </c>
      <c r="H13" s="21" t="s">
        <v>361</v>
      </c>
      <c r="I13" s="21" t="s">
        <v>310</v>
      </c>
      <c r="J13" s="21" t="s">
        <v>362</v>
      </c>
      <c r="K13" s="21" t="s">
        <v>298</v>
      </c>
      <c r="L13" s="21" t="s">
        <v>300</v>
      </c>
      <c r="M13" s="21" t="s">
        <v>309</v>
      </c>
      <c r="N13" s="689" t="s">
        <v>19</v>
      </c>
      <c r="O13" s="689" t="s">
        <v>16</v>
      </c>
      <c r="P13" s="692"/>
      <c r="S13" s="696" t="s">
        <v>290</v>
      </c>
      <c r="T13" s="696" t="s">
        <v>292</v>
      </c>
      <c r="U13" s="689" t="s">
        <v>289</v>
      </c>
      <c r="V13" s="689" t="s">
        <v>289</v>
      </c>
      <c r="W13" s="689" t="s">
        <v>289</v>
      </c>
      <c r="X13" s="21" t="str">
        <f t="array" ref="X13">_xlfn.TEXTJOIN(", ",TRUE,IF(VALUE(LEFT(I13:M13,2))=MAX(VALUE(LEFT(I13:M13,2))),$I$1:$M$1,""))</f>
        <v>U</v>
      </c>
      <c r="Y13" s="21" t="str">
        <f t="array" ref="Y13">_xlfn.TEXTJOIN(", ",TRUE,IF(VALUE(LEFT(I13:M13,2))=MIN(VALUE(LEFT(I13:M13,2))),$I$1:$M$1,""))</f>
        <v>A</v>
      </c>
    </row>
    <row r="14" ht="15.75" spans="1:25">
      <c r="A14" s="687" t="s">
        <v>363</v>
      </c>
      <c r="B14" s="687" t="s">
        <v>364</v>
      </c>
      <c r="I14" s="648" t="s">
        <v>309</v>
      </c>
      <c r="J14" s="648" t="s">
        <v>299</v>
      </c>
      <c r="K14" s="648" t="s">
        <v>300</v>
      </c>
      <c r="L14" s="648" t="s">
        <v>300</v>
      </c>
      <c r="M14" s="648" t="s">
        <v>300</v>
      </c>
      <c r="N14" s="691"/>
      <c r="O14" s="691"/>
      <c r="S14" s="696" t="s">
        <v>290</v>
      </c>
      <c r="T14" s="696" t="s">
        <v>292</v>
      </c>
      <c r="U14" s="689" t="s">
        <v>289</v>
      </c>
      <c r="V14" s="689" t="s">
        <v>289</v>
      </c>
      <c r="W14" s="696" t="s">
        <v>292</v>
      </c>
      <c r="X14" s="21" t="str">
        <f t="array" ref="X14">_xlfn.TEXTJOIN(", ",TRUE,IF(VALUE(LEFT(I14:M14,2))=MAX(VALUE(LEFT(I14:M14,2))),$I$1:$M$1,""))</f>
        <v>A</v>
      </c>
      <c r="Y14" s="21" t="str">
        <f t="array" ref="Y14">_xlfn.TEXTJOIN(", ",TRUE,IF(VALUE(LEFT(I14:M14,2))=MIN(VALUE(LEFT(I14:M14,2))),$I$1:$M$1,""))</f>
        <v>I, F, U</v>
      </c>
    </row>
    <row r="15" ht="15.75" spans="1:25">
      <c r="A15" s="687" t="s">
        <v>365</v>
      </c>
      <c r="B15" s="687" t="s">
        <v>366</v>
      </c>
      <c r="I15" s="648" t="s">
        <v>300</v>
      </c>
      <c r="J15" s="648" t="s">
        <v>299</v>
      </c>
      <c r="K15" s="648" t="s">
        <v>300</v>
      </c>
      <c r="L15" s="648" t="s">
        <v>299</v>
      </c>
      <c r="M15" s="648" t="s">
        <v>310</v>
      </c>
      <c r="N15" s="691"/>
      <c r="O15" s="691"/>
      <c r="S15" s="689" t="s">
        <v>289</v>
      </c>
      <c r="T15" s="696" t="s">
        <v>290</v>
      </c>
      <c r="U15" s="696" t="s">
        <v>290</v>
      </c>
      <c r="V15" s="696" t="s">
        <v>292</v>
      </c>
      <c r="W15" s="696" t="s">
        <v>292</v>
      </c>
      <c r="X15" s="21" t="str">
        <f t="array" ref="X15">_xlfn.TEXTJOIN(", ",TRUE,IF(VALUE(LEFT(I15:M15,2))=MAX(VALUE(LEFT(I15:M15,2))),$I$1:$M$1,""))</f>
        <v>A, F</v>
      </c>
      <c r="Y15" s="21" t="str">
        <f t="array" ref="Y15">_xlfn.TEXTJOIN(", ",TRUE,IF(VALUE(LEFT(I15:M15,2))=MIN(VALUE(LEFT(I15:M15,2))),$I$1:$M$1,""))</f>
        <v>U</v>
      </c>
    </row>
    <row r="16" ht="15.75" spans="1:25">
      <c r="A16" s="687" t="s">
        <v>367</v>
      </c>
      <c r="B16" s="687" t="s">
        <v>368</v>
      </c>
      <c r="I16" s="648" t="s">
        <v>309</v>
      </c>
      <c r="J16" s="648" t="s">
        <v>309</v>
      </c>
      <c r="K16" s="648" t="s">
        <v>300</v>
      </c>
      <c r="L16" s="648" t="s">
        <v>309</v>
      </c>
      <c r="M16" s="648" t="s">
        <v>309</v>
      </c>
      <c r="N16" s="691"/>
      <c r="O16" s="691"/>
      <c r="S16" s="689" t="s">
        <v>289</v>
      </c>
      <c r="T16" s="696" t="s">
        <v>290</v>
      </c>
      <c r="U16" s="689" t="s">
        <v>289</v>
      </c>
      <c r="V16" s="696" t="s">
        <v>290</v>
      </c>
      <c r="W16" s="696" t="s">
        <v>290</v>
      </c>
      <c r="X16" s="21" t="str">
        <f t="array" ref="X16">_xlfn.TEXTJOIN(", ",TRUE,IF(VALUE(LEFT(I16:M16,2))=MAX(VALUE(LEFT(I16:M16,2))),$I$1:$M$1,""))</f>
        <v>W, A, F, U</v>
      </c>
      <c r="Y16" s="21" t="str">
        <f t="array" ref="Y16">_xlfn.TEXTJOIN(", ",TRUE,IF(VALUE(LEFT(I16:M16,2))=MIN(VALUE(LEFT(I16:M16,2))),$I$1:$M$1,""))</f>
        <v>I</v>
      </c>
    </row>
    <row r="17" ht="15.75" spans="1:25">
      <c r="A17" s="649" t="s">
        <v>369</v>
      </c>
      <c r="B17" s="649" t="s">
        <v>370</v>
      </c>
      <c r="C17" s="21" t="s">
        <v>347</v>
      </c>
      <c r="D17" s="21" t="s">
        <v>305</v>
      </c>
      <c r="E17" s="21" t="s">
        <v>371</v>
      </c>
      <c r="F17" s="21" t="s">
        <v>372</v>
      </c>
      <c r="H17" s="21" t="s">
        <v>373</v>
      </c>
      <c r="I17" s="21" t="s">
        <v>298</v>
      </c>
      <c r="J17" s="21" t="s">
        <v>299</v>
      </c>
      <c r="K17" s="21" t="s">
        <v>309</v>
      </c>
      <c r="L17" s="21" t="s">
        <v>300</v>
      </c>
      <c r="M17" s="21" t="s">
        <v>309</v>
      </c>
      <c r="N17" s="689" t="s">
        <v>16</v>
      </c>
      <c r="O17" s="689" t="s">
        <v>15</v>
      </c>
      <c r="P17" s="692"/>
      <c r="S17" s="696" t="s">
        <v>292</v>
      </c>
      <c r="T17" s="696" t="s">
        <v>290</v>
      </c>
      <c r="U17" s="696" t="s">
        <v>290</v>
      </c>
      <c r="V17" s="696" t="s">
        <v>292</v>
      </c>
      <c r="W17" s="689" t="s">
        <v>289</v>
      </c>
      <c r="X17" s="21" t="str">
        <f t="array" ref="X17">_xlfn.TEXTJOIN(", ",TRUE,IF(VALUE(LEFT(I17:M17,2))=MAX(VALUE(LEFT(I17:M17,2))),$I$1:$M$1,""))</f>
        <v>A</v>
      </c>
      <c r="Y17" s="21" t="str">
        <f t="array" ref="Y17">_xlfn.TEXTJOIN(", ",TRUE,IF(VALUE(LEFT(I17:M17,2))=MIN(VALUE(LEFT(I17:M17,2))),$I$1:$M$1,""))</f>
        <v>W</v>
      </c>
    </row>
    <row r="18" ht="15.75" spans="1:25">
      <c r="A18" s="649" t="s">
        <v>374</v>
      </c>
      <c r="B18" s="649" t="s">
        <v>375</v>
      </c>
      <c r="C18" s="21" t="s">
        <v>376</v>
      </c>
      <c r="D18" s="21" t="s">
        <v>314</v>
      </c>
      <c r="E18" s="21" t="s">
        <v>377</v>
      </c>
      <c r="F18" s="21" t="s">
        <v>378</v>
      </c>
      <c r="H18" s="21" t="s">
        <v>379</v>
      </c>
      <c r="I18" s="21" t="s">
        <v>380</v>
      </c>
      <c r="J18" s="21" t="s">
        <v>298</v>
      </c>
      <c r="K18" s="21" t="s">
        <v>309</v>
      </c>
      <c r="L18" s="21" t="s">
        <v>298</v>
      </c>
      <c r="M18" s="21" t="s">
        <v>298</v>
      </c>
      <c r="N18" s="689" t="s">
        <v>17</v>
      </c>
      <c r="O18" s="689" t="s">
        <v>15</v>
      </c>
      <c r="P18" s="692"/>
      <c r="S18" s="689" t="s">
        <v>289</v>
      </c>
      <c r="T18" s="696" t="s">
        <v>290</v>
      </c>
      <c r="U18" s="696" t="s">
        <v>292</v>
      </c>
      <c r="V18" s="696" t="s">
        <v>290</v>
      </c>
      <c r="W18" s="689" t="s">
        <v>289</v>
      </c>
      <c r="X18" s="21" t="str">
        <f t="array" ref="X18">_xlfn.TEXTJOIN(", ",TRUE,IF(VALUE(LEFT(I18:M18,2))=MAX(VALUE(LEFT(I18:M18,2))),$I$1:$M$1,""))</f>
        <v>I</v>
      </c>
      <c r="Y18" s="21" t="str">
        <f t="array" ref="Y18">_xlfn.TEXTJOIN(", ",TRUE,IF(VALUE(LEFT(I18:M18,2))=MIN(VALUE(LEFT(I18:M18,2))),$I$1:$M$1,""))</f>
        <v>W</v>
      </c>
    </row>
    <row r="19" ht="15.75" spans="1:25">
      <c r="A19" s="649" t="s">
        <v>381</v>
      </c>
      <c r="B19" s="649" t="s">
        <v>382</v>
      </c>
      <c r="C19" s="21" t="s">
        <v>376</v>
      </c>
      <c r="D19" s="21" t="s">
        <v>323</v>
      </c>
      <c r="E19" s="21" t="s">
        <v>383</v>
      </c>
      <c r="F19" s="21" t="s">
        <v>384</v>
      </c>
      <c r="H19" s="21" t="s">
        <v>385</v>
      </c>
      <c r="I19" s="21" t="s">
        <v>386</v>
      </c>
      <c r="J19" s="21" t="s">
        <v>309</v>
      </c>
      <c r="K19" s="21" t="s">
        <v>298</v>
      </c>
      <c r="L19" s="21" t="s">
        <v>298</v>
      </c>
      <c r="M19" s="21" t="s">
        <v>386</v>
      </c>
      <c r="N19" s="689" t="s">
        <v>16</v>
      </c>
      <c r="O19" s="689" t="s">
        <v>387</v>
      </c>
      <c r="P19" s="692"/>
      <c r="S19" s="689" t="s">
        <v>289</v>
      </c>
      <c r="T19" s="689" t="s">
        <v>289</v>
      </c>
      <c r="U19" s="696" t="s">
        <v>290</v>
      </c>
      <c r="V19" s="696" t="s">
        <v>290</v>
      </c>
      <c r="W19" s="696" t="s">
        <v>290</v>
      </c>
      <c r="X19" s="21" t="str">
        <f t="array" ref="X19">_xlfn.TEXTJOIN(", ",TRUE,IF(VALUE(LEFT(I19:M19,2))=MAX(VALUE(LEFT(I19:M19,2))),$I$1:$M$1,""))</f>
        <v>A</v>
      </c>
      <c r="Y19" s="21" t="str">
        <f t="array" ref="Y19">_xlfn.TEXTJOIN(", ",TRUE,IF(VALUE(LEFT(I19:M19,2))=MIN(VALUE(LEFT(I19:M19,2))),$I$1:$M$1,""))</f>
        <v>W, U</v>
      </c>
    </row>
    <row r="20" ht="15.75" spans="1:25">
      <c r="A20" s="687" t="s">
        <v>388</v>
      </c>
      <c r="B20" s="687" t="s">
        <v>389</v>
      </c>
      <c r="I20" s="648" t="s">
        <v>310</v>
      </c>
      <c r="J20" s="648" t="s">
        <v>310</v>
      </c>
      <c r="K20" s="648" t="s">
        <v>300</v>
      </c>
      <c r="L20" s="648" t="s">
        <v>300</v>
      </c>
      <c r="M20" s="648" t="s">
        <v>300</v>
      </c>
      <c r="N20" s="691"/>
      <c r="O20" s="691"/>
      <c r="P20" s="21" t="s">
        <v>390</v>
      </c>
      <c r="S20" s="689" t="s">
        <v>289</v>
      </c>
      <c r="T20" s="696" t="s">
        <v>292</v>
      </c>
      <c r="U20" s="696" t="s">
        <v>292</v>
      </c>
      <c r="V20" s="689" t="s">
        <v>289</v>
      </c>
      <c r="W20" s="689" t="s">
        <v>289</v>
      </c>
      <c r="X20" s="21" t="str">
        <f t="array" ref="X20">_xlfn.TEXTJOIN(", ",TRUE,IF(VALUE(LEFT(I20:M20,2))=MAX(VALUE(LEFT(I20:M20,2))),$I$1:$M$1,""))</f>
        <v>I, F, U</v>
      </c>
      <c r="Y20" s="21" t="str">
        <f t="array" ref="Y20">_xlfn.TEXTJOIN(", ",TRUE,IF(VALUE(LEFT(I20:M20,2))=MIN(VALUE(LEFT(I20:M20,2))),$I$1:$M$1,""))</f>
        <v>W, A</v>
      </c>
    </row>
    <row r="21" ht="15.75" spans="1:25">
      <c r="A21" s="687" t="s">
        <v>391</v>
      </c>
      <c r="B21" s="687" t="s">
        <v>392</v>
      </c>
      <c r="I21" s="648" t="s">
        <v>300</v>
      </c>
      <c r="J21" s="648" t="s">
        <v>299</v>
      </c>
      <c r="K21" s="648" t="s">
        <v>300</v>
      </c>
      <c r="L21" s="648" t="s">
        <v>309</v>
      </c>
      <c r="M21" s="648" t="s">
        <v>300</v>
      </c>
      <c r="N21" s="691"/>
      <c r="O21" s="691"/>
      <c r="S21" s="696" t="s">
        <v>292</v>
      </c>
      <c r="T21" s="689" t="s">
        <v>289</v>
      </c>
      <c r="U21" s="696" t="s">
        <v>292</v>
      </c>
      <c r="V21" s="696" t="s">
        <v>290</v>
      </c>
      <c r="W21" s="689" t="s">
        <v>289</v>
      </c>
      <c r="X21" s="21" t="str">
        <f t="array" ref="X21">_xlfn.TEXTJOIN(", ",TRUE,IF(VALUE(LEFT(I21:M21,2))=MAX(VALUE(LEFT(I21:M21,2))),$I$1:$M$1,""))</f>
        <v>A</v>
      </c>
      <c r="Y21" s="21" t="str">
        <f t="array" ref="Y21">_xlfn.TEXTJOIN(", ",TRUE,IF(VALUE(LEFT(I21:M21,2))=MIN(VALUE(LEFT(I21:M21,2))),$I$1:$M$1,""))</f>
        <v>W, I, U</v>
      </c>
    </row>
    <row r="22" ht="15.75" spans="1:25">
      <c r="A22" s="649" t="s">
        <v>174</v>
      </c>
      <c r="B22" s="649" t="s">
        <v>393</v>
      </c>
      <c r="C22" s="21" t="s">
        <v>394</v>
      </c>
      <c r="D22" s="21" t="s">
        <v>314</v>
      </c>
      <c r="E22" s="21" t="s">
        <v>395</v>
      </c>
      <c r="F22" s="21" t="s">
        <v>396</v>
      </c>
      <c r="G22" s="21" t="s">
        <v>397</v>
      </c>
      <c r="H22" s="21" t="s">
        <v>175</v>
      </c>
      <c r="I22" s="21" t="s">
        <v>300</v>
      </c>
      <c r="J22" s="21" t="s">
        <v>362</v>
      </c>
      <c r="K22" s="21" t="s">
        <v>300</v>
      </c>
      <c r="L22" s="21" t="s">
        <v>298</v>
      </c>
      <c r="M22" s="21" t="s">
        <v>300</v>
      </c>
      <c r="N22" s="689" t="s">
        <v>398</v>
      </c>
      <c r="O22" s="689" t="s">
        <v>16</v>
      </c>
      <c r="P22" s="692"/>
      <c r="S22" s="689" t="s">
        <v>289</v>
      </c>
      <c r="T22" s="696" t="s">
        <v>292</v>
      </c>
      <c r="U22" s="689" t="s">
        <v>289</v>
      </c>
      <c r="V22" s="689" t="s">
        <v>289</v>
      </c>
      <c r="W22" s="689" t="s">
        <v>289</v>
      </c>
      <c r="X22" s="21" t="str">
        <f t="array" ref="X22">_xlfn.TEXTJOIN(", ",TRUE,IF(VALUE(LEFT(I22:M22,2))=MAX(VALUE(LEFT(I22:M22,2))),$I$1:$M$1,""))</f>
        <v>W, I, U</v>
      </c>
      <c r="Y22" s="21" t="str">
        <f t="array" ref="Y22">_xlfn.TEXTJOIN(", ",TRUE,IF(VALUE(LEFT(I22:M22,2))=MIN(VALUE(LEFT(I22:M22,2))),$I$1:$M$1,""))</f>
        <v>A</v>
      </c>
    </row>
    <row r="23" ht="15.75" spans="1:25">
      <c r="A23" s="649" t="s">
        <v>167</v>
      </c>
      <c r="B23" s="649" t="s">
        <v>399</v>
      </c>
      <c r="C23" s="21" t="s">
        <v>400</v>
      </c>
      <c r="D23" s="21" t="s">
        <v>323</v>
      </c>
      <c r="E23" s="21" t="s">
        <v>401</v>
      </c>
      <c r="F23" s="21" t="s">
        <v>402</v>
      </c>
      <c r="G23" s="21" t="s">
        <v>403</v>
      </c>
      <c r="H23" s="21" t="s">
        <v>404</v>
      </c>
      <c r="I23" s="21" t="s">
        <v>309</v>
      </c>
      <c r="J23" s="21" t="s">
        <v>310</v>
      </c>
      <c r="K23" s="21" t="s">
        <v>310</v>
      </c>
      <c r="L23" s="21" t="s">
        <v>298</v>
      </c>
      <c r="M23" s="21" t="s">
        <v>298</v>
      </c>
      <c r="N23" s="689" t="s">
        <v>15</v>
      </c>
      <c r="O23" s="689" t="s">
        <v>319</v>
      </c>
      <c r="P23" s="692"/>
      <c r="S23" s="696" t="s">
        <v>292</v>
      </c>
      <c r="T23" s="689" t="s">
        <v>289</v>
      </c>
      <c r="U23" s="696" t="s">
        <v>292</v>
      </c>
      <c r="V23" s="689" t="s">
        <v>289</v>
      </c>
      <c r="W23" s="689" t="s">
        <v>289</v>
      </c>
      <c r="X23" s="21" t="str">
        <f t="array" ref="X23">_xlfn.TEXTJOIN(", ",TRUE,IF(VALUE(LEFT(I23:M23,2))=MAX(VALUE(LEFT(I23:M23,2))),$I$1:$M$1,""))</f>
        <v>W</v>
      </c>
      <c r="Y23" s="21" t="str">
        <f t="array" ref="Y23">_xlfn.TEXTJOIN(", ",TRUE,IF(VALUE(LEFT(I23:M23,2))=MIN(VALUE(LEFT(I23:M23,2))),$I$1:$M$1,""))</f>
        <v>A, I</v>
      </c>
    </row>
    <row r="24" ht="15.75" spans="1:25">
      <c r="A24" s="649" t="s">
        <v>405</v>
      </c>
      <c r="B24" s="649" t="s">
        <v>406</v>
      </c>
      <c r="C24" s="21" t="s">
        <v>347</v>
      </c>
      <c r="D24" s="21" t="s">
        <v>305</v>
      </c>
      <c r="E24" s="21" t="s">
        <v>407</v>
      </c>
      <c r="F24" s="21" t="s">
        <v>408</v>
      </c>
      <c r="H24" s="21" t="s">
        <v>409</v>
      </c>
      <c r="I24" s="21" t="s">
        <v>300</v>
      </c>
      <c r="J24" s="21" t="s">
        <v>310</v>
      </c>
      <c r="K24" s="21" t="s">
        <v>299</v>
      </c>
      <c r="L24" s="21" t="s">
        <v>300</v>
      </c>
      <c r="M24" s="21" t="s">
        <v>299</v>
      </c>
      <c r="N24" s="689" t="s">
        <v>410</v>
      </c>
      <c r="O24" s="689" t="s">
        <v>16</v>
      </c>
      <c r="P24" s="692"/>
      <c r="S24" s="689" t="s">
        <v>289</v>
      </c>
      <c r="T24" s="689" t="s">
        <v>289</v>
      </c>
      <c r="U24" s="696" t="s">
        <v>292</v>
      </c>
      <c r="V24" s="689" t="s">
        <v>289</v>
      </c>
      <c r="W24" s="696" t="s">
        <v>290</v>
      </c>
      <c r="X24" s="21" t="str">
        <f t="array" ref="X24">_xlfn.TEXTJOIN(", ",TRUE,IF(VALUE(LEFT(I24:M24,2))=MAX(VALUE(LEFT(I24:M24,2))),$I$1:$M$1,""))</f>
        <v>I, U</v>
      </c>
      <c r="Y24" s="21" t="str">
        <f t="array" ref="Y24">_xlfn.TEXTJOIN(", ",TRUE,IF(VALUE(LEFT(I24:M24,2))=MIN(VALUE(LEFT(I24:M24,2))),$I$1:$M$1,""))</f>
        <v>A</v>
      </c>
    </row>
    <row r="25" ht="15.75" spans="1:25">
      <c r="A25" s="649" t="s">
        <v>180</v>
      </c>
      <c r="B25" s="649" t="s">
        <v>411</v>
      </c>
      <c r="C25" s="21" t="s">
        <v>412</v>
      </c>
      <c r="D25" s="21" t="s">
        <v>314</v>
      </c>
      <c r="E25" s="21" t="s">
        <v>413</v>
      </c>
      <c r="F25" s="21" t="s">
        <v>414</v>
      </c>
      <c r="H25" s="21" t="s">
        <v>181</v>
      </c>
      <c r="I25" s="21" t="s">
        <v>299</v>
      </c>
      <c r="J25" s="21" t="s">
        <v>300</v>
      </c>
      <c r="K25" s="21" t="s">
        <v>309</v>
      </c>
      <c r="L25" s="21" t="s">
        <v>298</v>
      </c>
      <c r="M25" s="21" t="s">
        <v>309</v>
      </c>
      <c r="N25" s="689" t="s">
        <v>15</v>
      </c>
      <c r="O25" s="689" t="s">
        <v>18</v>
      </c>
      <c r="P25" s="692"/>
      <c r="S25" s="689" t="s">
        <v>289</v>
      </c>
      <c r="T25" s="689" t="s">
        <v>289</v>
      </c>
      <c r="U25" s="689" t="s">
        <v>289</v>
      </c>
      <c r="V25" s="696" t="s">
        <v>290</v>
      </c>
      <c r="W25" s="696" t="s">
        <v>290</v>
      </c>
      <c r="X25" s="21" t="str">
        <f t="array" ref="X25">_xlfn.TEXTJOIN(", ",TRUE,IF(VALUE(LEFT(I25:M25,2))=MAX(VALUE(LEFT(I25:M25,2))),$I$1:$M$1,""))</f>
        <v>W</v>
      </c>
      <c r="Y25" s="21" t="str">
        <f t="array" ref="Y25">_xlfn.TEXTJOIN(", ",TRUE,IF(VALUE(LEFT(I25:M25,2))=MIN(VALUE(LEFT(I25:M25,2))),$I$1:$M$1,""))</f>
        <v>F</v>
      </c>
    </row>
    <row r="26" ht="15.75" spans="1:25">
      <c r="A26" s="649" t="s">
        <v>138</v>
      </c>
      <c r="B26" s="649" t="s">
        <v>415</v>
      </c>
      <c r="C26" s="21" t="s">
        <v>416</v>
      </c>
      <c r="D26" s="21" t="s">
        <v>323</v>
      </c>
      <c r="E26" s="21" t="s">
        <v>417</v>
      </c>
      <c r="F26" s="21" t="s">
        <v>418</v>
      </c>
      <c r="H26" s="21" t="s">
        <v>419</v>
      </c>
      <c r="I26" s="21" t="s">
        <v>310</v>
      </c>
      <c r="J26" s="21" t="s">
        <v>310</v>
      </c>
      <c r="K26" s="21" t="s">
        <v>310</v>
      </c>
      <c r="L26" s="21" t="s">
        <v>310</v>
      </c>
      <c r="M26" s="21" t="s">
        <v>310</v>
      </c>
      <c r="N26" s="693" t="s">
        <v>420</v>
      </c>
      <c r="O26" s="689"/>
      <c r="P26" s="692"/>
      <c r="S26" s="696" t="s">
        <v>290</v>
      </c>
      <c r="T26" s="696" t="s">
        <v>292</v>
      </c>
      <c r="U26" s="696" t="s">
        <v>292</v>
      </c>
      <c r="V26" s="696" t="s">
        <v>292</v>
      </c>
      <c r="W26" s="696" t="s">
        <v>290</v>
      </c>
      <c r="X26" s="21" t="str">
        <f t="array" ref="X26">_xlfn.TEXTJOIN(", ",TRUE,IF(VALUE(LEFT(I26:M26,2))=MAX(VALUE(LEFT(I26:M26,2))),$I$1:$M$1,""))</f>
        <v>W, A, I, F, U</v>
      </c>
      <c r="Y26" s="21" t="str">
        <f t="array" ref="Y26">_xlfn.TEXTJOIN(", ",TRUE,IF(VALUE(LEFT(I26:M26,2))=MIN(VALUE(LEFT(I26:M26,2))),$I$1:$M$1,""))</f>
        <v>W, A, I, F, U</v>
      </c>
    </row>
    <row r="27" ht="15.75" spans="1:25">
      <c r="A27" s="649" t="s">
        <v>421</v>
      </c>
      <c r="B27" s="649" t="s">
        <v>422</v>
      </c>
      <c r="C27" s="21" t="s">
        <v>347</v>
      </c>
      <c r="D27" s="21" t="s">
        <v>305</v>
      </c>
      <c r="E27" s="21" t="s">
        <v>423</v>
      </c>
      <c r="F27" s="21" t="s">
        <v>424</v>
      </c>
      <c r="H27" s="21" t="s">
        <v>425</v>
      </c>
      <c r="I27" s="21" t="s">
        <v>299</v>
      </c>
      <c r="J27" s="21" t="s">
        <v>298</v>
      </c>
      <c r="K27" s="21" t="s">
        <v>300</v>
      </c>
      <c r="L27" s="21" t="s">
        <v>299</v>
      </c>
      <c r="M27" s="21" t="s">
        <v>298</v>
      </c>
      <c r="N27" s="689" t="s">
        <v>329</v>
      </c>
      <c r="O27" s="689" t="s">
        <v>344</v>
      </c>
      <c r="P27" s="692"/>
      <c r="S27" s="689" t="s">
        <v>289</v>
      </c>
      <c r="T27" s="696" t="s">
        <v>292</v>
      </c>
      <c r="U27" s="689" t="s">
        <v>289</v>
      </c>
      <c r="V27" s="696" t="s">
        <v>292</v>
      </c>
      <c r="W27" s="696" t="s">
        <v>292</v>
      </c>
      <c r="X27" s="21" t="str">
        <f t="array" ref="X27">_xlfn.TEXTJOIN(", ",TRUE,IF(VALUE(LEFT(I27:M27,2))=MAX(VALUE(LEFT(I27:M27,2))),$I$1:$M$1,""))</f>
        <v>W, F</v>
      </c>
      <c r="Y27" s="21" t="str">
        <f t="array" ref="Y27">_xlfn.TEXTJOIN(", ",TRUE,IF(VALUE(LEFT(I27:M27,2))=MIN(VALUE(LEFT(I27:M27,2))),$I$1:$M$1,""))</f>
        <v>A, U</v>
      </c>
    </row>
    <row r="28" ht="15.75" spans="1:25">
      <c r="A28" s="649" t="s">
        <v>150</v>
      </c>
      <c r="B28" s="649" t="s">
        <v>426</v>
      </c>
      <c r="C28" s="21" t="s">
        <v>416</v>
      </c>
      <c r="D28" s="21" t="s">
        <v>305</v>
      </c>
      <c r="E28" s="21" t="s">
        <v>427</v>
      </c>
      <c r="F28" s="21" t="s">
        <v>428</v>
      </c>
      <c r="H28" s="21" t="s">
        <v>429</v>
      </c>
      <c r="I28" s="21" t="s">
        <v>430</v>
      </c>
      <c r="J28" s="21" t="s">
        <v>298</v>
      </c>
      <c r="K28" s="21" t="s">
        <v>430</v>
      </c>
      <c r="L28" s="21" t="s">
        <v>298</v>
      </c>
      <c r="M28" s="21" t="s">
        <v>310</v>
      </c>
      <c r="N28" s="689" t="s">
        <v>431</v>
      </c>
      <c r="O28" s="689" t="s">
        <v>311</v>
      </c>
      <c r="P28" s="692"/>
      <c r="S28" s="689" t="s">
        <v>289</v>
      </c>
      <c r="T28" s="696" t="s">
        <v>292</v>
      </c>
      <c r="U28" s="696" t="s">
        <v>290</v>
      </c>
      <c r="V28" s="696" t="s">
        <v>292</v>
      </c>
      <c r="W28" s="696" t="s">
        <v>290</v>
      </c>
      <c r="X28" s="21" t="str">
        <f t="array" ref="X28">_xlfn.TEXTJOIN(", ",TRUE,IF(VALUE(LEFT(I28:M28,2))=MAX(VALUE(LEFT(I28:M28,2))),$I$1:$M$1,""))</f>
        <v>A, F</v>
      </c>
      <c r="Y28" s="21" t="str">
        <f t="array" ref="Y28">_xlfn.TEXTJOIN(", ",TRUE,IF(VALUE(LEFT(I28:M28,2))=MIN(VALUE(LEFT(I28:M28,2))),$I$1:$M$1,""))</f>
        <v>W, I</v>
      </c>
    </row>
    <row r="29" ht="15.75" spans="1:25">
      <c r="A29" s="687" t="s">
        <v>432</v>
      </c>
      <c r="B29" s="687" t="s">
        <v>433</v>
      </c>
      <c r="H29" s="21" t="s">
        <v>434</v>
      </c>
      <c r="I29" s="648" t="s">
        <v>310</v>
      </c>
      <c r="J29" s="648" t="s">
        <v>300</v>
      </c>
      <c r="K29" s="648" t="s">
        <v>300</v>
      </c>
      <c r="L29" s="648" t="s">
        <v>300</v>
      </c>
      <c r="M29" s="648" t="s">
        <v>310</v>
      </c>
      <c r="N29" s="691"/>
      <c r="O29" s="691"/>
      <c r="S29" s="696" t="s">
        <v>292</v>
      </c>
      <c r="T29" s="696" t="s">
        <v>292</v>
      </c>
      <c r="U29" s="696" t="s">
        <v>292</v>
      </c>
      <c r="V29" s="696" t="s">
        <v>290</v>
      </c>
      <c r="W29" s="689" t="s">
        <v>289</v>
      </c>
      <c r="X29" s="21" t="str">
        <f t="array" ref="X29">_xlfn.TEXTJOIN(", ",TRUE,IF(VALUE(LEFT(I29:M29,2))=MAX(VALUE(LEFT(I29:M29,2))),$I$1:$M$1,""))</f>
        <v>A, I, F</v>
      </c>
      <c r="Y29" s="21" t="str">
        <f t="array" ref="Y29">_xlfn.TEXTJOIN(", ",TRUE,IF(VALUE(LEFT(I29:M29,2))=MIN(VALUE(LEFT(I29:M29,2))),$I$1:$M$1,""))</f>
        <v>W, U</v>
      </c>
    </row>
    <row r="30" ht="15.75" spans="1:25">
      <c r="A30" s="687" t="s">
        <v>435</v>
      </c>
      <c r="B30" s="687" t="s">
        <v>436</v>
      </c>
      <c r="G30" s="21" t="s">
        <v>437</v>
      </c>
      <c r="I30" s="648" t="s">
        <v>309</v>
      </c>
      <c r="J30" s="648" t="s">
        <v>309</v>
      </c>
      <c r="K30" s="648" t="s">
        <v>298</v>
      </c>
      <c r="L30" s="648" t="s">
        <v>299</v>
      </c>
      <c r="M30" s="648" t="s">
        <v>300</v>
      </c>
      <c r="N30" s="691"/>
      <c r="O30" s="691"/>
      <c r="S30" s="689" t="s">
        <v>289</v>
      </c>
      <c r="T30" s="696" t="s">
        <v>290</v>
      </c>
      <c r="U30" s="696" t="s">
        <v>292</v>
      </c>
      <c r="V30" s="696" t="s">
        <v>292</v>
      </c>
      <c r="W30" s="696" t="s">
        <v>292</v>
      </c>
      <c r="X30" s="21" t="str">
        <f t="array" ref="X30">_xlfn.TEXTJOIN(", ",TRUE,IF(VALUE(LEFT(I30:M30,2))=MAX(VALUE(LEFT(I30:M30,2))),$I$1:$M$1,""))</f>
        <v>F</v>
      </c>
      <c r="Y30" s="21" t="str">
        <f t="array" ref="Y30">_xlfn.TEXTJOIN(", ",TRUE,IF(VALUE(LEFT(I30:M30,2))=MIN(VALUE(LEFT(I30:M30,2))),$I$1:$M$1,""))</f>
        <v>I</v>
      </c>
    </row>
    <row r="31" ht="15.75" spans="1:25">
      <c r="A31" s="649" t="s">
        <v>170</v>
      </c>
      <c r="B31" s="649" t="s">
        <v>438</v>
      </c>
      <c r="C31" s="21" t="s">
        <v>376</v>
      </c>
      <c r="D31" s="21" t="s">
        <v>305</v>
      </c>
      <c r="E31" s="21" t="s">
        <v>439</v>
      </c>
      <c r="F31" s="21" t="s">
        <v>440</v>
      </c>
      <c r="G31" s="21" t="s">
        <v>441</v>
      </c>
      <c r="H31" s="21" t="s">
        <v>442</v>
      </c>
      <c r="I31" s="21" t="s">
        <v>309</v>
      </c>
      <c r="J31" s="21" t="s">
        <v>309</v>
      </c>
      <c r="K31" s="21" t="s">
        <v>309</v>
      </c>
      <c r="L31" s="21" t="s">
        <v>300</v>
      </c>
      <c r="M31" s="21" t="s">
        <v>309</v>
      </c>
      <c r="N31" s="693" t="s">
        <v>443</v>
      </c>
      <c r="O31" s="689" t="s">
        <v>18</v>
      </c>
      <c r="P31" s="692"/>
      <c r="S31" s="696" t="s">
        <v>290</v>
      </c>
      <c r="T31" s="696" t="s">
        <v>292</v>
      </c>
      <c r="U31" s="696" t="s">
        <v>290</v>
      </c>
      <c r="V31" s="689" t="s">
        <v>289</v>
      </c>
      <c r="W31" s="696" t="s">
        <v>290</v>
      </c>
      <c r="X31" s="21" t="str">
        <f t="array" ref="X31">_xlfn.TEXTJOIN(", ",TRUE,IF(VALUE(LEFT(I31:M31,2))=MAX(VALUE(LEFT(I31:M31,2))),$I$1:$M$1,""))</f>
        <v>W, A, I, U</v>
      </c>
      <c r="Y31" s="21" t="str">
        <f t="array" ref="Y31">_xlfn.TEXTJOIN(", ",TRUE,IF(VALUE(LEFT(I31:M31,2))=MIN(VALUE(LEFT(I31:M31,2))),$I$1:$M$1,""))</f>
        <v>F</v>
      </c>
    </row>
    <row r="32" ht="15.75" spans="1:25">
      <c r="A32" s="649" t="s">
        <v>444</v>
      </c>
      <c r="B32" s="649" t="s">
        <v>445</v>
      </c>
      <c r="C32" s="21" t="s">
        <v>322</v>
      </c>
      <c r="D32" s="21" t="s">
        <v>314</v>
      </c>
      <c r="E32" s="21" t="s">
        <v>446</v>
      </c>
      <c r="F32" s="21" t="s">
        <v>340</v>
      </c>
      <c r="G32" s="21" t="s">
        <v>341</v>
      </c>
      <c r="H32" s="21" t="s">
        <v>342</v>
      </c>
      <c r="I32" s="21" t="s">
        <v>328</v>
      </c>
      <c r="J32" s="21" t="s">
        <v>310</v>
      </c>
      <c r="K32" s="21" t="s">
        <v>318</v>
      </c>
      <c r="L32" s="21" t="s">
        <v>310</v>
      </c>
      <c r="M32" s="21" t="s">
        <v>343</v>
      </c>
      <c r="N32" s="689" t="s">
        <v>431</v>
      </c>
      <c r="O32" s="689" t="s">
        <v>19</v>
      </c>
      <c r="P32" s="692"/>
      <c r="S32" s="689" t="s">
        <v>289</v>
      </c>
      <c r="T32" s="696" t="s">
        <v>292</v>
      </c>
      <c r="U32" s="689" t="s">
        <v>289</v>
      </c>
      <c r="V32" s="689" t="s">
        <v>289</v>
      </c>
      <c r="W32" s="689" t="s">
        <v>289</v>
      </c>
      <c r="X32" s="21" t="str">
        <f t="array" ref="X32">_xlfn.TEXTJOIN(", ",TRUE,IF(VALUE(LEFT(I32:M32,2))=MAX(VALUE(LEFT(I32:M32,2))),$I$1:$M$1,""))</f>
        <v>A, F</v>
      </c>
      <c r="Y32" s="21" t="str">
        <f t="array" ref="Y32">_xlfn.TEXTJOIN(", ",TRUE,IF(VALUE(LEFT(I32:M32,2))=MIN(VALUE(LEFT(I32:M32,2))),$I$1:$M$1,""))</f>
        <v>U</v>
      </c>
    </row>
    <row r="33" ht="15.75" spans="1:25">
      <c r="A33" s="687" t="s">
        <v>447</v>
      </c>
      <c r="B33" s="687" t="s">
        <v>448</v>
      </c>
      <c r="I33" s="648" t="s">
        <v>299</v>
      </c>
      <c r="J33" s="648" t="s">
        <v>309</v>
      </c>
      <c r="K33" s="648" t="s">
        <v>300</v>
      </c>
      <c r="L33" s="648" t="s">
        <v>309</v>
      </c>
      <c r="M33" s="648" t="s">
        <v>300</v>
      </c>
      <c r="N33" s="691"/>
      <c r="O33" s="691"/>
      <c r="S33" s="696" t="s">
        <v>290</v>
      </c>
      <c r="T33" s="696" t="s">
        <v>292</v>
      </c>
      <c r="U33" s="689" t="s">
        <v>289</v>
      </c>
      <c r="V33" s="689" t="s">
        <v>289</v>
      </c>
      <c r="W33" s="689" t="s">
        <v>289</v>
      </c>
      <c r="X33" s="21" t="str">
        <f t="array" ref="X33">_xlfn.TEXTJOIN(", ",TRUE,IF(VALUE(LEFT(I33:M33,2))=MAX(VALUE(LEFT(I33:M33,2))),$I$1:$M$1,""))</f>
        <v>W</v>
      </c>
      <c r="Y33" s="21" t="str">
        <f t="array" ref="Y33">_xlfn.TEXTJOIN(", ",TRUE,IF(VALUE(LEFT(I33:M33,2))=MIN(VALUE(LEFT(I33:M33,2))),$I$1:$M$1,""))</f>
        <v>I, U</v>
      </c>
    </row>
    <row r="34" ht="15.75" spans="1:25">
      <c r="A34" s="649" t="s">
        <v>449</v>
      </c>
      <c r="B34" s="649" t="s">
        <v>450</v>
      </c>
      <c r="C34" s="21" t="s">
        <v>376</v>
      </c>
      <c r="D34" s="21" t="s">
        <v>323</v>
      </c>
      <c r="E34" s="21" t="s">
        <v>451</v>
      </c>
      <c r="F34" s="21" t="s">
        <v>452</v>
      </c>
      <c r="G34" s="21" t="s">
        <v>453</v>
      </c>
      <c r="H34" s="21" t="s">
        <v>454</v>
      </c>
      <c r="I34" s="21" t="s">
        <v>298</v>
      </c>
      <c r="J34" s="21" t="s">
        <v>298</v>
      </c>
      <c r="K34" s="21" t="s">
        <v>380</v>
      </c>
      <c r="L34" s="21" t="s">
        <v>310</v>
      </c>
      <c r="M34" s="21" t="s">
        <v>380</v>
      </c>
      <c r="N34" s="689" t="s">
        <v>455</v>
      </c>
      <c r="O34" s="689" t="s">
        <v>410</v>
      </c>
      <c r="P34" s="692"/>
      <c r="S34" s="689" t="s">
        <v>289</v>
      </c>
      <c r="T34" s="696" t="s">
        <v>290</v>
      </c>
      <c r="U34" s="689" t="s">
        <v>289</v>
      </c>
      <c r="V34" s="696" t="s">
        <v>290</v>
      </c>
      <c r="W34" s="696" t="s">
        <v>290</v>
      </c>
      <c r="X34" s="21" t="str">
        <f t="array" ref="X34">_xlfn.TEXTJOIN(", ",TRUE,IF(VALUE(LEFT(I34:M34,2))=MAX(VALUE(LEFT(I34:M34,2))),$I$1:$M$1,""))</f>
        <v>W, A</v>
      </c>
      <c r="Y34" s="21" t="str">
        <f t="array" ref="Y34">_xlfn.TEXTJOIN(", ",TRUE,IF(VALUE(LEFT(I34:M34,2))=MIN(VALUE(LEFT(I34:M34,2))),$I$1:$M$1,""))</f>
        <v>I, U</v>
      </c>
    </row>
    <row r="35" ht="15.75" spans="1:25">
      <c r="A35" s="649" t="s">
        <v>456</v>
      </c>
      <c r="B35" s="649" t="s">
        <v>457</v>
      </c>
      <c r="C35" s="21" t="s">
        <v>416</v>
      </c>
      <c r="D35" s="21" t="s">
        <v>314</v>
      </c>
      <c r="E35" s="21" t="s">
        <v>458</v>
      </c>
      <c r="F35" s="21" t="s">
        <v>459</v>
      </c>
      <c r="H35" s="21" t="s">
        <v>460</v>
      </c>
      <c r="I35" s="21" t="s">
        <v>298</v>
      </c>
      <c r="J35" s="21" t="s">
        <v>298</v>
      </c>
      <c r="K35" s="21" t="s">
        <v>430</v>
      </c>
      <c r="L35" s="21" t="s">
        <v>298</v>
      </c>
      <c r="M35" s="21" t="s">
        <v>318</v>
      </c>
      <c r="N35" s="689" t="s">
        <v>351</v>
      </c>
      <c r="O35" s="689" t="s">
        <v>19</v>
      </c>
      <c r="P35" s="692"/>
      <c r="S35" s="696" t="s">
        <v>292</v>
      </c>
      <c r="T35" s="689" t="s">
        <v>289</v>
      </c>
      <c r="U35" s="696" t="s">
        <v>292</v>
      </c>
      <c r="V35" s="696" t="s">
        <v>290</v>
      </c>
      <c r="W35" s="696" t="s">
        <v>292</v>
      </c>
      <c r="X35" s="21" t="str">
        <f t="array" ref="X35">_xlfn.TEXTJOIN(", ",TRUE,IF(VALUE(LEFT(I35:M35,2))=MAX(VALUE(LEFT(I35:M35,2))),$I$1:$M$1,""))</f>
        <v>W, A, F</v>
      </c>
      <c r="Y35" s="21" t="str">
        <f t="array" ref="Y35">_xlfn.TEXTJOIN(", ",TRUE,IF(VALUE(LEFT(I35:M35,2))=MIN(VALUE(LEFT(I35:M35,2))),$I$1:$M$1,""))</f>
        <v>U</v>
      </c>
    </row>
    <row r="36" ht="15.75" spans="1:25">
      <c r="A36" s="649" t="s">
        <v>41</v>
      </c>
      <c r="B36" s="649" t="s">
        <v>461</v>
      </c>
      <c r="C36" s="21" t="s">
        <v>462</v>
      </c>
      <c r="D36" s="21" t="s">
        <v>323</v>
      </c>
      <c r="E36" s="21" t="s">
        <v>463</v>
      </c>
      <c r="F36" s="21" t="s">
        <v>464</v>
      </c>
      <c r="G36" s="21" t="s">
        <v>465</v>
      </c>
      <c r="H36" s="21" t="s">
        <v>466</v>
      </c>
      <c r="I36" s="21" t="s">
        <v>380</v>
      </c>
      <c r="J36" s="21" t="s">
        <v>298</v>
      </c>
      <c r="K36" s="21" t="s">
        <v>300</v>
      </c>
      <c r="L36" s="21" t="s">
        <v>300</v>
      </c>
      <c r="M36" s="21" t="s">
        <v>300</v>
      </c>
      <c r="N36" s="689" t="s">
        <v>467</v>
      </c>
      <c r="O36" s="689" t="s">
        <v>15</v>
      </c>
      <c r="P36" s="692"/>
      <c r="S36" s="689" t="s">
        <v>289</v>
      </c>
      <c r="T36" s="689" t="s">
        <v>289</v>
      </c>
      <c r="U36" s="696" t="s">
        <v>292</v>
      </c>
      <c r="V36" s="696" t="s">
        <v>292</v>
      </c>
      <c r="W36" s="696" t="s">
        <v>292</v>
      </c>
      <c r="X36" s="21" t="str">
        <f t="array" ref="X36">_xlfn.TEXTJOIN(", ",TRUE,IF(VALUE(LEFT(I36:M36,2))=MAX(VALUE(LEFT(I36:M36,2))),$I$1:$M$1,""))</f>
        <v>I, F, U</v>
      </c>
      <c r="Y36" s="21" t="str">
        <f t="array" ref="Y36">_xlfn.TEXTJOIN(", ",TRUE,IF(VALUE(LEFT(I36:M36,2))=MIN(VALUE(LEFT(I36:M36,2))),$I$1:$M$1,""))</f>
        <v>W</v>
      </c>
    </row>
    <row r="37" ht="15.75" spans="1:25">
      <c r="A37" s="687" t="s">
        <v>468</v>
      </c>
      <c r="B37" s="688" t="s">
        <v>469</v>
      </c>
      <c r="I37" s="648" t="s">
        <v>300</v>
      </c>
      <c r="J37" s="648" t="s">
        <v>310</v>
      </c>
      <c r="K37" s="648" t="s">
        <v>309</v>
      </c>
      <c r="L37" s="648" t="s">
        <v>298</v>
      </c>
      <c r="M37" s="648" t="s">
        <v>362</v>
      </c>
      <c r="N37" s="691"/>
      <c r="O37" s="691"/>
      <c r="S37" s="689" t="s">
        <v>289</v>
      </c>
      <c r="T37" s="689" t="s">
        <v>289</v>
      </c>
      <c r="U37" s="689" t="s">
        <v>289</v>
      </c>
      <c r="V37" s="689" t="s">
        <v>289</v>
      </c>
      <c r="W37" s="696" t="s">
        <v>290</v>
      </c>
      <c r="X37" s="21" t="str">
        <f t="array" ref="X37">_xlfn.TEXTJOIN(", ",TRUE,IF(VALUE(LEFT(I37:M37,2))=MAX(VALUE(LEFT(I37:M37,2))),$I$1:$M$1,""))</f>
        <v>I</v>
      </c>
      <c r="Y37" s="21" t="str">
        <f t="array" ref="Y37">_xlfn.TEXTJOIN(", ",TRUE,IF(VALUE(LEFT(I37:M37,2))=MIN(VALUE(LEFT(I37:M37,2))),$I$1:$M$1,""))</f>
        <v>U</v>
      </c>
    </row>
    <row r="38" ht="15.75" spans="1:25">
      <c r="A38" s="649" t="s">
        <v>470</v>
      </c>
      <c r="B38" s="649" t="s">
        <v>471</v>
      </c>
      <c r="C38" s="21" t="s">
        <v>416</v>
      </c>
      <c r="D38" s="21" t="s">
        <v>314</v>
      </c>
      <c r="E38" s="21" t="s">
        <v>472</v>
      </c>
      <c r="F38" s="21" t="s">
        <v>473</v>
      </c>
      <c r="G38" s="21" t="s">
        <v>474</v>
      </c>
      <c r="H38" s="21" t="s">
        <v>475</v>
      </c>
      <c r="I38" s="21" t="s">
        <v>309</v>
      </c>
      <c r="J38" s="21" t="s">
        <v>310</v>
      </c>
      <c r="K38" s="21" t="s">
        <v>309</v>
      </c>
      <c r="L38" s="21" t="s">
        <v>362</v>
      </c>
      <c r="M38" s="21" t="s">
        <v>362</v>
      </c>
      <c r="N38" s="689" t="s">
        <v>311</v>
      </c>
      <c r="O38" s="689" t="s">
        <v>476</v>
      </c>
      <c r="P38" s="692"/>
      <c r="S38" s="696" t="s">
        <v>290</v>
      </c>
      <c r="T38" s="696" t="s">
        <v>292</v>
      </c>
      <c r="U38" s="689" t="s">
        <v>289</v>
      </c>
      <c r="V38" s="696" t="s">
        <v>292</v>
      </c>
      <c r="W38" s="696" t="s">
        <v>292</v>
      </c>
      <c r="X38" s="21" t="str">
        <f t="array" ref="X38">_xlfn.TEXTJOIN(", ",TRUE,IF(VALUE(LEFT(I38:M38,2))=MAX(VALUE(LEFT(I38:M38,2))),$I$1:$M$1,""))</f>
        <v>W, I</v>
      </c>
      <c r="Y38" s="21" t="str">
        <f t="array" ref="Y38">_xlfn.TEXTJOIN(", ",TRUE,IF(VALUE(LEFT(I38:M38,2))=MIN(VALUE(LEFT(I38:M38,2))),$I$1:$M$1,""))</f>
        <v>F, U</v>
      </c>
    </row>
    <row r="39" ht="15.75" spans="1:25">
      <c r="A39" s="649" t="s">
        <v>477</v>
      </c>
      <c r="B39" s="649" t="s">
        <v>478</v>
      </c>
      <c r="C39" s="21" t="s">
        <v>479</v>
      </c>
      <c r="D39" s="21" t="s">
        <v>323</v>
      </c>
      <c r="E39" s="21" t="s">
        <v>480</v>
      </c>
      <c r="F39" s="21" t="s">
        <v>481</v>
      </c>
      <c r="H39" s="21" t="s">
        <v>482</v>
      </c>
      <c r="I39" s="21" t="s">
        <v>483</v>
      </c>
      <c r="J39" s="21" t="s">
        <v>484</v>
      </c>
      <c r="K39" s="21" t="s">
        <v>483</v>
      </c>
      <c r="L39" s="21" t="s">
        <v>485</v>
      </c>
      <c r="M39" s="21" t="s">
        <v>486</v>
      </c>
      <c r="N39" s="689" t="s">
        <v>311</v>
      </c>
      <c r="O39" s="689" t="s">
        <v>18</v>
      </c>
      <c r="P39" s="692"/>
      <c r="S39" s="689" t="s">
        <v>289</v>
      </c>
      <c r="T39" s="696" t="s">
        <v>290</v>
      </c>
      <c r="U39" s="696" t="s">
        <v>292</v>
      </c>
      <c r="V39" s="696" t="s">
        <v>290</v>
      </c>
      <c r="W39" s="689" t="s">
        <v>289</v>
      </c>
      <c r="X39" s="21" t="str">
        <f t="array" ref="X39">_xlfn.TEXTJOIN(", ",TRUE,IF(VALUE(LEFT(I39:M39,2))=MAX(VALUE(LEFT(I39:M39,2))),$I$1:$M$1,""))</f>
        <v>W, I</v>
      </c>
      <c r="Y39" s="21" t="str">
        <f t="array" ref="Y39">_xlfn.TEXTJOIN(", ",TRUE,IF(VALUE(LEFT(I39:M39,2))=MIN(VALUE(LEFT(I39:M39,2))),$I$1:$M$1,""))</f>
        <v>F</v>
      </c>
    </row>
    <row r="40" ht="15.75" spans="1:25">
      <c r="A40" s="649" t="s">
        <v>160</v>
      </c>
      <c r="B40" s="649" t="s">
        <v>487</v>
      </c>
      <c r="C40" s="21" t="s">
        <v>400</v>
      </c>
      <c r="D40" s="21" t="s">
        <v>323</v>
      </c>
      <c r="E40" s="21" t="s">
        <v>488</v>
      </c>
      <c r="F40" s="21" t="s">
        <v>489</v>
      </c>
      <c r="G40" s="21" t="s">
        <v>490</v>
      </c>
      <c r="H40" s="21" t="s">
        <v>491</v>
      </c>
      <c r="I40" s="21" t="s">
        <v>310</v>
      </c>
      <c r="J40" s="21" t="s">
        <v>492</v>
      </c>
      <c r="K40" s="21" t="s">
        <v>493</v>
      </c>
      <c r="L40" s="21" t="s">
        <v>494</v>
      </c>
      <c r="M40" s="21" t="s">
        <v>328</v>
      </c>
      <c r="N40" s="689" t="s">
        <v>15</v>
      </c>
      <c r="O40" s="689" t="s">
        <v>431</v>
      </c>
      <c r="P40" s="692"/>
      <c r="S40" s="691"/>
      <c r="T40" s="691"/>
      <c r="U40" s="689" t="s">
        <v>289</v>
      </c>
      <c r="V40" s="696" t="s">
        <v>292</v>
      </c>
      <c r="W40" s="696" t="s">
        <v>290</v>
      </c>
      <c r="X40" s="21" t="str">
        <f t="array" ref="X40">_xlfn.TEXTJOIN(", ",TRUE,IF(VALUE(LEFT(I40:M40,2))=MAX(VALUE(LEFT(I40:M40,2))),$I$1:$M$1,""))</f>
        <v>W</v>
      </c>
      <c r="Y40" s="21" t="str">
        <f t="array" ref="Y40">_xlfn.TEXTJOIN(", ",TRUE,IF(VALUE(LEFT(I40:M40,2))=MIN(VALUE(LEFT(I40:M40,2))),$I$1:$M$1,""))</f>
        <v>A, F</v>
      </c>
    </row>
    <row r="41" ht="15.75" spans="1:25">
      <c r="A41" s="687" t="s">
        <v>495</v>
      </c>
      <c r="B41" s="687" t="s">
        <v>496</v>
      </c>
      <c r="I41" s="648" t="s">
        <v>299</v>
      </c>
      <c r="J41" s="648" t="s">
        <v>310</v>
      </c>
      <c r="K41" s="648" t="s">
        <v>300</v>
      </c>
      <c r="L41" s="648" t="s">
        <v>300</v>
      </c>
      <c r="M41" s="648" t="s">
        <v>299</v>
      </c>
      <c r="N41" s="691"/>
      <c r="O41" s="691"/>
      <c r="S41" s="689" t="s">
        <v>289</v>
      </c>
      <c r="T41" s="696" t="s">
        <v>292</v>
      </c>
      <c r="U41" s="689" t="s">
        <v>289</v>
      </c>
      <c r="V41" s="689" t="s">
        <v>289</v>
      </c>
      <c r="W41" s="696" t="s">
        <v>292</v>
      </c>
      <c r="X41" s="21" t="str">
        <f t="array" ref="X41">_xlfn.TEXTJOIN(", ",TRUE,IF(VALUE(LEFT(I41:M41,2))=MAX(VALUE(LEFT(I41:M41,2))),$I$1:$M$1,""))</f>
        <v>W, U</v>
      </c>
      <c r="Y41" s="21" t="str">
        <f t="array" ref="Y41">_xlfn.TEXTJOIN(", ",TRUE,IF(VALUE(LEFT(I41:M41,2))=MIN(VALUE(LEFT(I41:M41,2))),$I$1:$M$1,""))</f>
        <v>A</v>
      </c>
    </row>
    <row r="42" ht="15.75" spans="1:25">
      <c r="A42" s="649" t="s">
        <v>176</v>
      </c>
      <c r="B42" s="649" t="s">
        <v>497</v>
      </c>
      <c r="C42" s="21" t="s">
        <v>498</v>
      </c>
      <c r="D42" s="21" t="s">
        <v>323</v>
      </c>
      <c r="E42" s="21" t="s">
        <v>499</v>
      </c>
      <c r="F42" s="21" t="s">
        <v>500</v>
      </c>
      <c r="H42" s="21" t="s">
        <v>177</v>
      </c>
      <c r="I42" s="21" t="s">
        <v>300</v>
      </c>
      <c r="J42" s="21" t="s">
        <v>362</v>
      </c>
      <c r="K42" s="21" t="s">
        <v>298</v>
      </c>
      <c r="L42" s="21" t="s">
        <v>310</v>
      </c>
      <c r="M42" s="21" t="s">
        <v>309</v>
      </c>
      <c r="N42" s="689" t="s">
        <v>19</v>
      </c>
      <c r="O42" s="689" t="s">
        <v>16</v>
      </c>
      <c r="P42" s="692"/>
      <c r="S42" s="696" t="s">
        <v>292</v>
      </c>
      <c r="T42" s="696" t="s">
        <v>290</v>
      </c>
      <c r="U42" s="696" t="s">
        <v>292</v>
      </c>
      <c r="V42" s="696" t="s">
        <v>290</v>
      </c>
      <c r="W42" s="689" t="s">
        <v>289</v>
      </c>
      <c r="X42" s="21" t="str">
        <f t="array" ref="X42">_xlfn.TEXTJOIN(", ",TRUE,IF(VALUE(LEFT(I42:M42,2))=MAX(VALUE(LEFT(I42:M42,2))),$I$1:$M$1,""))</f>
        <v>U</v>
      </c>
      <c r="Y42" s="21" t="str">
        <f t="array" ref="Y42">_xlfn.TEXTJOIN(", ",TRUE,IF(VALUE(LEFT(I42:M42,2))=MIN(VALUE(LEFT(I42:M42,2))),$I$1:$M$1,""))</f>
        <v>A</v>
      </c>
    </row>
    <row r="43" ht="15.75" spans="1:25">
      <c r="A43" s="649" t="s">
        <v>501</v>
      </c>
      <c r="B43" s="649" t="s">
        <v>502</v>
      </c>
      <c r="C43" s="21" t="s">
        <v>376</v>
      </c>
      <c r="D43" s="21" t="s">
        <v>323</v>
      </c>
      <c r="E43" s="21" t="s">
        <v>503</v>
      </c>
      <c r="F43" s="21" t="s">
        <v>504</v>
      </c>
      <c r="G43" s="21" t="s">
        <v>505</v>
      </c>
      <c r="H43" s="21" t="s">
        <v>506</v>
      </c>
      <c r="I43" s="21" t="s">
        <v>318</v>
      </c>
      <c r="J43" s="21" t="s">
        <v>328</v>
      </c>
      <c r="K43" s="21" t="s">
        <v>318</v>
      </c>
      <c r="L43" s="21" t="s">
        <v>328</v>
      </c>
      <c r="M43" s="21" t="s">
        <v>310</v>
      </c>
      <c r="N43" s="689" t="s">
        <v>19</v>
      </c>
      <c r="O43" s="689" t="s">
        <v>311</v>
      </c>
      <c r="P43" s="692"/>
      <c r="S43" s="696" t="s">
        <v>290</v>
      </c>
      <c r="T43" s="689" t="s">
        <v>289</v>
      </c>
      <c r="U43" s="696" t="s">
        <v>292</v>
      </c>
      <c r="V43" s="696" t="s">
        <v>290</v>
      </c>
      <c r="W43" s="696" t="s">
        <v>292</v>
      </c>
      <c r="X43" s="21" t="str">
        <f t="array" ref="X43">_xlfn.TEXTJOIN(", ",TRUE,IF(VALUE(LEFT(I43:M43,2))=MAX(VALUE(LEFT(I43:M43,2))),$I$1:$M$1,""))</f>
        <v>U</v>
      </c>
      <c r="Y43" s="21" t="str">
        <f t="array" ref="Y43">_xlfn.TEXTJOIN(", ",TRUE,IF(VALUE(LEFT(I43:M43,2))=MIN(VALUE(LEFT(I43:M43,2))),$I$1:$M$1,""))</f>
        <v>W, I</v>
      </c>
    </row>
    <row r="44" ht="15.75" spans="1:25">
      <c r="A44" s="649" t="s">
        <v>507</v>
      </c>
      <c r="B44" s="649" t="s">
        <v>508</v>
      </c>
      <c r="C44" s="21" t="s">
        <v>322</v>
      </c>
      <c r="D44" s="21" t="s">
        <v>509</v>
      </c>
      <c r="E44" s="21" t="s">
        <v>510</v>
      </c>
      <c r="F44" s="21" t="s">
        <v>511</v>
      </c>
      <c r="H44" s="21" t="s">
        <v>512</v>
      </c>
      <c r="I44" s="21" t="s">
        <v>310</v>
      </c>
      <c r="J44" s="21" t="s">
        <v>343</v>
      </c>
      <c r="K44" s="21" t="s">
        <v>310</v>
      </c>
      <c r="L44" s="21" t="s">
        <v>318</v>
      </c>
      <c r="M44" s="21" t="s">
        <v>328</v>
      </c>
      <c r="N44" s="689" t="s">
        <v>311</v>
      </c>
      <c r="O44" s="689" t="s">
        <v>16</v>
      </c>
      <c r="P44" s="692"/>
      <c r="S44" s="696" t="s">
        <v>292</v>
      </c>
      <c r="T44" s="696" t="s">
        <v>290</v>
      </c>
      <c r="U44" s="689" t="s">
        <v>289</v>
      </c>
      <c r="V44" s="696" t="s">
        <v>290</v>
      </c>
      <c r="W44" s="689" t="s">
        <v>289</v>
      </c>
      <c r="X44" s="21" t="str">
        <f t="array" ref="X44">_xlfn.TEXTJOIN(", ",TRUE,IF(VALUE(LEFT(I44:M44,2))=MAX(VALUE(LEFT(I44:M44,2))),$I$1:$M$1,""))</f>
        <v>W, I</v>
      </c>
      <c r="Y44" s="21" t="str">
        <f t="array" ref="Y44">_xlfn.TEXTJOIN(", ",TRUE,IF(VALUE(LEFT(I44:M44,2))=MIN(VALUE(LEFT(I44:M44,2))),$I$1:$M$1,""))</f>
        <v>A</v>
      </c>
    </row>
    <row r="45" ht="15.75" spans="1:25">
      <c r="A45" s="687" t="s">
        <v>513</v>
      </c>
      <c r="B45" s="688" t="s">
        <v>514</v>
      </c>
      <c r="I45" s="648" t="s">
        <v>300</v>
      </c>
      <c r="J45" s="648" t="s">
        <v>362</v>
      </c>
      <c r="K45" s="648" t="s">
        <v>515</v>
      </c>
      <c r="L45" s="648" t="s">
        <v>300</v>
      </c>
      <c r="M45" s="648" t="s">
        <v>309</v>
      </c>
      <c r="N45" s="691"/>
      <c r="O45" s="691"/>
      <c r="S45" s="696" t="s">
        <v>290</v>
      </c>
      <c r="T45" s="689" t="s">
        <v>289</v>
      </c>
      <c r="U45" s="696" t="s">
        <v>290</v>
      </c>
      <c r="V45" s="689" t="s">
        <v>289</v>
      </c>
      <c r="W45" s="696" t="s">
        <v>292</v>
      </c>
      <c r="X45" s="21" t="str">
        <f t="array" ref="X45">_xlfn.TEXTJOIN(", ",TRUE,IF(VALUE(LEFT(I45:M45,2))=MAX(VALUE(LEFT(I45:M45,2))),$I$1:$M$1,""))</f>
        <v>U</v>
      </c>
      <c r="Y45" s="21" t="str">
        <f t="array" ref="Y45">_xlfn.TEXTJOIN(", ",TRUE,IF(VALUE(LEFT(I45:M45,2))=MIN(VALUE(LEFT(I45:M45,2))),$I$1:$M$1,""))</f>
        <v>A, I</v>
      </c>
    </row>
    <row r="46" ht="15" spans="1:20">
      <c r="A46" s="649" t="s">
        <v>115</v>
      </c>
      <c r="B46" s="649" t="s">
        <v>516</v>
      </c>
      <c r="C46" s="21" t="s">
        <v>462</v>
      </c>
      <c r="D46" s="21" t="s">
        <v>305</v>
      </c>
      <c r="E46" s="21" t="s">
        <v>517</v>
      </c>
      <c r="F46" s="21" t="s">
        <v>518</v>
      </c>
      <c r="H46" s="21" t="s">
        <v>519</v>
      </c>
      <c r="I46" s="21" t="s">
        <v>343</v>
      </c>
      <c r="J46" s="21" t="s">
        <v>318</v>
      </c>
      <c r="K46" s="21" t="s">
        <v>328</v>
      </c>
      <c r="L46" s="21" t="s">
        <v>310</v>
      </c>
      <c r="M46" s="21" t="s">
        <v>310</v>
      </c>
      <c r="N46" s="694" t="s">
        <v>476</v>
      </c>
      <c r="O46" s="694" t="s">
        <v>15</v>
      </c>
      <c r="P46" s="692"/>
      <c r="S46" s="694" t="s">
        <v>289</v>
      </c>
      <c r="T46" s="697" t="s">
        <v>290</v>
      </c>
    </row>
    <row r="47" ht="15" spans="1:20">
      <c r="A47" s="649" t="s">
        <v>520</v>
      </c>
      <c r="B47" s="649" t="s">
        <v>521</v>
      </c>
      <c r="C47" s="21" t="s">
        <v>338</v>
      </c>
      <c r="D47" s="21" t="s">
        <v>323</v>
      </c>
      <c r="E47" s="21" t="s">
        <v>522</v>
      </c>
      <c r="F47" s="21" t="s">
        <v>523</v>
      </c>
      <c r="H47" s="21" t="s">
        <v>524</v>
      </c>
      <c r="I47" s="21" t="s">
        <v>299</v>
      </c>
      <c r="J47" s="21" t="s">
        <v>298</v>
      </c>
      <c r="K47" s="21" t="s">
        <v>300</v>
      </c>
      <c r="L47" s="21" t="s">
        <v>309</v>
      </c>
      <c r="M47" s="21" t="s">
        <v>309</v>
      </c>
      <c r="N47" s="694" t="s">
        <v>15</v>
      </c>
      <c r="O47" s="694" t="s">
        <v>16</v>
      </c>
      <c r="P47" s="690" t="s">
        <v>525</v>
      </c>
      <c r="S47" s="697" t="s">
        <v>292</v>
      </c>
      <c r="T47" s="697" t="s">
        <v>292</v>
      </c>
    </row>
    <row r="48" ht="15" spans="1:20">
      <c r="A48" s="649" t="s">
        <v>178</v>
      </c>
      <c r="B48" s="649" t="s">
        <v>526</v>
      </c>
      <c r="C48" s="21" t="s">
        <v>313</v>
      </c>
      <c r="D48" s="21" t="s">
        <v>305</v>
      </c>
      <c r="E48" s="21" t="s">
        <v>527</v>
      </c>
      <c r="F48" s="21" t="s">
        <v>528</v>
      </c>
      <c r="H48" s="21" t="s">
        <v>529</v>
      </c>
      <c r="I48" s="21" t="s">
        <v>309</v>
      </c>
      <c r="J48" s="21" t="s">
        <v>299</v>
      </c>
      <c r="K48" s="21" t="s">
        <v>300</v>
      </c>
      <c r="L48" s="21" t="s">
        <v>309</v>
      </c>
      <c r="M48" s="21" t="s">
        <v>298</v>
      </c>
      <c r="N48" s="694" t="s">
        <v>16</v>
      </c>
      <c r="O48" s="694" t="s">
        <v>19</v>
      </c>
      <c r="P48" s="692"/>
      <c r="S48" s="697" t="s">
        <v>290</v>
      </c>
      <c r="T48" s="694" t="s">
        <v>289</v>
      </c>
    </row>
    <row r="49" ht="15" spans="1:20">
      <c r="A49" s="649" t="s">
        <v>157</v>
      </c>
      <c r="B49" s="649" t="s">
        <v>530</v>
      </c>
      <c r="C49" s="21" t="s">
        <v>531</v>
      </c>
      <c r="D49" s="21" t="s">
        <v>314</v>
      </c>
      <c r="E49" s="21" t="s">
        <v>532</v>
      </c>
      <c r="F49" s="21" t="s">
        <v>533</v>
      </c>
      <c r="G49" s="21" t="s">
        <v>490</v>
      </c>
      <c r="H49" s="21" t="s">
        <v>534</v>
      </c>
      <c r="I49" s="21" t="s">
        <v>310</v>
      </c>
      <c r="J49" s="21" t="s">
        <v>310</v>
      </c>
      <c r="K49" s="21" t="s">
        <v>310</v>
      </c>
      <c r="L49" s="21" t="s">
        <v>310</v>
      </c>
      <c r="M49" s="21" t="s">
        <v>310</v>
      </c>
      <c r="N49" s="695" t="s">
        <v>535</v>
      </c>
      <c r="O49" s="694"/>
      <c r="P49" s="692"/>
      <c r="S49" s="698"/>
      <c r="T49" s="698"/>
    </row>
    <row r="50" ht="15" spans="1:16">
      <c r="A50" s="649" t="s">
        <v>141</v>
      </c>
      <c r="B50" s="649" t="s">
        <v>536</v>
      </c>
      <c r="C50" s="21" t="s">
        <v>531</v>
      </c>
      <c r="D50" s="21" t="s">
        <v>314</v>
      </c>
      <c r="E50" s="21" t="s">
        <v>537</v>
      </c>
      <c r="F50" s="21" t="s">
        <v>538</v>
      </c>
      <c r="G50" s="21" t="s">
        <v>490</v>
      </c>
      <c r="H50" s="21" t="s">
        <v>539</v>
      </c>
      <c r="I50" s="21" t="s">
        <v>310</v>
      </c>
      <c r="J50" s="21" t="s">
        <v>310</v>
      </c>
      <c r="K50" s="21" t="s">
        <v>310</v>
      </c>
      <c r="L50" s="21" t="s">
        <v>310</v>
      </c>
      <c r="M50" s="21" t="s">
        <v>310</v>
      </c>
      <c r="N50" s="695" t="s">
        <v>540</v>
      </c>
      <c r="O50" s="694"/>
      <c r="P50" s="692"/>
    </row>
    <row r="51" spans="1:13">
      <c r="A51" s="687" t="s">
        <v>541</v>
      </c>
      <c r="B51" s="687" t="s">
        <v>542</v>
      </c>
      <c r="I51" s="648" t="s">
        <v>300</v>
      </c>
      <c r="J51" s="648" t="s">
        <v>299</v>
      </c>
      <c r="K51" s="648" t="s">
        <v>300</v>
      </c>
      <c r="L51" s="648" t="s">
        <v>309</v>
      </c>
      <c r="M51" s="648" t="s">
        <v>300</v>
      </c>
    </row>
    <row r="52" ht="15" spans="1:16">
      <c r="A52" s="649" t="s">
        <v>543</v>
      </c>
      <c r="B52" s="649" t="s">
        <v>544</v>
      </c>
      <c r="C52" s="21" t="s">
        <v>498</v>
      </c>
      <c r="D52" s="21" t="s">
        <v>314</v>
      </c>
      <c r="E52" s="21" t="s">
        <v>545</v>
      </c>
      <c r="F52" s="21" t="s">
        <v>546</v>
      </c>
      <c r="H52" s="21" t="s">
        <v>547</v>
      </c>
      <c r="I52" s="21" t="s">
        <v>298</v>
      </c>
      <c r="J52" s="21" t="s">
        <v>309</v>
      </c>
      <c r="K52" s="21" t="s">
        <v>309</v>
      </c>
      <c r="L52" s="21" t="s">
        <v>299</v>
      </c>
      <c r="M52" s="21" t="s">
        <v>300</v>
      </c>
      <c r="N52" s="694" t="s">
        <v>18</v>
      </c>
      <c r="O52" s="694" t="s">
        <v>15</v>
      </c>
      <c r="P52" s="692"/>
    </row>
    <row r="53" spans="1:13">
      <c r="A53" s="687" t="s">
        <v>548</v>
      </c>
      <c r="B53" s="687" t="s">
        <v>549</v>
      </c>
      <c r="G53" s="21" t="s">
        <v>550</v>
      </c>
      <c r="H53" s="21" t="s">
        <v>551</v>
      </c>
      <c r="I53" s="648" t="s">
        <v>298</v>
      </c>
      <c r="J53" s="648" t="s">
        <v>309</v>
      </c>
      <c r="K53" s="648" t="s">
        <v>300</v>
      </c>
      <c r="L53" s="648" t="s">
        <v>299</v>
      </c>
      <c r="M53" s="648" t="s">
        <v>309</v>
      </c>
    </row>
    <row r="54" ht="15" spans="1:16">
      <c r="A54" s="649" t="s">
        <v>136</v>
      </c>
      <c r="B54" s="649" t="s">
        <v>552</v>
      </c>
      <c r="C54" s="21" t="s">
        <v>358</v>
      </c>
      <c r="D54" s="21" t="s">
        <v>314</v>
      </c>
      <c r="E54" s="21" t="s">
        <v>553</v>
      </c>
      <c r="F54" s="21" t="s">
        <v>554</v>
      </c>
      <c r="H54" s="21" t="s">
        <v>555</v>
      </c>
      <c r="I54" s="21" t="s">
        <v>298</v>
      </c>
      <c r="J54" s="21" t="s">
        <v>430</v>
      </c>
      <c r="K54" s="21" t="s">
        <v>310</v>
      </c>
      <c r="L54" s="21" t="s">
        <v>430</v>
      </c>
      <c r="M54" s="21" t="s">
        <v>298</v>
      </c>
      <c r="N54" s="694" t="s">
        <v>387</v>
      </c>
      <c r="O54" s="694" t="s">
        <v>431</v>
      </c>
      <c r="P54" s="692"/>
    </row>
    <row r="55" ht="15" spans="1:16">
      <c r="A55" s="649" t="s">
        <v>556</v>
      </c>
      <c r="B55" s="649" t="s">
        <v>557</v>
      </c>
      <c r="C55" s="21" t="s">
        <v>416</v>
      </c>
      <c r="D55" s="21" t="s">
        <v>323</v>
      </c>
      <c r="E55" s="21" t="s">
        <v>558</v>
      </c>
      <c r="F55" s="21" t="s">
        <v>559</v>
      </c>
      <c r="H55" s="21" t="s">
        <v>560</v>
      </c>
      <c r="I55" s="21" t="s">
        <v>309</v>
      </c>
      <c r="J55" s="21" t="s">
        <v>298</v>
      </c>
      <c r="K55" s="21" t="s">
        <v>298</v>
      </c>
      <c r="L55" s="21" t="s">
        <v>298</v>
      </c>
      <c r="M55" s="21" t="s">
        <v>380</v>
      </c>
      <c r="N55" s="694" t="s">
        <v>15</v>
      </c>
      <c r="O55" s="694" t="s">
        <v>19</v>
      </c>
      <c r="P55" s="692"/>
    </row>
    <row r="56" ht="15" spans="1:16">
      <c r="A56" s="649" t="s">
        <v>561</v>
      </c>
      <c r="B56" s="649" t="s">
        <v>562</v>
      </c>
      <c r="C56" s="21" t="s">
        <v>563</v>
      </c>
      <c r="D56" s="21" t="s">
        <v>323</v>
      </c>
      <c r="E56" s="21" t="s">
        <v>564</v>
      </c>
      <c r="F56" s="21" t="s">
        <v>565</v>
      </c>
      <c r="H56" s="21" t="s">
        <v>566</v>
      </c>
      <c r="I56" s="21" t="s">
        <v>310</v>
      </c>
      <c r="J56" s="21" t="s">
        <v>380</v>
      </c>
      <c r="K56" s="21" t="s">
        <v>298</v>
      </c>
      <c r="L56" s="21" t="s">
        <v>298</v>
      </c>
      <c r="M56" s="21" t="s">
        <v>380</v>
      </c>
      <c r="N56" s="694" t="s">
        <v>567</v>
      </c>
      <c r="O56" s="694" t="s">
        <v>344</v>
      </c>
      <c r="P56" s="692"/>
    </row>
    <row r="57" ht="15" spans="1:16">
      <c r="A57" s="649" t="s">
        <v>568</v>
      </c>
      <c r="B57" s="649" t="s">
        <v>569</v>
      </c>
      <c r="C57" s="21" t="s">
        <v>331</v>
      </c>
      <c r="D57" s="21" t="s">
        <v>323</v>
      </c>
      <c r="E57" s="21" t="s">
        <v>570</v>
      </c>
      <c r="F57" s="21" t="s">
        <v>533</v>
      </c>
      <c r="H57" s="21" t="s">
        <v>534</v>
      </c>
      <c r="I57" s="21" t="s">
        <v>328</v>
      </c>
      <c r="J57" s="21" t="s">
        <v>310</v>
      </c>
      <c r="K57" s="21" t="s">
        <v>318</v>
      </c>
      <c r="L57" s="21" t="s">
        <v>328</v>
      </c>
      <c r="M57" s="21" t="s">
        <v>318</v>
      </c>
      <c r="N57" s="694" t="s">
        <v>16</v>
      </c>
      <c r="O57" s="694" t="s">
        <v>410</v>
      </c>
      <c r="P57" s="692"/>
    </row>
    <row r="58" ht="15" spans="1:16">
      <c r="A58" s="649" t="s">
        <v>57</v>
      </c>
      <c r="B58" s="649" t="s">
        <v>571</v>
      </c>
      <c r="C58" s="21" t="s">
        <v>479</v>
      </c>
      <c r="D58" s="21" t="s">
        <v>314</v>
      </c>
      <c r="E58" s="21" t="s">
        <v>572</v>
      </c>
      <c r="F58" s="21" t="s">
        <v>573</v>
      </c>
      <c r="H58" s="21" t="s">
        <v>574</v>
      </c>
      <c r="I58" s="21" t="s">
        <v>328</v>
      </c>
      <c r="J58" s="21" t="s">
        <v>343</v>
      </c>
      <c r="K58" s="21" t="s">
        <v>310</v>
      </c>
      <c r="L58" s="21" t="s">
        <v>318</v>
      </c>
      <c r="M58" s="21" t="s">
        <v>310</v>
      </c>
      <c r="N58" s="694" t="s">
        <v>410</v>
      </c>
      <c r="O58" s="694" t="s">
        <v>16</v>
      </c>
      <c r="P58" s="692"/>
    </row>
    <row r="59" ht="14.25" spans="1:16">
      <c r="A59" s="687" t="s">
        <v>575</v>
      </c>
      <c r="B59" s="688" t="s">
        <v>576</v>
      </c>
      <c r="I59" s="648" t="s">
        <v>298</v>
      </c>
      <c r="J59" s="648" t="s">
        <v>300</v>
      </c>
      <c r="K59" s="648" t="s">
        <v>577</v>
      </c>
      <c r="L59" s="648" t="s">
        <v>300</v>
      </c>
      <c r="M59" s="648" t="s">
        <v>310</v>
      </c>
      <c r="P59" s="690" t="s">
        <v>525</v>
      </c>
    </row>
    <row r="60" ht="15" spans="1:19">
      <c r="A60" s="687" t="s">
        <v>578</v>
      </c>
      <c r="B60" s="688" t="s">
        <v>579</v>
      </c>
      <c r="H60" s="21" t="s">
        <v>580</v>
      </c>
      <c r="I60" s="648" t="s">
        <v>309</v>
      </c>
      <c r="J60" s="648" t="s">
        <v>299</v>
      </c>
      <c r="K60" s="648" t="s">
        <v>581</v>
      </c>
      <c r="L60" s="648" t="s">
        <v>299</v>
      </c>
      <c r="M60" s="648" t="s">
        <v>298</v>
      </c>
      <c r="N60" s="694" t="s">
        <v>431</v>
      </c>
      <c r="O60" s="694" t="s">
        <v>17</v>
      </c>
      <c r="P60" s="21" t="s">
        <v>582</v>
      </c>
      <c r="S60" s="21" t="s">
        <v>583</v>
      </c>
    </row>
    <row r="61" ht="27" spans="1:19">
      <c r="A61" s="649" t="s">
        <v>584</v>
      </c>
      <c r="B61" s="649" t="s">
        <v>585</v>
      </c>
      <c r="C61" s="21" t="s">
        <v>479</v>
      </c>
      <c r="D61" s="21" t="s">
        <v>323</v>
      </c>
      <c r="E61" s="21" t="s">
        <v>586</v>
      </c>
      <c r="F61" s="21" t="s">
        <v>587</v>
      </c>
      <c r="G61" s="21" t="s">
        <v>588</v>
      </c>
      <c r="H61" s="21" t="s">
        <v>589</v>
      </c>
      <c r="I61" s="21" t="s">
        <v>380</v>
      </c>
      <c r="J61" s="21" t="s">
        <v>298</v>
      </c>
      <c r="K61" s="21" t="s">
        <v>380</v>
      </c>
      <c r="L61" s="21" t="s">
        <v>310</v>
      </c>
      <c r="M61" s="21" t="s">
        <v>298</v>
      </c>
      <c r="N61" s="694" t="s">
        <v>344</v>
      </c>
      <c r="O61" s="694" t="s">
        <v>311</v>
      </c>
      <c r="P61" s="690" t="s">
        <v>590</v>
      </c>
      <c r="S61" s="21" t="s">
        <v>591</v>
      </c>
    </row>
    <row r="62" ht="15" spans="1:19">
      <c r="A62" s="649" t="s">
        <v>592</v>
      </c>
      <c r="B62" s="649" t="s">
        <v>593</v>
      </c>
      <c r="C62" s="21" t="s">
        <v>563</v>
      </c>
      <c r="D62" s="21" t="s">
        <v>323</v>
      </c>
      <c r="E62" s="21" t="s">
        <v>594</v>
      </c>
      <c r="F62" s="21" t="s">
        <v>595</v>
      </c>
      <c r="H62" s="21" t="s">
        <v>596</v>
      </c>
      <c r="I62" s="21" t="s">
        <v>310</v>
      </c>
      <c r="J62" s="21" t="s">
        <v>318</v>
      </c>
      <c r="K62" s="21" t="s">
        <v>328</v>
      </c>
      <c r="L62" s="21" t="s">
        <v>318</v>
      </c>
      <c r="M62" s="21" t="s">
        <v>328</v>
      </c>
      <c r="N62" s="694" t="s">
        <v>15</v>
      </c>
      <c r="O62" s="694" t="s">
        <v>431</v>
      </c>
      <c r="P62" s="692"/>
      <c r="S62" s="21" t="s">
        <v>597</v>
      </c>
    </row>
    <row r="63" ht="15" spans="1:19">
      <c r="A63" s="649" t="s">
        <v>183</v>
      </c>
      <c r="B63" s="649" t="s">
        <v>598</v>
      </c>
      <c r="C63" s="21" t="s">
        <v>338</v>
      </c>
      <c r="D63" s="21" t="s">
        <v>323</v>
      </c>
      <c r="E63" s="21" t="s">
        <v>599</v>
      </c>
      <c r="F63" s="21" t="s">
        <v>595</v>
      </c>
      <c r="H63" s="21" t="s">
        <v>596</v>
      </c>
      <c r="I63" s="21" t="s">
        <v>309</v>
      </c>
      <c r="J63" s="21" t="s">
        <v>309</v>
      </c>
      <c r="K63" s="21" t="s">
        <v>298</v>
      </c>
      <c r="L63" s="21" t="s">
        <v>299</v>
      </c>
      <c r="M63" s="21" t="s">
        <v>300</v>
      </c>
      <c r="N63" s="694" t="s">
        <v>18</v>
      </c>
      <c r="O63" s="694" t="s">
        <v>17</v>
      </c>
      <c r="P63" s="692"/>
      <c r="S63" s="21" t="s">
        <v>600</v>
      </c>
    </row>
    <row r="64" ht="15" spans="1:19">
      <c r="A64" s="649" t="s">
        <v>48</v>
      </c>
      <c r="B64" s="649" t="s">
        <v>48</v>
      </c>
      <c r="C64" s="21" t="s">
        <v>322</v>
      </c>
      <c r="D64" s="21" t="s">
        <v>509</v>
      </c>
      <c r="E64" s="21" t="s">
        <v>601</v>
      </c>
      <c r="F64" s="21" t="s">
        <v>602</v>
      </c>
      <c r="G64" s="21" t="s">
        <v>603</v>
      </c>
      <c r="H64" s="21" t="s">
        <v>560</v>
      </c>
      <c r="I64" s="21" t="s">
        <v>318</v>
      </c>
      <c r="J64" s="21" t="s">
        <v>310</v>
      </c>
      <c r="K64" s="21" t="s">
        <v>318</v>
      </c>
      <c r="L64" s="21" t="s">
        <v>328</v>
      </c>
      <c r="M64" s="21" t="s">
        <v>328</v>
      </c>
      <c r="N64" s="694" t="s">
        <v>16</v>
      </c>
      <c r="O64" s="694" t="s">
        <v>311</v>
      </c>
      <c r="P64" s="692"/>
      <c r="S64" s="21" t="s">
        <v>604</v>
      </c>
    </row>
    <row r="65" spans="1:15">
      <c r="A65" s="649" t="s">
        <v>185</v>
      </c>
      <c r="C65" s="21" t="s">
        <v>605</v>
      </c>
      <c r="D65" s="21" t="s">
        <v>305</v>
      </c>
      <c r="G65" s="21" t="s">
        <v>606</v>
      </c>
      <c r="I65" s="21" t="s">
        <v>607</v>
      </c>
      <c r="J65" s="21" t="s">
        <v>608</v>
      </c>
      <c r="K65" s="21" t="s">
        <v>609</v>
      </c>
      <c r="L65" s="21" t="s">
        <v>608</v>
      </c>
      <c r="M65" s="21" t="s">
        <v>608</v>
      </c>
      <c r="N65" s="698" t="s">
        <v>15</v>
      </c>
      <c r="O65" s="698"/>
    </row>
    <row r="66" spans="1:15">
      <c r="A66" s="649" t="s">
        <v>189</v>
      </c>
      <c r="C66" s="21" t="s">
        <v>605</v>
      </c>
      <c r="D66" s="21" t="s">
        <v>305</v>
      </c>
      <c r="G66" s="21" t="s">
        <v>606</v>
      </c>
      <c r="I66" s="21" t="s">
        <v>609</v>
      </c>
      <c r="J66" s="21" t="s">
        <v>608</v>
      </c>
      <c r="K66" s="21" t="s">
        <v>607</v>
      </c>
      <c r="L66" s="21" t="s">
        <v>608</v>
      </c>
      <c r="M66" s="21" t="s">
        <v>608</v>
      </c>
      <c r="N66" s="698" t="s">
        <v>17</v>
      </c>
      <c r="O66" s="698"/>
    </row>
    <row r="67" spans="1:19">
      <c r="A67" s="649" t="s">
        <v>187</v>
      </c>
      <c r="C67" s="21" t="s">
        <v>605</v>
      </c>
      <c r="D67" s="21" t="s">
        <v>305</v>
      </c>
      <c r="G67" s="21" t="s">
        <v>606</v>
      </c>
      <c r="I67" s="21" t="s">
        <v>604</v>
      </c>
      <c r="J67" s="21" t="s">
        <v>597</v>
      </c>
      <c r="K67" s="21" t="s">
        <v>597</v>
      </c>
      <c r="L67" s="21" t="s">
        <v>597</v>
      </c>
      <c r="M67" s="21" t="s">
        <v>600</v>
      </c>
      <c r="N67" s="698" t="s">
        <v>15</v>
      </c>
      <c r="O67" s="698"/>
      <c r="S67" s="21" t="s">
        <v>610</v>
      </c>
    </row>
    <row r="68" spans="16:19">
      <c r="P68" s="21" t="s">
        <v>611</v>
      </c>
      <c r="R68">
        <v>20</v>
      </c>
      <c r="S68" s="21" t="s">
        <v>612</v>
      </c>
    </row>
    <row r="69" spans="1:20">
      <c r="A69" s="649" t="s">
        <v>188</v>
      </c>
      <c r="C69" s="21" t="s">
        <v>605</v>
      </c>
      <c r="D69" s="21" t="s">
        <v>305</v>
      </c>
      <c r="G69" s="21" t="s">
        <v>606</v>
      </c>
      <c r="I69" s="21" t="s">
        <v>609</v>
      </c>
      <c r="J69" s="21" t="s">
        <v>608</v>
      </c>
      <c r="K69" s="21" t="s">
        <v>612</v>
      </c>
      <c r="L69" s="21" t="s">
        <v>607</v>
      </c>
      <c r="M69" s="21" t="s">
        <v>609</v>
      </c>
      <c r="N69" s="21" t="s">
        <v>18</v>
      </c>
      <c r="R69">
        <v>24</v>
      </c>
      <c r="S69" s="21" t="s">
        <v>608</v>
      </c>
      <c r="T69" s="21" t="s">
        <v>608</v>
      </c>
    </row>
    <row r="70" spans="1:20">
      <c r="A70" s="649" t="s">
        <v>191</v>
      </c>
      <c r="C70" s="21" t="s">
        <v>605</v>
      </c>
      <c r="D70" s="21" t="s">
        <v>305</v>
      </c>
      <c r="G70" s="21" t="s">
        <v>606</v>
      </c>
      <c r="I70" s="21" t="s">
        <v>608</v>
      </c>
      <c r="J70" s="21" t="s">
        <v>607</v>
      </c>
      <c r="K70" s="21" t="s">
        <v>608</v>
      </c>
      <c r="L70" s="21" t="s">
        <v>609</v>
      </c>
      <c r="M70" s="21" t="s">
        <v>608</v>
      </c>
      <c r="N70" s="21" t="s">
        <v>16</v>
      </c>
      <c r="R70">
        <v>28</v>
      </c>
      <c r="S70" s="21" t="s">
        <v>609</v>
      </c>
      <c r="T70" s="21" t="s">
        <v>609</v>
      </c>
    </row>
    <row r="71" spans="1:20">
      <c r="A71" s="649" t="s">
        <v>192</v>
      </c>
      <c r="C71" s="21" t="s">
        <v>605</v>
      </c>
      <c r="D71" s="21" t="s">
        <v>305</v>
      </c>
      <c r="G71" s="21" t="s">
        <v>606</v>
      </c>
      <c r="I71" s="21" t="s">
        <v>608</v>
      </c>
      <c r="J71" s="21" t="s">
        <v>608</v>
      </c>
      <c r="K71" s="21" t="s">
        <v>613</v>
      </c>
      <c r="L71" s="21" t="s">
        <v>614</v>
      </c>
      <c r="M71" s="21" t="s">
        <v>607</v>
      </c>
      <c r="N71" s="21" t="s">
        <v>19</v>
      </c>
      <c r="R71">
        <v>36</v>
      </c>
      <c r="S71" s="21" t="s">
        <v>615</v>
      </c>
      <c r="T71" s="21" t="s">
        <v>607</v>
      </c>
    </row>
    <row r="72" spans="1:7">
      <c r="A72" s="649" t="s">
        <v>186</v>
      </c>
      <c r="C72" s="21" t="s">
        <v>605</v>
      </c>
      <c r="D72" s="21" t="s">
        <v>314</v>
      </c>
      <c r="G72" s="21" t="s">
        <v>606</v>
      </c>
    </row>
    <row r="73" spans="1:7">
      <c r="A73" s="649" t="s">
        <v>190</v>
      </c>
      <c r="C73" s="21" t="s">
        <v>605</v>
      </c>
      <c r="D73" s="21" t="s">
        <v>314</v>
      </c>
      <c r="G73" s="21" t="s">
        <v>606</v>
      </c>
    </row>
    <row r="86" spans="1:1">
      <c r="A86" s="649" t="s">
        <v>616</v>
      </c>
    </row>
  </sheetData>
  <autoFilter ref="A1:P73">
    <sortState ref="A1:P73">
      <sortCondition ref="A1"/>
    </sortState>
    <extLst/>
  </autoFilter>
  <conditionalFormatting sqref="N2">
    <cfRule type="containsText" dxfId="36" priority="2"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Sybil",N2)))</formula>
    </cfRule>
  </conditionalFormatting>
  <conditionalFormatting sqref="O2">
    <cfRule type="containsText" dxfId="36" priority="1"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Sybil",O2)))</formula>
    </cfRule>
  </conditionalFormatting>
  <conditionalFormatting sqref="A1:A67 A69:A73 A75:A1048576">
    <cfRule type="containsText" dxfId="36" priority="3"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Sybil",A1)))</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46"/>
  <sheetViews>
    <sheetView workbookViewId="0">
      <pane ySplit="1" topLeftCell="A5" activePane="bottomLeft" state="frozen"/>
      <selection/>
      <selection pane="bottomLeft" activeCell="H1" sqref="H$1:H$1048576"/>
    </sheetView>
  </sheetViews>
  <sheetFormatPr defaultColWidth="9" defaultRowHeight="13.5"/>
  <cols>
    <col min="1" max="3" width="5.125" style="21" customWidth="1"/>
    <col min="4" max="4" width="10.125" style="21" customWidth="1"/>
    <col min="5" max="5" width="8.875" style="21" customWidth="1"/>
    <col min="6" max="6" width="5.125" style="21" customWidth="1"/>
    <col min="7" max="7" width="30.375" style="8" customWidth="1"/>
    <col min="8" max="8" width="17.125" style="1" customWidth="1"/>
    <col min="9" max="9" width="27.75" style="1" customWidth="1"/>
    <col min="10" max="10" width="5.5" customWidth="1"/>
    <col min="11" max="11" width="7.625" style="2" customWidth="1"/>
    <col min="12" max="12" width="4.375" style="2" customWidth="1"/>
    <col min="13" max="17" width="3.75" style="648" customWidth="1"/>
    <col min="18" max="18" width="5.125" style="648" customWidth="1"/>
    <col min="19" max="21" width="5.375" style="648" customWidth="1"/>
    <col min="22" max="24" width="4.375" style="648" customWidth="1"/>
    <col min="25" max="25" width="7" style="21" customWidth="1"/>
    <col min="26" max="28" width="37.5" style="1" customWidth="1"/>
    <col min="29" max="29" width="27.75" style="1" customWidth="1"/>
    <col min="30" max="30" width="37.5" style="1" customWidth="1"/>
    <col min="31" max="16380" width="9" style="648"/>
  </cols>
  <sheetData>
    <row r="1" ht="27" spans="1:30">
      <c r="A1" s="21" t="s">
        <v>617</v>
      </c>
      <c r="B1" s="649" t="s">
        <v>618</v>
      </c>
      <c r="C1" s="21" t="s">
        <v>619</v>
      </c>
      <c r="D1" s="21" t="s">
        <v>620</v>
      </c>
      <c r="E1" s="21" t="s">
        <v>621</v>
      </c>
      <c r="F1" s="21" t="s">
        <v>622</v>
      </c>
      <c r="G1" s="8" t="s">
        <v>623</v>
      </c>
      <c r="H1" s="8" t="s">
        <v>624</v>
      </c>
      <c r="I1" s="8"/>
      <c r="K1" s="7" t="s">
        <v>625</v>
      </c>
      <c r="L1" s="2" t="s">
        <v>626</v>
      </c>
      <c r="M1" s="220" t="s">
        <v>627</v>
      </c>
      <c r="N1" s="220" t="s">
        <v>628</v>
      </c>
      <c r="O1" s="220" t="s">
        <v>629</v>
      </c>
      <c r="P1" s="220" t="s">
        <v>630</v>
      </c>
      <c r="Q1" s="220" t="s">
        <v>631</v>
      </c>
      <c r="R1" s="648" t="s">
        <v>632</v>
      </c>
      <c r="S1" s="654" t="s">
        <v>633</v>
      </c>
      <c r="T1" s="671" t="s">
        <v>634</v>
      </c>
      <c r="U1" s="672" t="s">
        <v>635</v>
      </c>
      <c r="V1" s="654" t="s">
        <v>636</v>
      </c>
      <c r="W1" s="671" t="s">
        <v>637</v>
      </c>
      <c r="X1" s="672" t="s">
        <v>638</v>
      </c>
      <c r="Y1" s="21" t="s">
        <v>639</v>
      </c>
      <c r="Z1" s="8" t="s">
        <v>640</v>
      </c>
      <c r="AA1" s="8">
        <v>1</v>
      </c>
      <c r="AB1" s="8" t="s">
        <v>641</v>
      </c>
      <c r="AC1" s="8"/>
      <c r="AD1" s="8"/>
    </row>
    <row r="2" spans="2:30">
      <c r="B2" s="649">
        <v>1</v>
      </c>
      <c r="E2" s="648" t="s">
        <v>642</v>
      </c>
      <c r="F2" s="21">
        <v>1</v>
      </c>
      <c r="G2" s="650" t="s">
        <v>643</v>
      </c>
      <c r="H2" s="8" t="s">
        <v>644</v>
      </c>
      <c r="I2" s="659" t="s">
        <v>645</v>
      </c>
      <c r="K2" s="660" t="s">
        <v>646</v>
      </c>
      <c r="L2" s="661">
        <f t="shared" ref="L2:L65" si="0">P2+Q2</f>
        <v>8</v>
      </c>
      <c r="M2" s="662">
        <v>5</v>
      </c>
      <c r="N2" s="662">
        <v>1</v>
      </c>
      <c r="O2" s="662">
        <v>1</v>
      </c>
      <c r="P2" s="662">
        <v>4</v>
      </c>
      <c r="Q2" s="662">
        <v>4</v>
      </c>
      <c r="R2" s="648">
        <f t="shared" ref="R2:R65" si="1">SUM(M2:Q2)</f>
        <v>15</v>
      </c>
      <c r="S2" s="648">
        <f t="shared" ref="S2:S65" si="2">V2+Q2</f>
        <v>13</v>
      </c>
      <c r="T2" s="648">
        <f t="shared" ref="T2:T65" si="3">W2+Q2</f>
        <v>9</v>
      </c>
      <c r="U2" s="648">
        <f t="shared" ref="U2:U65" si="4">X2+Q2</f>
        <v>9</v>
      </c>
      <c r="V2" s="648">
        <f t="shared" ref="V2:V65" si="5">M2+P2</f>
        <v>9</v>
      </c>
      <c r="W2" s="648">
        <f t="shared" ref="W2:W65" si="6">N2+P2</f>
        <v>5</v>
      </c>
      <c r="X2" s="648">
        <f t="shared" ref="X2:X65" si="7">O2+P2</f>
        <v>5</v>
      </c>
      <c r="Y2" s="648">
        <v>1</v>
      </c>
      <c r="Z2" s="659" t="s">
        <v>647</v>
      </c>
      <c r="AA2" s="659" t="s">
        <v>648</v>
      </c>
      <c r="AB2" s="659" t="s">
        <v>649</v>
      </c>
      <c r="AC2" s="665" t="s">
        <v>650</v>
      </c>
      <c r="AD2" s="665" t="s">
        <v>650</v>
      </c>
    </row>
    <row r="3" spans="2:30">
      <c r="B3" s="649">
        <v>1</v>
      </c>
      <c r="E3" s="648" t="s">
        <v>642</v>
      </c>
      <c r="F3" s="21">
        <v>1</v>
      </c>
      <c r="G3" s="650" t="s">
        <v>651</v>
      </c>
      <c r="H3" s="8" t="s">
        <v>652</v>
      </c>
      <c r="I3" s="659" t="s">
        <v>653</v>
      </c>
      <c r="K3" s="660" t="s">
        <v>654</v>
      </c>
      <c r="L3" s="661">
        <f t="shared" si="0"/>
        <v>8</v>
      </c>
      <c r="M3" s="662">
        <v>5</v>
      </c>
      <c r="N3" s="662">
        <v>1</v>
      </c>
      <c r="O3" s="662">
        <v>1</v>
      </c>
      <c r="P3" s="662">
        <v>4</v>
      </c>
      <c r="Q3" s="662">
        <v>4</v>
      </c>
      <c r="R3" s="648">
        <f t="shared" si="1"/>
        <v>15</v>
      </c>
      <c r="S3" s="648">
        <f t="shared" si="2"/>
        <v>13</v>
      </c>
      <c r="T3" s="648">
        <f t="shared" si="3"/>
        <v>9</v>
      </c>
      <c r="U3" s="648">
        <f t="shared" si="4"/>
        <v>9</v>
      </c>
      <c r="V3" s="648">
        <f t="shared" si="5"/>
        <v>9</v>
      </c>
      <c r="W3" s="648">
        <f t="shared" si="6"/>
        <v>5</v>
      </c>
      <c r="X3" s="648">
        <f t="shared" si="7"/>
        <v>5</v>
      </c>
      <c r="Y3" s="648">
        <v>1</v>
      </c>
      <c r="Z3" s="659" t="s">
        <v>655</v>
      </c>
      <c r="AA3" s="659" t="s">
        <v>656</v>
      </c>
      <c r="AB3" s="659" t="s">
        <v>657</v>
      </c>
      <c r="AC3" s="665" t="s">
        <v>658</v>
      </c>
      <c r="AD3" s="665" t="s">
        <v>659</v>
      </c>
    </row>
    <row r="4" spans="2:30">
      <c r="B4" s="651"/>
      <c r="E4" s="648" t="s">
        <v>660</v>
      </c>
      <c r="F4" s="21">
        <v>2</v>
      </c>
      <c r="G4" s="652" t="s">
        <v>661</v>
      </c>
      <c r="H4" s="8" t="s">
        <v>662</v>
      </c>
      <c r="I4" s="8" t="s">
        <v>663</v>
      </c>
      <c r="K4" s="660" t="s">
        <v>646</v>
      </c>
      <c r="L4" s="2">
        <f t="shared" si="0"/>
        <v>9</v>
      </c>
      <c r="M4" s="662">
        <v>1</v>
      </c>
      <c r="N4" s="662">
        <v>4</v>
      </c>
      <c r="O4" s="662">
        <v>1</v>
      </c>
      <c r="P4" s="662">
        <v>4</v>
      </c>
      <c r="Q4" s="662">
        <v>5</v>
      </c>
      <c r="R4" s="648">
        <f t="shared" si="1"/>
        <v>15</v>
      </c>
      <c r="S4" s="648">
        <f t="shared" si="2"/>
        <v>10</v>
      </c>
      <c r="T4" s="648">
        <f t="shared" si="3"/>
        <v>13</v>
      </c>
      <c r="U4" s="648">
        <f t="shared" si="4"/>
        <v>10</v>
      </c>
      <c r="V4" s="648">
        <f t="shared" si="5"/>
        <v>5</v>
      </c>
      <c r="W4" s="648">
        <f t="shared" si="6"/>
        <v>8</v>
      </c>
      <c r="X4" s="648">
        <f t="shared" si="7"/>
        <v>5</v>
      </c>
      <c r="Y4" s="648">
        <v>2</v>
      </c>
      <c r="Z4" s="8" t="s">
        <v>664</v>
      </c>
      <c r="AA4" s="8" t="s">
        <v>665</v>
      </c>
      <c r="AB4" s="8" t="s">
        <v>666</v>
      </c>
      <c r="AC4" s="8" t="s">
        <v>667</v>
      </c>
      <c r="AD4" s="8" t="s">
        <v>667</v>
      </c>
    </row>
    <row r="5" spans="1:30">
      <c r="A5" s="21" t="s">
        <v>668</v>
      </c>
      <c r="B5" s="651"/>
      <c r="C5" s="21">
        <v>2</v>
      </c>
      <c r="D5" s="653"/>
      <c r="E5" s="648" t="s">
        <v>660</v>
      </c>
      <c r="F5" s="21">
        <v>2</v>
      </c>
      <c r="G5" s="652" t="s">
        <v>669</v>
      </c>
      <c r="H5" s="8" t="s">
        <v>670</v>
      </c>
      <c r="I5" s="8" t="s">
        <v>671</v>
      </c>
      <c r="K5" s="660" t="s">
        <v>654</v>
      </c>
      <c r="L5" s="2">
        <f t="shared" si="0"/>
        <v>9</v>
      </c>
      <c r="M5" s="662">
        <v>1</v>
      </c>
      <c r="N5" s="662">
        <v>4</v>
      </c>
      <c r="O5" s="662">
        <v>1</v>
      </c>
      <c r="P5" s="662">
        <v>4</v>
      </c>
      <c r="Q5" s="662">
        <v>5</v>
      </c>
      <c r="R5" s="648">
        <f t="shared" si="1"/>
        <v>15</v>
      </c>
      <c r="S5" s="648">
        <f t="shared" si="2"/>
        <v>10</v>
      </c>
      <c r="T5" s="648">
        <f t="shared" si="3"/>
        <v>13</v>
      </c>
      <c r="U5" s="648">
        <f t="shared" si="4"/>
        <v>10</v>
      </c>
      <c r="V5" s="648">
        <f t="shared" si="5"/>
        <v>5</v>
      </c>
      <c r="W5" s="648">
        <f t="shared" si="6"/>
        <v>8</v>
      </c>
      <c r="X5" s="648">
        <f t="shared" si="7"/>
        <v>5</v>
      </c>
      <c r="Y5" s="648">
        <v>2</v>
      </c>
      <c r="Z5" s="8" t="s">
        <v>672</v>
      </c>
      <c r="AA5" s="8" t="s">
        <v>673</v>
      </c>
      <c r="AB5" s="8" t="s">
        <v>674</v>
      </c>
      <c r="AC5" s="659" t="s">
        <v>675</v>
      </c>
      <c r="AD5" s="659" t="s">
        <v>675</v>
      </c>
    </row>
    <row r="6" spans="1:30">
      <c r="A6" s="21" t="s">
        <v>668</v>
      </c>
      <c r="B6" s="651"/>
      <c r="C6" s="21">
        <v>2</v>
      </c>
      <c r="D6" s="653"/>
      <c r="E6" s="654" t="s">
        <v>676</v>
      </c>
      <c r="F6" s="21">
        <v>3</v>
      </c>
      <c r="G6" s="652" t="s">
        <v>677</v>
      </c>
      <c r="H6" s="8" t="s">
        <v>678</v>
      </c>
      <c r="I6" s="8" t="s">
        <v>679</v>
      </c>
      <c r="K6" s="660" t="s">
        <v>646</v>
      </c>
      <c r="L6" s="2">
        <f t="shared" si="0"/>
        <v>8</v>
      </c>
      <c r="M6" s="663">
        <v>1</v>
      </c>
      <c r="N6" s="663">
        <v>4</v>
      </c>
      <c r="O6" s="663">
        <v>2</v>
      </c>
      <c r="P6" s="663">
        <v>4</v>
      </c>
      <c r="Q6" s="663">
        <v>4</v>
      </c>
      <c r="R6" s="648">
        <f t="shared" si="1"/>
        <v>15</v>
      </c>
      <c r="S6" s="648">
        <f t="shared" si="2"/>
        <v>9</v>
      </c>
      <c r="T6" s="648">
        <f t="shared" si="3"/>
        <v>12</v>
      </c>
      <c r="U6" s="648">
        <f t="shared" si="4"/>
        <v>10</v>
      </c>
      <c r="V6" s="648">
        <f t="shared" si="5"/>
        <v>5</v>
      </c>
      <c r="W6" s="648">
        <f t="shared" si="6"/>
        <v>8</v>
      </c>
      <c r="X6" s="648">
        <f t="shared" si="7"/>
        <v>6</v>
      </c>
      <c r="Y6" s="654">
        <v>3</v>
      </c>
      <c r="Z6" s="8" t="s">
        <v>680</v>
      </c>
      <c r="AA6" s="8" t="s">
        <v>681</v>
      </c>
      <c r="AB6" s="8" t="s">
        <v>682</v>
      </c>
      <c r="AC6" s="8" t="s">
        <v>683</v>
      </c>
      <c r="AD6" s="8" t="s">
        <v>683</v>
      </c>
    </row>
    <row r="7" spans="1:30">
      <c r="A7" s="21" t="s">
        <v>668</v>
      </c>
      <c r="B7" s="651"/>
      <c r="C7" s="21">
        <v>2</v>
      </c>
      <c r="D7" s="653"/>
      <c r="E7" s="648" t="s">
        <v>676</v>
      </c>
      <c r="F7" s="21">
        <v>3</v>
      </c>
      <c r="G7" s="652" t="s">
        <v>684</v>
      </c>
      <c r="H7" s="8" t="s">
        <v>685</v>
      </c>
      <c r="I7" s="8" t="s">
        <v>686</v>
      </c>
      <c r="K7" s="660" t="s">
        <v>654</v>
      </c>
      <c r="L7" s="2">
        <f t="shared" si="0"/>
        <v>8</v>
      </c>
      <c r="M7" s="663">
        <v>1</v>
      </c>
      <c r="N7" s="663">
        <v>4</v>
      </c>
      <c r="O7" s="663">
        <v>2</v>
      </c>
      <c r="P7" s="662">
        <v>4</v>
      </c>
      <c r="Q7" s="662">
        <v>4</v>
      </c>
      <c r="R7" s="648">
        <f t="shared" si="1"/>
        <v>15</v>
      </c>
      <c r="S7" s="648">
        <f t="shared" si="2"/>
        <v>9</v>
      </c>
      <c r="T7" s="648">
        <f t="shared" si="3"/>
        <v>12</v>
      </c>
      <c r="U7" s="648">
        <f t="shared" si="4"/>
        <v>10</v>
      </c>
      <c r="V7" s="648">
        <f t="shared" si="5"/>
        <v>5</v>
      </c>
      <c r="W7" s="648">
        <f t="shared" si="6"/>
        <v>8</v>
      </c>
      <c r="X7" s="648">
        <f t="shared" si="7"/>
        <v>6</v>
      </c>
      <c r="Y7" s="648">
        <v>3</v>
      </c>
      <c r="Z7" s="8" t="s">
        <v>687</v>
      </c>
      <c r="AA7" s="8" t="s">
        <v>688</v>
      </c>
      <c r="AB7" s="8" t="s">
        <v>689</v>
      </c>
      <c r="AC7" s="8" t="s">
        <v>690</v>
      </c>
      <c r="AD7" s="8" t="s">
        <v>690</v>
      </c>
    </row>
    <row r="8" spans="1:30">
      <c r="A8" s="21" t="s">
        <v>668</v>
      </c>
      <c r="B8" s="651"/>
      <c r="C8" s="21">
        <v>2</v>
      </c>
      <c r="D8" s="653"/>
      <c r="E8" s="648" t="s">
        <v>676</v>
      </c>
      <c r="F8" s="21">
        <v>3</v>
      </c>
      <c r="G8" s="652" t="s">
        <v>691</v>
      </c>
      <c r="H8" s="8" t="s">
        <v>692</v>
      </c>
      <c r="I8" s="8" t="s">
        <v>693</v>
      </c>
      <c r="K8" s="660" t="s">
        <v>646</v>
      </c>
      <c r="L8" s="2">
        <f t="shared" si="0"/>
        <v>8</v>
      </c>
      <c r="M8" s="662">
        <v>1</v>
      </c>
      <c r="N8" s="662">
        <v>4</v>
      </c>
      <c r="O8" s="662">
        <v>2</v>
      </c>
      <c r="P8" s="662">
        <v>4</v>
      </c>
      <c r="Q8" s="662">
        <v>4</v>
      </c>
      <c r="R8" s="648">
        <f t="shared" si="1"/>
        <v>15</v>
      </c>
      <c r="S8" s="648">
        <f t="shared" si="2"/>
        <v>9</v>
      </c>
      <c r="T8" s="648">
        <f t="shared" si="3"/>
        <v>12</v>
      </c>
      <c r="U8" s="648">
        <f t="shared" si="4"/>
        <v>10</v>
      </c>
      <c r="V8" s="648">
        <f t="shared" si="5"/>
        <v>5</v>
      </c>
      <c r="W8" s="648">
        <f t="shared" si="6"/>
        <v>8</v>
      </c>
      <c r="X8" s="648">
        <f t="shared" si="7"/>
        <v>6</v>
      </c>
      <c r="Y8" s="648">
        <v>3</v>
      </c>
      <c r="Z8" s="8" t="s">
        <v>694</v>
      </c>
      <c r="AA8" s="8" t="s">
        <v>695</v>
      </c>
      <c r="AB8" s="8" t="s">
        <v>696</v>
      </c>
      <c r="AC8" s="659" t="s">
        <v>697</v>
      </c>
      <c r="AD8" s="659" t="s">
        <v>698</v>
      </c>
    </row>
    <row r="9" spans="1:30">
      <c r="A9" s="21" t="s">
        <v>668</v>
      </c>
      <c r="B9" s="651"/>
      <c r="C9" s="21">
        <v>2</v>
      </c>
      <c r="D9" s="653"/>
      <c r="E9" s="654" t="s">
        <v>676</v>
      </c>
      <c r="F9" s="21">
        <v>3</v>
      </c>
      <c r="G9" s="652" t="s">
        <v>699</v>
      </c>
      <c r="H9" s="8" t="s">
        <v>700</v>
      </c>
      <c r="I9" s="8" t="s">
        <v>701</v>
      </c>
      <c r="K9" s="660" t="s">
        <v>654</v>
      </c>
      <c r="L9" s="2">
        <f t="shared" si="0"/>
        <v>8</v>
      </c>
      <c r="M9" s="662">
        <v>1</v>
      </c>
      <c r="N9" s="663">
        <v>4</v>
      </c>
      <c r="O9" s="663">
        <v>2</v>
      </c>
      <c r="P9" s="662">
        <v>4</v>
      </c>
      <c r="Q9" s="662">
        <v>4</v>
      </c>
      <c r="R9" s="648">
        <f t="shared" si="1"/>
        <v>15</v>
      </c>
      <c r="S9" s="648">
        <f t="shared" si="2"/>
        <v>9</v>
      </c>
      <c r="T9" s="648">
        <f t="shared" si="3"/>
        <v>12</v>
      </c>
      <c r="U9" s="648">
        <f t="shared" si="4"/>
        <v>10</v>
      </c>
      <c r="V9" s="648">
        <f t="shared" si="5"/>
        <v>5</v>
      </c>
      <c r="W9" s="648">
        <f t="shared" si="6"/>
        <v>8</v>
      </c>
      <c r="X9" s="648">
        <f t="shared" si="7"/>
        <v>6</v>
      </c>
      <c r="Y9" s="654">
        <v>3</v>
      </c>
      <c r="Z9" s="8" t="s">
        <v>702</v>
      </c>
      <c r="AA9" s="8" t="s">
        <v>703</v>
      </c>
      <c r="AB9" s="8" t="s">
        <v>704</v>
      </c>
      <c r="AC9" s="659" t="s">
        <v>705</v>
      </c>
      <c r="AD9" s="659" t="s">
        <v>706</v>
      </c>
    </row>
    <row r="10" spans="1:30">
      <c r="A10" s="21" t="s">
        <v>668</v>
      </c>
      <c r="B10" s="651"/>
      <c r="C10" s="21">
        <v>1</v>
      </c>
      <c r="D10" s="655"/>
      <c r="E10" s="654" t="s">
        <v>707</v>
      </c>
      <c r="F10" s="21">
        <v>1</v>
      </c>
      <c r="G10" s="652" t="s">
        <v>708</v>
      </c>
      <c r="H10" s="8" t="s">
        <v>709</v>
      </c>
      <c r="I10" s="8" t="s">
        <v>710</v>
      </c>
      <c r="K10" s="664" t="s">
        <v>646</v>
      </c>
      <c r="L10" s="2">
        <f t="shared" si="0"/>
        <v>9</v>
      </c>
      <c r="M10" s="662">
        <v>1</v>
      </c>
      <c r="N10" s="662">
        <v>1</v>
      </c>
      <c r="O10" s="662">
        <v>4</v>
      </c>
      <c r="P10" s="662">
        <v>5</v>
      </c>
      <c r="Q10" s="662">
        <v>4</v>
      </c>
      <c r="R10" s="648">
        <f t="shared" si="1"/>
        <v>15</v>
      </c>
      <c r="S10" s="648">
        <f t="shared" si="2"/>
        <v>10</v>
      </c>
      <c r="T10" s="648">
        <f t="shared" si="3"/>
        <v>10</v>
      </c>
      <c r="U10" s="648">
        <f t="shared" si="4"/>
        <v>13</v>
      </c>
      <c r="V10" s="648">
        <f t="shared" si="5"/>
        <v>6</v>
      </c>
      <c r="W10" s="648">
        <f t="shared" si="6"/>
        <v>6</v>
      </c>
      <c r="X10" s="648">
        <f t="shared" si="7"/>
        <v>9</v>
      </c>
      <c r="Y10" s="654">
        <v>4</v>
      </c>
      <c r="Z10" s="8" t="s">
        <v>711</v>
      </c>
      <c r="AA10" s="8" t="s">
        <v>712</v>
      </c>
      <c r="AB10" s="8" t="s">
        <v>713</v>
      </c>
      <c r="AC10" s="8" t="s">
        <v>714</v>
      </c>
      <c r="AD10" s="8" t="s">
        <v>715</v>
      </c>
    </row>
    <row r="11" spans="1:30">
      <c r="A11" s="21" t="s">
        <v>668</v>
      </c>
      <c r="B11" s="651"/>
      <c r="C11" s="21">
        <v>1</v>
      </c>
      <c r="D11" s="655"/>
      <c r="E11" s="654" t="s">
        <v>707</v>
      </c>
      <c r="F11" s="21">
        <v>3</v>
      </c>
      <c r="G11" s="652" t="s">
        <v>716</v>
      </c>
      <c r="H11" s="8" t="s">
        <v>717</v>
      </c>
      <c r="I11" s="8" t="s">
        <v>718</v>
      </c>
      <c r="K11" s="664" t="s">
        <v>654</v>
      </c>
      <c r="L11" s="2">
        <f t="shared" si="0"/>
        <v>8</v>
      </c>
      <c r="M11" s="662">
        <v>2</v>
      </c>
      <c r="N11" s="662">
        <v>1</v>
      </c>
      <c r="O11" s="662">
        <v>4</v>
      </c>
      <c r="P11" s="662">
        <v>4</v>
      </c>
      <c r="Q11" s="662">
        <v>4</v>
      </c>
      <c r="R11" s="648">
        <f t="shared" si="1"/>
        <v>15</v>
      </c>
      <c r="S11" s="648">
        <f t="shared" si="2"/>
        <v>10</v>
      </c>
      <c r="T11" s="648">
        <f t="shared" si="3"/>
        <v>9</v>
      </c>
      <c r="U11" s="648">
        <f t="shared" si="4"/>
        <v>12</v>
      </c>
      <c r="V11" s="648">
        <f t="shared" si="5"/>
        <v>6</v>
      </c>
      <c r="W11" s="648">
        <f t="shared" si="6"/>
        <v>5</v>
      </c>
      <c r="X11" s="648">
        <f t="shared" si="7"/>
        <v>8</v>
      </c>
      <c r="Y11" s="654">
        <v>4</v>
      </c>
      <c r="Z11" s="8" t="s">
        <v>719</v>
      </c>
      <c r="AA11" s="8" t="s">
        <v>720</v>
      </c>
      <c r="AB11" s="8" t="s">
        <v>721</v>
      </c>
      <c r="AC11" s="8" t="s">
        <v>722</v>
      </c>
      <c r="AD11" s="8" t="s">
        <v>722</v>
      </c>
    </row>
    <row r="12" spans="1:30">
      <c r="A12" s="21" t="s">
        <v>668</v>
      </c>
      <c r="B12" s="651"/>
      <c r="C12" s="21">
        <v>1</v>
      </c>
      <c r="D12" s="655"/>
      <c r="E12" s="648" t="s">
        <v>707</v>
      </c>
      <c r="F12" s="21">
        <v>2</v>
      </c>
      <c r="G12" s="652" t="s">
        <v>723</v>
      </c>
      <c r="H12" s="8" t="s">
        <v>724</v>
      </c>
      <c r="I12" s="8" t="s">
        <v>725</v>
      </c>
      <c r="K12" s="664" t="s">
        <v>646</v>
      </c>
      <c r="L12" s="2">
        <f t="shared" si="0"/>
        <v>9</v>
      </c>
      <c r="M12" s="662">
        <v>1</v>
      </c>
      <c r="N12" s="662">
        <v>1</v>
      </c>
      <c r="O12" s="662">
        <v>4</v>
      </c>
      <c r="P12" s="662">
        <v>4</v>
      </c>
      <c r="Q12" s="662">
        <v>5</v>
      </c>
      <c r="R12" s="648">
        <f t="shared" si="1"/>
        <v>15</v>
      </c>
      <c r="S12" s="648">
        <f t="shared" si="2"/>
        <v>10</v>
      </c>
      <c r="T12" s="648">
        <f t="shared" si="3"/>
        <v>10</v>
      </c>
      <c r="U12" s="648">
        <f t="shared" si="4"/>
        <v>13</v>
      </c>
      <c r="V12" s="648">
        <f t="shared" si="5"/>
        <v>5</v>
      </c>
      <c r="W12" s="648">
        <f t="shared" si="6"/>
        <v>5</v>
      </c>
      <c r="X12" s="648">
        <f t="shared" si="7"/>
        <v>8</v>
      </c>
      <c r="Y12" s="648">
        <v>4</v>
      </c>
      <c r="Z12" s="8" t="s">
        <v>726</v>
      </c>
      <c r="AA12" s="8" t="s">
        <v>727</v>
      </c>
      <c r="AB12" s="8" t="s">
        <v>728</v>
      </c>
      <c r="AC12" s="8" t="s">
        <v>729</v>
      </c>
      <c r="AD12" s="8" t="s">
        <v>729</v>
      </c>
    </row>
    <row r="13" ht="27" spans="2:30">
      <c r="B13" s="649">
        <v>1</v>
      </c>
      <c r="D13" s="655"/>
      <c r="E13" s="648" t="s">
        <v>730</v>
      </c>
      <c r="F13" s="21">
        <v>1</v>
      </c>
      <c r="G13" s="652" t="s">
        <v>731</v>
      </c>
      <c r="H13" s="8" t="s">
        <v>732</v>
      </c>
      <c r="I13" s="659" t="s">
        <v>733</v>
      </c>
      <c r="K13" s="664" t="s">
        <v>646</v>
      </c>
      <c r="L13" s="661">
        <f t="shared" si="0"/>
        <v>8</v>
      </c>
      <c r="M13" s="662">
        <v>1</v>
      </c>
      <c r="N13" s="662">
        <v>1</v>
      </c>
      <c r="O13" s="662">
        <v>5</v>
      </c>
      <c r="P13" s="662">
        <v>4</v>
      </c>
      <c r="Q13" s="662">
        <v>4</v>
      </c>
      <c r="R13" s="648">
        <f t="shared" si="1"/>
        <v>15</v>
      </c>
      <c r="S13" s="648">
        <f t="shared" si="2"/>
        <v>9</v>
      </c>
      <c r="T13" s="648">
        <f t="shared" si="3"/>
        <v>9</v>
      </c>
      <c r="U13" s="648">
        <f t="shared" si="4"/>
        <v>13</v>
      </c>
      <c r="V13" s="648">
        <f t="shared" si="5"/>
        <v>5</v>
      </c>
      <c r="W13" s="648">
        <f t="shared" si="6"/>
        <v>5</v>
      </c>
      <c r="X13" s="648">
        <f t="shared" si="7"/>
        <v>9</v>
      </c>
      <c r="Y13" s="648">
        <v>4.1</v>
      </c>
      <c r="Z13" s="659" t="s">
        <v>734</v>
      </c>
      <c r="AA13" s="659" t="s">
        <v>735</v>
      </c>
      <c r="AB13" s="659" t="s">
        <v>736</v>
      </c>
      <c r="AC13" s="8" t="s">
        <v>737</v>
      </c>
      <c r="AD13" s="8" t="s">
        <v>737</v>
      </c>
    </row>
    <row r="14" ht="27" spans="1:30">
      <c r="A14" s="21" t="s">
        <v>738</v>
      </c>
      <c r="B14" s="649">
        <v>1</v>
      </c>
      <c r="D14" s="655"/>
      <c r="E14" s="648" t="s">
        <v>730</v>
      </c>
      <c r="F14" s="21">
        <v>1</v>
      </c>
      <c r="G14" s="652" t="s">
        <v>739</v>
      </c>
      <c r="H14" s="8" t="s">
        <v>740</v>
      </c>
      <c r="I14" s="659" t="s">
        <v>741</v>
      </c>
      <c r="K14" s="664" t="s">
        <v>654</v>
      </c>
      <c r="L14" s="661">
        <f t="shared" si="0"/>
        <v>8</v>
      </c>
      <c r="M14" s="662">
        <v>1</v>
      </c>
      <c r="N14" s="663">
        <v>1</v>
      </c>
      <c r="O14" s="663">
        <v>5</v>
      </c>
      <c r="P14" s="662">
        <v>4</v>
      </c>
      <c r="Q14" s="662">
        <v>4</v>
      </c>
      <c r="R14" s="648">
        <f t="shared" si="1"/>
        <v>15</v>
      </c>
      <c r="S14" s="648">
        <f t="shared" si="2"/>
        <v>9</v>
      </c>
      <c r="T14" s="648">
        <f t="shared" si="3"/>
        <v>9</v>
      </c>
      <c r="U14" s="648">
        <f t="shared" si="4"/>
        <v>13</v>
      </c>
      <c r="V14" s="648">
        <f t="shared" si="5"/>
        <v>5</v>
      </c>
      <c r="W14" s="648">
        <f t="shared" si="6"/>
        <v>5</v>
      </c>
      <c r="X14" s="648">
        <f t="shared" si="7"/>
        <v>9</v>
      </c>
      <c r="Y14" s="648">
        <v>4.1</v>
      </c>
      <c r="Z14" s="659" t="s">
        <v>742</v>
      </c>
      <c r="AA14" s="659" t="s">
        <v>743</v>
      </c>
      <c r="AB14" s="659" t="s">
        <v>744</v>
      </c>
      <c r="AC14" s="8" t="s">
        <v>745</v>
      </c>
      <c r="AD14" s="8" t="s">
        <v>745</v>
      </c>
    </row>
    <row r="15" spans="1:30">
      <c r="A15" s="21" t="s">
        <v>668</v>
      </c>
      <c r="B15" s="651"/>
      <c r="C15" s="21" t="s">
        <v>746</v>
      </c>
      <c r="E15" s="648" t="s">
        <v>747</v>
      </c>
      <c r="F15" s="21" t="s">
        <v>748</v>
      </c>
      <c r="G15" s="652" t="s">
        <v>749</v>
      </c>
      <c r="H15" s="8" t="s">
        <v>750</v>
      </c>
      <c r="I15" s="8" t="s">
        <v>751</v>
      </c>
      <c r="K15" s="660" t="s">
        <v>654</v>
      </c>
      <c r="L15" s="2">
        <f t="shared" si="0"/>
        <v>10</v>
      </c>
      <c r="M15" s="662">
        <v>1</v>
      </c>
      <c r="N15" s="662">
        <v>1</v>
      </c>
      <c r="O15" s="662">
        <v>3</v>
      </c>
      <c r="P15" s="662">
        <v>5</v>
      </c>
      <c r="Q15" s="662">
        <v>5</v>
      </c>
      <c r="R15" s="648">
        <f t="shared" si="1"/>
        <v>15</v>
      </c>
      <c r="S15" s="648">
        <f t="shared" si="2"/>
        <v>11</v>
      </c>
      <c r="T15" s="648">
        <f t="shared" si="3"/>
        <v>11</v>
      </c>
      <c r="U15" s="648">
        <f t="shared" si="4"/>
        <v>13</v>
      </c>
      <c r="V15" s="648">
        <f t="shared" si="5"/>
        <v>6</v>
      </c>
      <c r="W15" s="648">
        <f t="shared" si="6"/>
        <v>6</v>
      </c>
      <c r="X15" s="648">
        <f t="shared" si="7"/>
        <v>8</v>
      </c>
      <c r="Y15" s="648">
        <v>5</v>
      </c>
      <c r="Z15" s="8" t="s">
        <v>752</v>
      </c>
      <c r="AA15" s="8" t="s">
        <v>753</v>
      </c>
      <c r="AB15" s="8" t="s">
        <v>754</v>
      </c>
      <c r="AC15" s="659" t="s">
        <v>755</v>
      </c>
      <c r="AD15" s="659" t="s">
        <v>756</v>
      </c>
    </row>
    <row r="16" spans="1:30">
      <c r="A16" s="21" t="s">
        <v>668</v>
      </c>
      <c r="B16" s="651"/>
      <c r="C16" s="21" t="s">
        <v>746</v>
      </c>
      <c r="E16" s="21" t="s">
        <v>747</v>
      </c>
      <c r="F16" s="21" t="s">
        <v>748</v>
      </c>
      <c r="G16" s="652" t="s">
        <v>757</v>
      </c>
      <c r="H16" s="8" t="s">
        <v>758</v>
      </c>
      <c r="I16" s="8" t="s">
        <v>759</v>
      </c>
      <c r="K16" s="660" t="s">
        <v>646</v>
      </c>
      <c r="L16" s="2">
        <f t="shared" si="0"/>
        <v>10</v>
      </c>
      <c r="M16" s="662">
        <v>1</v>
      </c>
      <c r="N16" s="662">
        <v>3</v>
      </c>
      <c r="O16" s="662">
        <v>1</v>
      </c>
      <c r="P16" s="662">
        <v>5</v>
      </c>
      <c r="Q16" s="662">
        <v>5</v>
      </c>
      <c r="R16" s="648">
        <f t="shared" si="1"/>
        <v>15</v>
      </c>
      <c r="S16" s="648">
        <f t="shared" si="2"/>
        <v>11</v>
      </c>
      <c r="T16" s="648">
        <f t="shared" si="3"/>
        <v>13</v>
      </c>
      <c r="U16" s="648">
        <f t="shared" si="4"/>
        <v>11</v>
      </c>
      <c r="V16" s="648">
        <f t="shared" si="5"/>
        <v>6</v>
      </c>
      <c r="W16" s="648">
        <f t="shared" si="6"/>
        <v>8</v>
      </c>
      <c r="X16" s="648">
        <f t="shared" si="7"/>
        <v>6</v>
      </c>
      <c r="Y16" s="21">
        <v>5</v>
      </c>
      <c r="Z16" s="8" t="s">
        <v>760</v>
      </c>
      <c r="AA16" s="8" t="s">
        <v>761</v>
      </c>
      <c r="AB16" s="8" t="s">
        <v>762</v>
      </c>
      <c r="AC16" s="659" t="s">
        <v>763</v>
      </c>
      <c r="AD16" s="659" t="s">
        <v>764</v>
      </c>
    </row>
    <row r="17" spans="1:30">
      <c r="A17" s="21" t="s">
        <v>668</v>
      </c>
      <c r="B17" s="649">
        <v>1</v>
      </c>
      <c r="C17" s="21" t="s">
        <v>746</v>
      </c>
      <c r="E17" s="648" t="s">
        <v>765</v>
      </c>
      <c r="F17" s="21" t="s">
        <v>748</v>
      </c>
      <c r="G17" s="650" t="s">
        <v>766</v>
      </c>
      <c r="H17" s="656" t="s">
        <v>767</v>
      </c>
      <c r="I17" s="665" t="s">
        <v>768</v>
      </c>
      <c r="K17" s="666" t="s">
        <v>654</v>
      </c>
      <c r="L17" s="661">
        <f t="shared" si="0"/>
        <v>2</v>
      </c>
      <c r="M17" s="662">
        <v>5</v>
      </c>
      <c r="N17" s="662">
        <v>5</v>
      </c>
      <c r="O17" s="662">
        <v>4</v>
      </c>
      <c r="P17" s="662">
        <v>1</v>
      </c>
      <c r="Q17" s="662">
        <v>1</v>
      </c>
      <c r="R17" s="654">
        <f t="shared" si="1"/>
        <v>16</v>
      </c>
      <c r="S17" s="648">
        <f t="shared" si="2"/>
        <v>7</v>
      </c>
      <c r="T17" s="648">
        <f t="shared" si="3"/>
        <v>7</v>
      </c>
      <c r="U17" s="648">
        <f t="shared" si="4"/>
        <v>6</v>
      </c>
      <c r="V17" s="648">
        <f t="shared" si="5"/>
        <v>6</v>
      </c>
      <c r="W17" s="648">
        <f t="shared" si="6"/>
        <v>6</v>
      </c>
      <c r="X17" s="648">
        <f t="shared" si="7"/>
        <v>5</v>
      </c>
      <c r="Y17" s="648">
        <v>6</v>
      </c>
      <c r="Z17" s="665" t="s">
        <v>769</v>
      </c>
      <c r="AA17" s="665" t="s">
        <v>769</v>
      </c>
      <c r="AB17" s="665" t="s">
        <v>770</v>
      </c>
      <c r="AC17" s="8" t="s">
        <v>771</v>
      </c>
      <c r="AD17" s="8" t="s">
        <v>771</v>
      </c>
    </row>
    <row r="18" spans="1:30">
      <c r="A18" s="21" t="s">
        <v>738</v>
      </c>
      <c r="B18" s="649">
        <v>1</v>
      </c>
      <c r="E18" s="21" t="s">
        <v>765</v>
      </c>
      <c r="F18" s="21" t="s">
        <v>748</v>
      </c>
      <c r="G18" s="650" t="s">
        <v>772</v>
      </c>
      <c r="H18" s="656" t="s">
        <v>773</v>
      </c>
      <c r="I18" s="665" t="s">
        <v>774</v>
      </c>
      <c r="K18" s="666" t="s">
        <v>646</v>
      </c>
      <c r="L18" s="661">
        <f t="shared" si="0"/>
        <v>2</v>
      </c>
      <c r="M18" s="662">
        <v>5</v>
      </c>
      <c r="N18" s="663">
        <v>5</v>
      </c>
      <c r="O18" s="663">
        <v>4</v>
      </c>
      <c r="P18" s="663">
        <v>1</v>
      </c>
      <c r="Q18" s="663">
        <v>1</v>
      </c>
      <c r="R18" s="654">
        <f t="shared" si="1"/>
        <v>16</v>
      </c>
      <c r="S18" s="648">
        <f t="shared" si="2"/>
        <v>7</v>
      </c>
      <c r="T18" s="648">
        <f t="shared" si="3"/>
        <v>7</v>
      </c>
      <c r="U18" s="648">
        <f t="shared" si="4"/>
        <v>6</v>
      </c>
      <c r="V18" s="648">
        <f t="shared" si="5"/>
        <v>6</v>
      </c>
      <c r="W18" s="648">
        <f t="shared" si="6"/>
        <v>6</v>
      </c>
      <c r="X18" s="648">
        <f t="shared" si="7"/>
        <v>5</v>
      </c>
      <c r="Y18" s="21">
        <v>6</v>
      </c>
      <c r="Z18" s="665" t="s">
        <v>775</v>
      </c>
      <c r="AA18" s="665" t="s">
        <v>775</v>
      </c>
      <c r="AB18" s="665" t="s">
        <v>776</v>
      </c>
      <c r="AC18" s="8" t="s">
        <v>777</v>
      </c>
      <c r="AD18" s="8" t="s">
        <v>777</v>
      </c>
    </row>
    <row r="19" spans="1:30">
      <c r="A19" s="21" t="s">
        <v>738</v>
      </c>
      <c r="B19" s="649">
        <v>1</v>
      </c>
      <c r="E19" s="648" t="s">
        <v>778</v>
      </c>
      <c r="F19" s="21">
        <v>1</v>
      </c>
      <c r="G19" s="652" t="s">
        <v>779</v>
      </c>
      <c r="H19" s="13" t="s">
        <v>780</v>
      </c>
      <c r="I19" s="659" t="s">
        <v>781</v>
      </c>
      <c r="K19" s="667" t="s">
        <v>646</v>
      </c>
      <c r="L19" s="661">
        <f t="shared" si="0"/>
        <v>8</v>
      </c>
      <c r="M19" s="663">
        <v>1</v>
      </c>
      <c r="N19" s="663">
        <v>5</v>
      </c>
      <c r="O19" s="663">
        <v>1</v>
      </c>
      <c r="P19" s="662">
        <v>5</v>
      </c>
      <c r="Q19" s="662">
        <v>3</v>
      </c>
      <c r="R19" s="648">
        <f t="shared" si="1"/>
        <v>15</v>
      </c>
      <c r="S19" s="648">
        <f t="shared" si="2"/>
        <v>9</v>
      </c>
      <c r="T19" s="648">
        <f t="shared" si="3"/>
        <v>13</v>
      </c>
      <c r="U19" s="648">
        <f t="shared" si="4"/>
        <v>9</v>
      </c>
      <c r="V19" s="648">
        <f t="shared" si="5"/>
        <v>6</v>
      </c>
      <c r="W19" s="648">
        <f t="shared" si="6"/>
        <v>10</v>
      </c>
      <c r="X19" s="648">
        <f t="shared" si="7"/>
        <v>6</v>
      </c>
      <c r="Y19" s="648">
        <v>7</v>
      </c>
      <c r="Z19" s="659" t="s">
        <v>782</v>
      </c>
      <c r="AA19" s="659" t="s">
        <v>783</v>
      </c>
      <c r="AB19" s="659" t="s">
        <v>784</v>
      </c>
      <c r="AC19" s="659" t="s">
        <v>785</v>
      </c>
      <c r="AD19" s="659" t="s">
        <v>785</v>
      </c>
    </row>
    <row r="20" spans="1:30">
      <c r="A20" s="21" t="s">
        <v>738</v>
      </c>
      <c r="B20" s="649">
        <v>1</v>
      </c>
      <c r="E20" s="648" t="s">
        <v>778</v>
      </c>
      <c r="F20" s="21">
        <v>1</v>
      </c>
      <c r="G20" s="652" t="s">
        <v>786</v>
      </c>
      <c r="H20" s="13" t="s">
        <v>787</v>
      </c>
      <c r="I20" s="659" t="s">
        <v>788</v>
      </c>
      <c r="K20" s="667" t="s">
        <v>654</v>
      </c>
      <c r="L20" s="661">
        <f t="shared" si="0"/>
        <v>8</v>
      </c>
      <c r="M20" s="662">
        <v>1</v>
      </c>
      <c r="N20" s="662">
        <v>5</v>
      </c>
      <c r="O20" s="662">
        <v>1</v>
      </c>
      <c r="P20" s="662">
        <v>5</v>
      </c>
      <c r="Q20" s="662">
        <v>3</v>
      </c>
      <c r="R20" s="648">
        <f t="shared" si="1"/>
        <v>15</v>
      </c>
      <c r="S20" s="648">
        <f t="shared" si="2"/>
        <v>9</v>
      </c>
      <c r="T20" s="648">
        <f t="shared" si="3"/>
        <v>13</v>
      </c>
      <c r="U20" s="648">
        <f t="shared" si="4"/>
        <v>9</v>
      </c>
      <c r="V20" s="648">
        <f t="shared" si="5"/>
        <v>6</v>
      </c>
      <c r="W20" s="648">
        <f t="shared" si="6"/>
        <v>10</v>
      </c>
      <c r="X20" s="648">
        <f t="shared" si="7"/>
        <v>6</v>
      </c>
      <c r="Y20" s="648">
        <v>7</v>
      </c>
      <c r="Z20" s="659" t="s">
        <v>789</v>
      </c>
      <c r="AA20" s="659" t="s">
        <v>790</v>
      </c>
      <c r="AB20" s="659" t="s">
        <v>791</v>
      </c>
      <c r="AC20" s="8" t="s">
        <v>792</v>
      </c>
      <c r="AD20" s="8" t="s">
        <v>792</v>
      </c>
    </row>
    <row r="21" spans="1:30">
      <c r="A21" s="21" t="s">
        <v>668</v>
      </c>
      <c r="B21" s="651"/>
      <c r="C21" s="21">
        <v>1</v>
      </c>
      <c r="D21" s="655"/>
      <c r="E21" s="648" t="s">
        <v>793</v>
      </c>
      <c r="F21" s="21" t="s">
        <v>748</v>
      </c>
      <c r="G21" s="652" t="s">
        <v>794</v>
      </c>
      <c r="H21" s="13" t="s">
        <v>795</v>
      </c>
      <c r="I21" s="8" t="s">
        <v>796</v>
      </c>
      <c r="K21" s="667" t="s">
        <v>654</v>
      </c>
      <c r="L21" s="2">
        <f t="shared" si="0"/>
        <v>7</v>
      </c>
      <c r="M21" s="662">
        <v>1</v>
      </c>
      <c r="N21" s="662">
        <v>5</v>
      </c>
      <c r="O21" s="662">
        <v>2</v>
      </c>
      <c r="P21" s="662">
        <v>4</v>
      </c>
      <c r="Q21" s="662">
        <v>3</v>
      </c>
      <c r="R21" s="648">
        <f t="shared" si="1"/>
        <v>15</v>
      </c>
      <c r="S21" s="648">
        <f t="shared" si="2"/>
        <v>8</v>
      </c>
      <c r="T21" s="648">
        <f t="shared" si="3"/>
        <v>12</v>
      </c>
      <c r="U21" s="648">
        <f t="shared" si="4"/>
        <v>9</v>
      </c>
      <c r="V21" s="648">
        <f t="shared" si="5"/>
        <v>5</v>
      </c>
      <c r="W21" s="648">
        <f t="shared" si="6"/>
        <v>9</v>
      </c>
      <c r="X21" s="648">
        <f t="shared" si="7"/>
        <v>6</v>
      </c>
      <c r="Y21" s="648">
        <v>8</v>
      </c>
      <c r="Z21" s="8" t="s">
        <v>797</v>
      </c>
      <c r="AA21" s="8" t="s">
        <v>798</v>
      </c>
      <c r="AB21" s="8" t="s">
        <v>799</v>
      </c>
      <c r="AC21" s="8" t="s">
        <v>800</v>
      </c>
      <c r="AD21" s="8" t="s">
        <v>801</v>
      </c>
    </row>
    <row r="22" spans="2:30">
      <c r="B22" s="651"/>
      <c r="C22" s="21">
        <v>1</v>
      </c>
      <c r="D22" s="655"/>
      <c r="E22" s="648" t="s">
        <v>793</v>
      </c>
      <c r="F22" s="21">
        <v>1</v>
      </c>
      <c r="G22" s="652" t="s">
        <v>802</v>
      </c>
      <c r="H22" s="13" t="s">
        <v>803</v>
      </c>
      <c r="I22" s="8" t="s">
        <v>804</v>
      </c>
      <c r="K22" s="667" t="s">
        <v>646</v>
      </c>
      <c r="L22" s="2">
        <f t="shared" si="0"/>
        <v>7</v>
      </c>
      <c r="M22" s="662">
        <v>1</v>
      </c>
      <c r="N22" s="663">
        <v>5</v>
      </c>
      <c r="O22" s="663">
        <v>2</v>
      </c>
      <c r="P22" s="662">
        <v>4</v>
      </c>
      <c r="Q22" s="662">
        <v>3</v>
      </c>
      <c r="R22" s="648">
        <f t="shared" si="1"/>
        <v>15</v>
      </c>
      <c r="S22" s="648">
        <f t="shared" si="2"/>
        <v>8</v>
      </c>
      <c r="T22" s="648">
        <f t="shared" si="3"/>
        <v>12</v>
      </c>
      <c r="U22" s="648">
        <f t="shared" si="4"/>
        <v>9</v>
      </c>
      <c r="V22" s="648">
        <f t="shared" si="5"/>
        <v>5</v>
      </c>
      <c r="W22" s="648">
        <f t="shared" si="6"/>
        <v>9</v>
      </c>
      <c r="X22" s="648">
        <f t="shared" si="7"/>
        <v>6</v>
      </c>
      <c r="Y22" s="648">
        <v>8</v>
      </c>
      <c r="Z22" s="8" t="s">
        <v>805</v>
      </c>
      <c r="AA22" s="8" t="s">
        <v>806</v>
      </c>
      <c r="AB22" s="8" t="s">
        <v>807</v>
      </c>
      <c r="AC22" s="659" t="s">
        <v>808</v>
      </c>
      <c r="AD22" s="659" t="s">
        <v>808</v>
      </c>
    </row>
    <row r="23" spans="1:30">
      <c r="A23" s="21" t="s">
        <v>668</v>
      </c>
      <c r="B23" s="651"/>
      <c r="C23" s="21">
        <v>1</v>
      </c>
      <c r="D23" s="655"/>
      <c r="E23" s="648" t="s">
        <v>809</v>
      </c>
      <c r="F23" s="21">
        <v>1</v>
      </c>
      <c r="G23" s="652" t="s">
        <v>810</v>
      </c>
      <c r="H23" s="13" t="s">
        <v>811</v>
      </c>
      <c r="I23" s="8" t="s">
        <v>812</v>
      </c>
      <c r="K23" s="667" t="s">
        <v>646</v>
      </c>
      <c r="L23" s="2">
        <f t="shared" si="0"/>
        <v>6</v>
      </c>
      <c r="M23" s="662">
        <v>1</v>
      </c>
      <c r="N23" s="662">
        <v>5</v>
      </c>
      <c r="O23" s="662">
        <v>3</v>
      </c>
      <c r="P23" s="662">
        <v>4</v>
      </c>
      <c r="Q23" s="662">
        <v>2</v>
      </c>
      <c r="R23" s="648">
        <f t="shared" si="1"/>
        <v>15</v>
      </c>
      <c r="S23" s="648">
        <f t="shared" si="2"/>
        <v>7</v>
      </c>
      <c r="T23" s="648">
        <f t="shared" si="3"/>
        <v>11</v>
      </c>
      <c r="U23" s="648">
        <f t="shared" si="4"/>
        <v>9</v>
      </c>
      <c r="V23" s="648">
        <f t="shared" si="5"/>
        <v>5</v>
      </c>
      <c r="W23" s="648">
        <f t="shared" si="6"/>
        <v>9</v>
      </c>
      <c r="X23" s="648">
        <f t="shared" si="7"/>
        <v>7</v>
      </c>
      <c r="Y23" s="648">
        <v>9</v>
      </c>
      <c r="Z23" s="8" t="s">
        <v>813</v>
      </c>
      <c r="AA23" s="8" t="s">
        <v>814</v>
      </c>
      <c r="AB23" s="8" t="s">
        <v>815</v>
      </c>
      <c r="AC23" s="8" t="s">
        <v>816</v>
      </c>
      <c r="AD23" s="8" t="s">
        <v>816</v>
      </c>
    </row>
    <row r="24" spans="1:30">
      <c r="A24" s="21" t="s">
        <v>668</v>
      </c>
      <c r="B24" s="651"/>
      <c r="C24" s="21">
        <v>1</v>
      </c>
      <c r="D24" s="655"/>
      <c r="E24" s="648" t="s">
        <v>809</v>
      </c>
      <c r="F24" s="21">
        <v>1</v>
      </c>
      <c r="G24" s="652" t="s">
        <v>817</v>
      </c>
      <c r="H24" s="13" t="s">
        <v>818</v>
      </c>
      <c r="I24" s="8" t="s">
        <v>819</v>
      </c>
      <c r="K24" s="667" t="s">
        <v>654</v>
      </c>
      <c r="L24" s="2">
        <f t="shared" si="0"/>
        <v>7</v>
      </c>
      <c r="M24" s="662">
        <v>1</v>
      </c>
      <c r="N24" s="662">
        <v>5</v>
      </c>
      <c r="O24" s="662">
        <v>2</v>
      </c>
      <c r="P24" s="662">
        <v>4</v>
      </c>
      <c r="Q24" s="662">
        <v>3</v>
      </c>
      <c r="R24" s="648">
        <f t="shared" si="1"/>
        <v>15</v>
      </c>
      <c r="S24" s="648">
        <f t="shared" si="2"/>
        <v>8</v>
      </c>
      <c r="T24" s="648">
        <f t="shared" si="3"/>
        <v>12</v>
      </c>
      <c r="U24" s="648">
        <f t="shared" si="4"/>
        <v>9</v>
      </c>
      <c r="V24" s="648">
        <f t="shared" si="5"/>
        <v>5</v>
      </c>
      <c r="W24" s="648">
        <f t="shared" si="6"/>
        <v>9</v>
      </c>
      <c r="X24" s="648">
        <f t="shared" si="7"/>
        <v>6</v>
      </c>
      <c r="Y24" s="648">
        <v>9</v>
      </c>
      <c r="Z24" s="8" t="s">
        <v>820</v>
      </c>
      <c r="AA24" s="8" t="s">
        <v>821</v>
      </c>
      <c r="AB24" s="8" t="s">
        <v>822</v>
      </c>
      <c r="AC24" s="8" t="s">
        <v>823</v>
      </c>
      <c r="AD24" s="8" t="s">
        <v>823</v>
      </c>
    </row>
    <row r="25" spans="1:30">
      <c r="A25" s="21" t="s">
        <v>748</v>
      </c>
      <c r="B25" s="651"/>
      <c r="E25" s="21" t="s">
        <v>824</v>
      </c>
      <c r="F25" s="21" t="s">
        <v>748</v>
      </c>
      <c r="G25" s="652" t="s">
        <v>825</v>
      </c>
      <c r="H25" s="8" t="s">
        <v>826</v>
      </c>
      <c r="I25" s="8" t="s">
        <v>827</v>
      </c>
      <c r="K25" s="660" t="s">
        <v>646</v>
      </c>
      <c r="L25" s="2">
        <f t="shared" si="0"/>
        <v>9</v>
      </c>
      <c r="M25" s="663">
        <v>1</v>
      </c>
      <c r="N25" s="663">
        <v>3</v>
      </c>
      <c r="O25" s="663">
        <v>2</v>
      </c>
      <c r="P25" s="663">
        <v>5</v>
      </c>
      <c r="Q25" s="663">
        <v>4</v>
      </c>
      <c r="R25" s="648">
        <f t="shared" si="1"/>
        <v>15</v>
      </c>
      <c r="S25" s="648">
        <f t="shared" si="2"/>
        <v>10</v>
      </c>
      <c r="T25" s="648">
        <f t="shared" si="3"/>
        <v>12</v>
      </c>
      <c r="U25" s="648">
        <f t="shared" si="4"/>
        <v>11</v>
      </c>
      <c r="V25" s="648">
        <f t="shared" si="5"/>
        <v>6</v>
      </c>
      <c r="W25" s="648">
        <f t="shared" si="6"/>
        <v>8</v>
      </c>
      <c r="X25" s="648">
        <f t="shared" si="7"/>
        <v>7</v>
      </c>
      <c r="Y25" s="21">
        <v>11</v>
      </c>
      <c r="Z25" s="8" t="s">
        <v>771</v>
      </c>
      <c r="AA25" s="8" t="s">
        <v>828</v>
      </c>
      <c r="AB25" s="8" t="s">
        <v>829</v>
      </c>
      <c r="AC25" s="659" t="s">
        <v>830</v>
      </c>
      <c r="AD25" s="659" t="s">
        <v>830</v>
      </c>
    </row>
    <row r="26" spans="1:30">
      <c r="A26" s="21" t="s">
        <v>748</v>
      </c>
      <c r="B26" s="651"/>
      <c r="E26" s="21" t="s">
        <v>824</v>
      </c>
      <c r="F26" s="21" t="s">
        <v>748</v>
      </c>
      <c r="G26" s="652" t="s">
        <v>831</v>
      </c>
      <c r="H26" s="8" t="s">
        <v>832</v>
      </c>
      <c r="I26" s="8" t="s">
        <v>833</v>
      </c>
      <c r="K26" s="660" t="s">
        <v>654</v>
      </c>
      <c r="L26" s="2">
        <f t="shared" si="0"/>
        <v>9</v>
      </c>
      <c r="M26" s="663">
        <v>1</v>
      </c>
      <c r="N26" s="663">
        <v>3</v>
      </c>
      <c r="O26" s="663">
        <v>2</v>
      </c>
      <c r="P26" s="663">
        <v>5</v>
      </c>
      <c r="Q26" s="663">
        <v>4</v>
      </c>
      <c r="R26" s="648">
        <f t="shared" si="1"/>
        <v>15</v>
      </c>
      <c r="S26" s="648">
        <f t="shared" si="2"/>
        <v>10</v>
      </c>
      <c r="T26" s="648">
        <f t="shared" si="3"/>
        <v>12</v>
      </c>
      <c r="U26" s="648">
        <f t="shared" si="4"/>
        <v>11</v>
      </c>
      <c r="V26" s="648">
        <f t="shared" si="5"/>
        <v>6</v>
      </c>
      <c r="W26" s="648">
        <f t="shared" si="6"/>
        <v>8</v>
      </c>
      <c r="X26" s="648">
        <f t="shared" si="7"/>
        <v>7</v>
      </c>
      <c r="Y26" s="21">
        <v>11</v>
      </c>
      <c r="Z26" s="8" t="s">
        <v>834</v>
      </c>
      <c r="AA26" s="8" t="s">
        <v>835</v>
      </c>
      <c r="AB26" s="8" t="s">
        <v>836</v>
      </c>
      <c r="AC26" s="8" t="s">
        <v>837</v>
      </c>
      <c r="AD26" s="8" t="s">
        <v>837</v>
      </c>
    </row>
    <row r="27" spans="1:30">
      <c r="A27" s="21" t="s">
        <v>738</v>
      </c>
      <c r="B27" s="649">
        <v>1</v>
      </c>
      <c r="E27" s="21" t="s">
        <v>838</v>
      </c>
      <c r="F27" s="21" t="s">
        <v>748</v>
      </c>
      <c r="G27" s="652" t="s">
        <v>839</v>
      </c>
      <c r="H27" s="8" t="s">
        <v>840</v>
      </c>
      <c r="I27" s="659" t="s">
        <v>841</v>
      </c>
      <c r="K27" s="7" t="s">
        <v>646</v>
      </c>
      <c r="L27" s="661">
        <f t="shared" si="0"/>
        <v>6</v>
      </c>
      <c r="M27" s="662">
        <v>3</v>
      </c>
      <c r="N27" s="662">
        <v>3</v>
      </c>
      <c r="O27" s="662">
        <v>3</v>
      </c>
      <c r="P27" s="662">
        <v>3</v>
      </c>
      <c r="Q27" s="662">
        <v>3</v>
      </c>
      <c r="R27" s="648">
        <f t="shared" si="1"/>
        <v>15</v>
      </c>
      <c r="S27" s="648">
        <f t="shared" si="2"/>
        <v>9</v>
      </c>
      <c r="T27" s="648">
        <f t="shared" si="3"/>
        <v>9</v>
      </c>
      <c r="U27" s="648">
        <f t="shared" si="4"/>
        <v>9</v>
      </c>
      <c r="V27" s="648">
        <f t="shared" si="5"/>
        <v>6</v>
      </c>
      <c r="W27" s="648">
        <f t="shared" si="6"/>
        <v>6</v>
      </c>
      <c r="X27" s="648">
        <f t="shared" si="7"/>
        <v>6</v>
      </c>
      <c r="Y27" s="21">
        <v>12</v>
      </c>
      <c r="Z27" s="659" t="s">
        <v>842</v>
      </c>
      <c r="AA27" s="659" t="s">
        <v>842</v>
      </c>
      <c r="AB27" s="659" t="s">
        <v>843</v>
      </c>
      <c r="AC27" s="659" t="s">
        <v>844</v>
      </c>
      <c r="AD27" s="659" t="s">
        <v>844</v>
      </c>
    </row>
    <row r="28" spans="1:30">
      <c r="A28" s="21" t="s">
        <v>748</v>
      </c>
      <c r="B28" s="649">
        <v>1</v>
      </c>
      <c r="E28" s="21" t="s">
        <v>838</v>
      </c>
      <c r="F28" s="21" t="s">
        <v>748</v>
      </c>
      <c r="G28" s="652" t="s">
        <v>845</v>
      </c>
      <c r="H28" s="8" t="s">
        <v>846</v>
      </c>
      <c r="I28" s="659" t="s">
        <v>847</v>
      </c>
      <c r="K28" s="7" t="s">
        <v>654</v>
      </c>
      <c r="L28" s="661">
        <f t="shared" si="0"/>
        <v>6</v>
      </c>
      <c r="M28" s="662">
        <v>3</v>
      </c>
      <c r="N28" s="662">
        <v>3</v>
      </c>
      <c r="O28" s="662">
        <v>3</v>
      </c>
      <c r="P28" s="662">
        <v>3</v>
      </c>
      <c r="Q28" s="662">
        <v>3</v>
      </c>
      <c r="R28" s="648">
        <f t="shared" si="1"/>
        <v>15</v>
      </c>
      <c r="S28" s="648">
        <f t="shared" si="2"/>
        <v>9</v>
      </c>
      <c r="T28" s="648">
        <f t="shared" si="3"/>
        <v>9</v>
      </c>
      <c r="U28" s="648">
        <f t="shared" si="4"/>
        <v>9</v>
      </c>
      <c r="V28" s="648">
        <f t="shared" si="5"/>
        <v>6</v>
      </c>
      <c r="W28" s="648">
        <f t="shared" si="6"/>
        <v>6</v>
      </c>
      <c r="X28" s="648">
        <f t="shared" si="7"/>
        <v>6</v>
      </c>
      <c r="Y28" s="21">
        <v>12</v>
      </c>
      <c r="Z28" s="659" t="s">
        <v>848</v>
      </c>
      <c r="AA28" s="659" t="s">
        <v>848</v>
      </c>
      <c r="AB28" s="659" t="s">
        <v>849</v>
      </c>
      <c r="AC28" s="659" t="s">
        <v>850</v>
      </c>
      <c r="AD28" s="659" t="s">
        <v>850</v>
      </c>
    </row>
    <row r="29" spans="1:30">
      <c r="A29" s="21" t="s">
        <v>738</v>
      </c>
      <c r="B29" s="649">
        <v>1</v>
      </c>
      <c r="E29" s="21" t="s">
        <v>851</v>
      </c>
      <c r="F29" s="21" t="s">
        <v>748</v>
      </c>
      <c r="G29" s="650" t="s">
        <v>852</v>
      </c>
      <c r="H29" s="8" t="s">
        <v>853</v>
      </c>
      <c r="I29" s="659" t="s">
        <v>854</v>
      </c>
      <c r="K29" s="668" t="s">
        <v>646</v>
      </c>
      <c r="L29" s="661">
        <f t="shared" si="0"/>
        <v>8</v>
      </c>
      <c r="M29" s="662">
        <v>5</v>
      </c>
      <c r="N29" s="663">
        <v>1</v>
      </c>
      <c r="O29" s="663">
        <v>1</v>
      </c>
      <c r="P29" s="663">
        <v>3</v>
      </c>
      <c r="Q29" s="663">
        <v>5</v>
      </c>
      <c r="R29" s="648">
        <f t="shared" si="1"/>
        <v>15</v>
      </c>
      <c r="S29" s="648">
        <f t="shared" si="2"/>
        <v>13</v>
      </c>
      <c r="T29" s="648">
        <f t="shared" si="3"/>
        <v>9</v>
      </c>
      <c r="U29" s="648">
        <f t="shared" si="4"/>
        <v>9</v>
      </c>
      <c r="V29" s="648">
        <f t="shared" si="5"/>
        <v>8</v>
      </c>
      <c r="W29" s="648">
        <f t="shared" si="6"/>
        <v>4</v>
      </c>
      <c r="X29" s="648">
        <f t="shared" si="7"/>
        <v>4</v>
      </c>
      <c r="Y29" s="21">
        <v>13</v>
      </c>
      <c r="Z29" s="659" t="s">
        <v>855</v>
      </c>
      <c r="AA29" s="659" t="s">
        <v>856</v>
      </c>
      <c r="AB29" s="659" t="s">
        <v>857</v>
      </c>
      <c r="AC29" s="8" t="s">
        <v>858</v>
      </c>
      <c r="AD29" s="8" t="s">
        <v>858</v>
      </c>
    </row>
    <row r="30" spans="1:30">
      <c r="A30" s="21" t="s">
        <v>748</v>
      </c>
      <c r="B30" s="649">
        <v>1</v>
      </c>
      <c r="E30" s="21" t="s">
        <v>851</v>
      </c>
      <c r="F30" s="21" t="s">
        <v>748</v>
      </c>
      <c r="G30" s="650" t="s">
        <v>859</v>
      </c>
      <c r="H30" s="8" t="s">
        <v>860</v>
      </c>
      <c r="I30" s="659" t="s">
        <v>861</v>
      </c>
      <c r="K30" s="668" t="s">
        <v>654</v>
      </c>
      <c r="L30" s="661">
        <f t="shared" si="0"/>
        <v>8</v>
      </c>
      <c r="M30" s="662">
        <v>5</v>
      </c>
      <c r="N30" s="662">
        <v>1</v>
      </c>
      <c r="O30" s="662">
        <v>1</v>
      </c>
      <c r="P30" s="662">
        <v>3</v>
      </c>
      <c r="Q30" s="662">
        <v>5</v>
      </c>
      <c r="R30" s="648">
        <f t="shared" si="1"/>
        <v>15</v>
      </c>
      <c r="S30" s="648">
        <f t="shared" si="2"/>
        <v>13</v>
      </c>
      <c r="T30" s="648">
        <f t="shared" si="3"/>
        <v>9</v>
      </c>
      <c r="U30" s="648">
        <f t="shared" si="4"/>
        <v>9</v>
      </c>
      <c r="V30" s="648">
        <f t="shared" si="5"/>
        <v>8</v>
      </c>
      <c r="W30" s="648">
        <f t="shared" si="6"/>
        <v>4</v>
      </c>
      <c r="X30" s="648">
        <f t="shared" si="7"/>
        <v>4</v>
      </c>
      <c r="Y30" s="21">
        <v>13</v>
      </c>
      <c r="Z30" s="659" t="s">
        <v>862</v>
      </c>
      <c r="AA30" s="659" t="s">
        <v>863</v>
      </c>
      <c r="AB30" s="659" t="s">
        <v>864</v>
      </c>
      <c r="AC30" s="659" t="s">
        <v>865</v>
      </c>
      <c r="AD30" s="659" t="s">
        <v>865</v>
      </c>
    </row>
    <row r="31" spans="1:30">
      <c r="A31" s="21" t="s">
        <v>668</v>
      </c>
      <c r="B31" s="649">
        <v>1</v>
      </c>
      <c r="E31" s="648" t="s">
        <v>866</v>
      </c>
      <c r="F31" s="21" t="s">
        <v>748</v>
      </c>
      <c r="G31" s="650" t="s">
        <v>867</v>
      </c>
      <c r="H31" s="656" t="s">
        <v>868</v>
      </c>
      <c r="I31" s="665" t="s">
        <v>869</v>
      </c>
      <c r="K31" s="666" t="s">
        <v>646</v>
      </c>
      <c r="L31" s="661">
        <f t="shared" si="0"/>
        <v>2</v>
      </c>
      <c r="M31" s="662">
        <v>5</v>
      </c>
      <c r="N31" s="663">
        <v>4</v>
      </c>
      <c r="O31" s="663">
        <v>5</v>
      </c>
      <c r="P31" s="663">
        <v>1</v>
      </c>
      <c r="Q31" s="663">
        <v>1</v>
      </c>
      <c r="R31" s="654">
        <f t="shared" si="1"/>
        <v>16</v>
      </c>
      <c r="S31" s="648">
        <f t="shared" si="2"/>
        <v>7</v>
      </c>
      <c r="T31" s="648">
        <f t="shared" si="3"/>
        <v>6</v>
      </c>
      <c r="U31" s="648">
        <f t="shared" si="4"/>
        <v>7</v>
      </c>
      <c r="V31" s="648">
        <f t="shared" si="5"/>
        <v>6</v>
      </c>
      <c r="W31" s="648">
        <f t="shared" si="6"/>
        <v>5</v>
      </c>
      <c r="X31" s="648">
        <f t="shared" si="7"/>
        <v>6</v>
      </c>
      <c r="Y31" s="648">
        <v>15</v>
      </c>
      <c r="Z31" s="665" t="s">
        <v>870</v>
      </c>
      <c r="AA31" s="665" t="s">
        <v>870</v>
      </c>
      <c r="AB31" s="665" t="s">
        <v>871</v>
      </c>
      <c r="AC31" s="8" t="s">
        <v>872</v>
      </c>
      <c r="AD31" s="8" t="s">
        <v>873</v>
      </c>
    </row>
    <row r="32" spans="1:30">
      <c r="A32" s="21" t="s">
        <v>738</v>
      </c>
      <c r="B32" s="649">
        <v>1</v>
      </c>
      <c r="E32" s="648" t="s">
        <v>866</v>
      </c>
      <c r="F32" s="21" t="s">
        <v>748</v>
      </c>
      <c r="G32" s="650" t="s">
        <v>874</v>
      </c>
      <c r="H32" s="656" t="s">
        <v>875</v>
      </c>
      <c r="I32" s="665" t="s">
        <v>876</v>
      </c>
      <c r="K32" s="666" t="s">
        <v>654</v>
      </c>
      <c r="L32" s="661">
        <f t="shared" si="0"/>
        <v>2</v>
      </c>
      <c r="M32" s="663">
        <v>5</v>
      </c>
      <c r="N32" s="663">
        <v>4</v>
      </c>
      <c r="O32" s="663">
        <v>5</v>
      </c>
      <c r="P32" s="663">
        <v>1</v>
      </c>
      <c r="Q32" s="663">
        <v>1</v>
      </c>
      <c r="R32" s="654">
        <f t="shared" si="1"/>
        <v>16</v>
      </c>
      <c r="S32" s="648">
        <f t="shared" si="2"/>
        <v>7</v>
      </c>
      <c r="T32" s="648">
        <f t="shared" si="3"/>
        <v>6</v>
      </c>
      <c r="U32" s="648">
        <f t="shared" si="4"/>
        <v>7</v>
      </c>
      <c r="V32" s="648">
        <f t="shared" si="5"/>
        <v>6</v>
      </c>
      <c r="W32" s="648">
        <f t="shared" si="6"/>
        <v>5</v>
      </c>
      <c r="X32" s="648">
        <f t="shared" si="7"/>
        <v>6</v>
      </c>
      <c r="Y32" s="648">
        <v>15</v>
      </c>
      <c r="Z32" s="665" t="s">
        <v>877</v>
      </c>
      <c r="AA32" s="665" t="s">
        <v>877</v>
      </c>
      <c r="AB32" s="665" t="s">
        <v>878</v>
      </c>
      <c r="AC32" s="659" t="s">
        <v>879</v>
      </c>
      <c r="AD32" s="659" t="s">
        <v>879</v>
      </c>
    </row>
    <row r="33" ht="27" spans="1:30">
      <c r="A33" s="21" t="s">
        <v>738</v>
      </c>
      <c r="B33" s="649">
        <v>1</v>
      </c>
      <c r="E33" s="648" t="s">
        <v>880</v>
      </c>
      <c r="F33" s="21">
        <v>1</v>
      </c>
      <c r="G33" s="652" t="s">
        <v>881</v>
      </c>
      <c r="H33" s="13" t="s">
        <v>882</v>
      </c>
      <c r="I33" s="659" t="s">
        <v>883</v>
      </c>
      <c r="K33" s="667" t="s">
        <v>646</v>
      </c>
      <c r="L33" s="661">
        <f t="shared" si="0"/>
        <v>8</v>
      </c>
      <c r="M33" s="662">
        <v>1</v>
      </c>
      <c r="N33" s="662">
        <v>5</v>
      </c>
      <c r="O33" s="662">
        <v>1</v>
      </c>
      <c r="P33" s="662">
        <v>5</v>
      </c>
      <c r="Q33" s="662">
        <v>3</v>
      </c>
      <c r="R33" s="648">
        <f t="shared" si="1"/>
        <v>15</v>
      </c>
      <c r="S33" s="648">
        <f t="shared" si="2"/>
        <v>9</v>
      </c>
      <c r="T33" s="648">
        <f t="shared" si="3"/>
        <v>13</v>
      </c>
      <c r="U33" s="648">
        <f t="shared" si="4"/>
        <v>9</v>
      </c>
      <c r="V33" s="648">
        <f t="shared" si="5"/>
        <v>6</v>
      </c>
      <c r="W33" s="648">
        <f t="shared" si="6"/>
        <v>10</v>
      </c>
      <c r="X33" s="648">
        <f t="shared" si="7"/>
        <v>6</v>
      </c>
      <c r="Y33" s="648">
        <v>16</v>
      </c>
      <c r="Z33" s="659" t="s">
        <v>884</v>
      </c>
      <c r="AA33" s="659" t="s">
        <v>885</v>
      </c>
      <c r="AB33" s="659" t="s">
        <v>886</v>
      </c>
      <c r="AC33" s="670" t="s">
        <v>887</v>
      </c>
      <c r="AD33" s="670" t="s">
        <v>887</v>
      </c>
    </row>
    <row r="34" ht="27" spans="2:30">
      <c r="B34" s="649">
        <v>1</v>
      </c>
      <c r="E34" s="648" t="s">
        <v>880</v>
      </c>
      <c r="F34" s="21">
        <v>1</v>
      </c>
      <c r="G34" s="652" t="s">
        <v>888</v>
      </c>
      <c r="H34" s="13" t="s">
        <v>889</v>
      </c>
      <c r="I34" s="659" t="s">
        <v>890</v>
      </c>
      <c r="K34" s="667" t="s">
        <v>654</v>
      </c>
      <c r="L34" s="661">
        <f t="shared" si="0"/>
        <v>8</v>
      </c>
      <c r="M34" s="662">
        <v>1</v>
      </c>
      <c r="N34" s="663">
        <v>5</v>
      </c>
      <c r="O34" s="663">
        <v>1</v>
      </c>
      <c r="P34" s="663">
        <v>5</v>
      </c>
      <c r="Q34" s="663">
        <v>3</v>
      </c>
      <c r="R34" s="648">
        <f t="shared" si="1"/>
        <v>15</v>
      </c>
      <c r="S34" s="648">
        <f t="shared" si="2"/>
        <v>9</v>
      </c>
      <c r="T34" s="648">
        <f t="shared" si="3"/>
        <v>13</v>
      </c>
      <c r="U34" s="648">
        <f t="shared" si="4"/>
        <v>9</v>
      </c>
      <c r="V34" s="648">
        <f t="shared" si="5"/>
        <v>6</v>
      </c>
      <c r="W34" s="648">
        <f t="shared" si="6"/>
        <v>10</v>
      </c>
      <c r="X34" s="648">
        <f t="shared" si="7"/>
        <v>6</v>
      </c>
      <c r="Y34" s="648">
        <v>16</v>
      </c>
      <c r="Z34" s="659" t="s">
        <v>891</v>
      </c>
      <c r="AA34" s="659" t="s">
        <v>892</v>
      </c>
      <c r="AB34" s="659" t="s">
        <v>893</v>
      </c>
      <c r="AC34" s="670" t="s">
        <v>894</v>
      </c>
      <c r="AD34" s="670" t="s">
        <v>894</v>
      </c>
    </row>
    <row r="35" ht="27" spans="1:30">
      <c r="A35" s="21" t="s">
        <v>738</v>
      </c>
      <c r="B35" s="649">
        <v>1</v>
      </c>
      <c r="E35" s="648" t="s">
        <v>895</v>
      </c>
      <c r="F35" s="21" t="s">
        <v>748</v>
      </c>
      <c r="G35" s="652" t="s">
        <v>896</v>
      </c>
      <c r="H35" s="8" t="s">
        <v>897</v>
      </c>
      <c r="I35" s="659" t="s">
        <v>898</v>
      </c>
      <c r="K35" s="660" t="s">
        <v>646</v>
      </c>
      <c r="L35" s="661">
        <f t="shared" si="0"/>
        <v>10</v>
      </c>
      <c r="M35" s="662">
        <v>1</v>
      </c>
      <c r="N35" s="662">
        <v>1</v>
      </c>
      <c r="O35" s="662">
        <v>1</v>
      </c>
      <c r="P35" s="662">
        <v>5</v>
      </c>
      <c r="Q35" s="662">
        <v>5</v>
      </c>
      <c r="R35" s="648">
        <f t="shared" si="1"/>
        <v>13</v>
      </c>
      <c r="S35" s="648">
        <f t="shared" si="2"/>
        <v>11</v>
      </c>
      <c r="T35" s="648">
        <f t="shared" si="3"/>
        <v>11</v>
      </c>
      <c r="U35" s="648">
        <f t="shared" si="4"/>
        <v>11</v>
      </c>
      <c r="V35" s="648">
        <f t="shared" si="5"/>
        <v>6</v>
      </c>
      <c r="W35" s="648">
        <f t="shared" si="6"/>
        <v>6</v>
      </c>
      <c r="X35" s="648">
        <f t="shared" si="7"/>
        <v>6</v>
      </c>
      <c r="Y35" s="648">
        <v>17</v>
      </c>
      <c r="Z35" s="659" t="s">
        <v>899</v>
      </c>
      <c r="AA35" s="659" t="s">
        <v>900</v>
      </c>
      <c r="AB35" s="659" t="s">
        <v>901</v>
      </c>
      <c r="AC35" s="8" t="s">
        <v>902</v>
      </c>
      <c r="AD35" s="8" t="s">
        <v>903</v>
      </c>
    </row>
    <row r="36" spans="1:30">
      <c r="A36" s="21" t="s">
        <v>748</v>
      </c>
      <c r="B36" s="649">
        <v>1</v>
      </c>
      <c r="E36" s="648" t="s">
        <v>895</v>
      </c>
      <c r="F36" s="21" t="s">
        <v>748</v>
      </c>
      <c r="G36" s="652" t="s">
        <v>904</v>
      </c>
      <c r="H36" s="8" t="s">
        <v>905</v>
      </c>
      <c r="I36" s="659" t="s">
        <v>906</v>
      </c>
      <c r="K36" s="660" t="s">
        <v>654</v>
      </c>
      <c r="L36" s="661">
        <f t="shared" si="0"/>
        <v>10</v>
      </c>
      <c r="M36" s="662">
        <v>1</v>
      </c>
      <c r="N36" s="662">
        <v>1</v>
      </c>
      <c r="O36" s="662">
        <v>1</v>
      </c>
      <c r="P36" s="662">
        <v>5</v>
      </c>
      <c r="Q36" s="662">
        <v>5</v>
      </c>
      <c r="R36" s="648">
        <f t="shared" si="1"/>
        <v>13</v>
      </c>
      <c r="S36" s="648">
        <f t="shared" si="2"/>
        <v>11</v>
      </c>
      <c r="T36" s="648">
        <f t="shared" si="3"/>
        <v>11</v>
      </c>
      <c r="U36" s="648">
        <f t="shared" si="4"/>
        <v>11</v>
      </c>
      <c r="V36" s="648">
        <f t="shared" si="5"/>
        <v>6</v>
      </c>
      <c r="W36" s="648">
        <f t="shared" si="6"/>
        <v>6</v>
      </c>
      <c r="X36" s="648">
        <f t="shared" si="7"/>
        <v>6</v>
      </c>
      <c r="Y36" s="648">
        <v>17</v>
      </c>
      <c r="Z36" s="659" t="s">
        <v>907</v>
      </c>
      <c r="AA36" s="659" t="s">
        <v>908</v>
      </c>
      <c r="AB36" s="659" t="s">
        <v>909</v>
      </c>
      <c r="AC36" s="8" t="s">
        <v>910</v>
      </c>
      <c r="AD36" s="8" t="s">
        <v>911</v>
      </c>
    </row>
    <row r="37" spans="2:30">
      <c r="B37" s="649">
        <v>1</v>
      </c>
      <c r="E37" s="21" t="str">
        <f>_xlfn.XLOOKUP(G37,Combos!AB:AB,Combos!AA:AA,"",0,1)</f>
        <v/>
      </c>
      <c r="F37" s="21">
        <v>1</v>
      </c>
      <c r="G37" s="652" t="s">
        <v>912</v>
      </c>
      <c r="H37" s="656" t="s">
        <v>913</v>
      </c>
      <c r="I37" s="665" t="s">
        <v>650</v>
      </c>
      <c r="K37" s="669" t="s">
        <v>914</v>
      </c>
      <c r="L37" s="661">
        <f t="shared" si="0"/>
        <v>6</v>
      </c>
      <c r="M37" s="662">
        <v>1</v>
      </c>
      <c r="N37" s="662">
        <v>5</v>
      </c>
      <c r="O37" s="662">
        <v>4</v>
      </c>
      <c r="P37" s="662">
        <v>5</v>
      </c>
      <c r="Q37" s="662">
        <v>1</v>
      </c>
      <c r="R37" s="654">
        <f t="shared" si="1"/>
        <v>16</v>
      </c>
      <c r="S37" s="648">
        <f t="shared" si="2"/>
        <v>7</v>
      </c>
      <c r="T37" s="648">
        <f t="shared" si="3"/>
        <v>11</v>
      </c>
      <c r="U37" s="648">
        <f t="shared" si="4"/>
        <v>10</v>
      </c>
      <c r="V37" s="648">
        <f t="shared" si="5"/>
        <v>6</v>
      </c>
      <c r="W37" s="648">
        <f t="shared" si="6"/>
        <v>10</v>
      </c>
      <c r="X37" s="648">
        <f t="shared" si="7"/>
        <v>9</v>
      </c>
      <c r="Y37" s="21" t="str">
        <f>_xlfn.XLOOKUP(AA37,Combos!AU:AU,Combos!AT:AT,"",0,1)</f>
        <v/>
      </c>
      <c r="Z37" s="665" t="s">
        <v>915</v>
      </c>
      <c r="AA37" s="665" t="s">
        <v>916</v>
      </c>
      <c r="AB37" s="665" t="s">
        <v>917</v>
      </c>
      <c r="AC37" s="8" t="s">
        <v>918</v>
      </c>
      <c r="AD37" s="8" t="s">
        <v>919</v>
      </c>
    </row>
    <row r="38" spans="2:30">
      <c r="B38" s="649">
        <v>1</v>
      </c>
      <c r="D38" s="655"/>
      <c r="E38" s="21" t="str">
        <f>_xlfn.XLOOKUP(G38,Combos!AB:AB,Combos!AA:AA,"",0,1)</f>
        <v/>
      </c>
      <c r="F38" s="21">
        <v>1</v>
      </c>
      <c r="G38" s="652" t="s">
        <v>920</v>
      </c>
      <c r="H38" s="656" t="s">
        <v>921</v>
      </c>
      <c r="I38" s="665" t="s">
        <v>659</v>
      </c>
      <c r="K38" s="664" t="s">
        <v>914</v>
      </c>
      <c r="L38" s="661">
        <f t="shared" si="0"/>
        <v>9</v>
      </c>
      <c r="M38" s="662">
        <v>1</v>
      </c>
      <c r="N38" s="662">
        <v>1</v>
      </c>
      <c r="O38" s="662">
        <v>5</v>
      </c>
      <c r="P38" s="662">
        <v>4</v>
      </c>
      <c r="Q38" s="662">
        <v>5</v>
      </c>
      <c r="R38" s="654">
        <f t="shared" si="1"/>
        <v>16</v>
      </c>
      <c r="S38" s="648">
        <f t="shared" si="2"/>
        <v>10</v>
      </c>
      <c r="T38" s="648">
        <f t="shared" si="3"/>
        <v>10</v>
      </c>
      <c r="U38" s="648">
        <f t="shared" si="4"/>
        <v>14</v>
      </c>
      <c r="V38" s="648">
        <f t="shared" si="5"/>
        <v>5</v>
      </c>
      <c r="W38" s="648">
        <f t="shared" si="6"/>
        <v>5</v>
      </c>
      <c r="X38" s="648">
        <f t="shared" si="7"/>
        <v>9</v>
      </c>
      <c r="Y38" s="21" t="str">
        <f>_xlfn.XLOOKUP(AA38,Combos!AU:AU,Combos!AT:AT,"",0,1)</f>
        <v/>
      </c>
      <c r="Z38" s="665" t="s">
        <v>922</v>
      </c>
      <c r="AA38" s="665" t="s">
        <v>923</v>
      </c>
      <c r="AB38" s="665" t="s">
        <v>924</v>
      </c>
      <c r="AC38" s="659" t="s">
        <v>925</v>
      </c>
      <c r="AD38" s="659" t="s">
        <v>926</v>
      </c>
    </row>
    <row r="39" spans="1:30">
      <c r="A39" s="21" t="s">
        <v>668</v>
      </c>
      <c r="B39" s="651"/>
      <c r="C39" s="21">
        <v>2</v>
      </c>
      <c r="D39" s="653" t="s">
        <v>748</v>
      </c>
      <c r="E39" s="21" t="str">
        <f>_xlfn.XLOOKUP(G39,Combos!AB:AB,Combos!AA:AA,"",0,1)</f>
        <v/>
      </c>
      <c r="F39" s="21" t="s">
        <v>748</v>
      </c>
      <c r="G39" s="8" t="s">
        <v>927</v>
      </c>
      <c r="H39" s="8" t="s">
        <v>928</v>
      </c>
      <c r="I39" s="8" t="s">
        <v>683</v>
      </c>
      <c r="K39" s="666" t="s">
        <v>914</v>
      </c>
      <c r="L39" s="2">
        <f t="shared" si="0"/>
        <v>6</v>
      </c>
      <c r="M39" s="663">
        <v>2</v>
      </c>
      <c r="N39" s="663">
        <v>3</v>
      </c>
      <c r="O39" s="663">
        <v>4</v>
      </c>
      <c r="P39" s="663">
        <v>3</v>
      </c>
      <c r="Q39" s="663">
        <v>3</v>
      </c>
      <c r="R39" s="648">
        <f t="shared" si="1"/>
        <v>15</v>
      </c>
      <c r="S39" s="648">
        <f t="shared" si="2"/>
        <v>8</v>
      </c>
      <c r="T39" s="648">
        <f t="shared" si="3"/>
        <v>9</v>
      </c>
      <c r="U39" s="648">
        <f t="shared" si="4"/>
        <v>10</v>
      </c>
      <c r="V39" s="648">
        <f t="shared" si="5"/>
        <v>5</v>
      </c>
      <c r="W39" s="648">
        <f t="shared" si="6"/>
        <v>6</v>
      </c>
      <c r="X39" s="648">
        <f t="shared" si="7"/>
        <v>7</v>
      </c>
      <c r="Y39" s="21" t="str">
        <f>_xlfn.XLOOKUP(AA39,Combos!AU:AU,Combos!AT:AT,"",0,1)</f>
        <v/>
      </c>
      <c r="Z39" s="8" t="s">
        <v>929</v>
      </c>
      <c r="AA39" s="8" t="s">
        <v>929</v>
      </c>
      <c r="AB39" s="8" t="s">
        <v>930</v>
      </c>
      <c r="AC39" s="659" t="s">
        <v>931</v>
      </c>
      <c r="AD39" s="659" t="s">
        <v>931</v>
      </c>
    </row>
    <row r="40" spans="1:30">
      <c r="A40" s="21" t="s">
        <v>668</v>
      </c>
      <c r="B40" s="651"/>
      <c r="C40" s="21" t="s">
        <v>746</v>
      </c>
      <c r="D40" s="21" t="s">
        <v>748</v>
      </c>
      <c r="E40" s="21" t="str">
        <f>_xlfn.XLOOKUP(G40,Combos!AB:AB,Combos!AA:AA,"",0,1)</f>
        <v/>
      </c>
      <c r="F40" s="21" t="s">
        <v>748</v>
      </c>
      <c r="G40" s="652" t="s">
        <v>932</v>
      </c>
      <c r="H40" s="8" t="s">
        <v>933</v>
      </c>
      <c r="I40" s="8" t="s">
        <v>737</v>
      </c>
      <c r="K40" s="660" t="s">
        <v>914</v>
      </c>
      <c r="L40" s="2">
        <f t="shared" si="0"/>
        <v>9</v>
      </c>
      <c r="M40" s="662">
        <v>1</v>
      </c>
      <c r="N40" s="662">
        <v>1</v>
      </c>
      <c r="O40" s="662">
        <v>3</v>
      </c>
      <c r="P40" s="662">
        <v>4</v>
      </c>
      <c r="Q40" s="662">
        <v>5</v>
      </c>
      <c r="R40" s="648">
        <f t="shared" si="1"/>
        <v>14</v>
      </c>
      <c r="S40" s="648">
        <f t="shared" si="2"/>
        <v>10</v>
      </c>
      <c r="T40" s="648">
        <f t="shared" si="3"/>
        <v>10</v>
      </c>
      <c r="U40" s="648">
        <f t="shared" si="4"/>
        <v>12</v>
      </c>
      <c r="V40" s="648">
        <f t="shared" si="5"/>
        <v>5</v>
      </c>
      <c r="W40" s="648">
        <f t="shared" si="6"/>
        <v>5</v>
      </c>
      <c r="X40" s="648">
        <f t="shared" si="7"/>
        <v>7</v>
      </c>
      <c r="Y40" s="21" t="str">
        <f>_xlfn.XLOOKUP(AA40,Combos!AU:AU,Combos!AT:AT,"",0,1)</f>
        <v/>
      </c>
      <c r="Z40" s="8" t="s">
        <v>737</v>
      </c>
      <c r="AA40" s="8" t="s">
        <v>934</v>
      </c>
      <c r="AB40" s="8" t="s">
        <v>935</v>
      </c>
      <c r="AC40" s="8" t="s">
        <v>936</v>
      </c>
      <c r="AD40" s="8" t="s">
        <v>936</v>
      </c>
    </row>
    <row r="41" spans="2:30">
      <c r="B41" s="649">
        <v>1</v>
      </c>
      <c r="C41" s="657"/>
      <c r="D41" s="21"/>
      <c r="E41" s="21" t="str">
        <f>_xlfn.XLOOKUP(G41,Combos!AB:AB,Combos!AA:AA,"",0,1)</f>
        <v/>
      </c>
      <c r="G41" s="652" t="s">
        <v>937</v>
      </c>
      <c r="H41" s="8" t="s">
        <v>938</v>
      </c>
      <c r="I41" s="659" t="s">
        <v>785</v>
      </c>
      <c r="K41" s="669" t="s">
        <v>939</v>
      </c>
      <c r="L41" s="661">
        <f>P41+Q41</f>
        <v>7</v>
      </c>
      <c r="M41" s="662">
        <v>1</v>
      </c>
      <c r="N41" s="662">
        <v>3</v>
      </c>
      <c r="O41" s="662">
        <v>4</v>
      </c>
      <c r="P41" s="662">
        <v>4</v>
      </c>
      <c r="Q41" s="662">
        <v>3</v>
      </c>
      <c r="R41" s="648">
        <f>SUM(M41:Q41)</f>
        <v>15</v>
      </c>
      <c r="S41" s="648">
        <f>V41+Q41</f>
        <v>8</v>
      </c>
      <c r="T41" s="648">
        <f>W41+Q41</f>
        <v>10</v>
      </c>
      <c r="U41" s="648">
        <f>X41+Q41</f>
        <v>11</v>
      </c>
      <c r="V41" s="648">
        <f>M41+P41</f>
        <v>5</v>
      </c>
      <c r="W41" s="648">
        <f>N41+P41</f>
        <v>7</v>
      </c>
      <c r="X41" s="648">
        <f>O41+P41</f>
        <v>8</v>
      </c>
      <c r="Y41" s="21" t="str">
        <f>_xlfn.XLOOKUP(AA41,Combos!AU:AU,Combos!AT:AT,"",0,1)</f>
        <v/>
      </c>
      <c r="Z41" s="659" t="s">
        <v>940</v>
      </c>
      <c r="AA41" s="659" t="s">
        <v>940</v>
      </c>
      <c r="AB41" s="659" t="s">
        <v>941</v>
      </c>
      <c r="AC41" s="8" t="s">
        <v>942</v>
      </c>
      <c r="AD41" s="8" t="s">
        <v>942</v>
      </c>
    </row>
    <row r="42" spans="2:30">
      <c r="B42" s="651"/>
      <c r="E42" s="21" t="str">
        <f>_xlfn.XLOOKUP(G42,Combos!AB:AB,Combos!AA:AA,"",0,1)</f>
        <v/>
      </c>
      <c r="F42" s="21">
        <v>1</v>
      </c>
      <c r="G42" s="652" t="s">
        <v>943</v>
      </c>
      <c r="H42" s="8" t="s">
        <v>944</v>
      </c>
      <c r="I42" s="8" t="s">
        <v>792</v>
      </c>
      <c r="K42" s="669" t="s">
        <v>939</v>
      </c>
      <c r="L42" s="2">
        <f t="shared" si="0"/>
        <v>8</v>
      </c>
      <c r="M42" s="662">
        <v>1</v>
      </c>
      <c r="N42" s="662">
        <v>1</v>
      </c>
      <c r="O42" s="662">
        <v>5</v>
      </c>
      <c r="P42" s="662">
        <v>5</v>
      </c>
      <c r="Q42" s="662">
        <v>3</v>
      </c>
      <c r="R42" s="648">
        <f t="shared" si="1"/>
        <v>15</v>
      </c>
      <c r="S42" s="648">
        <f t="shared" si="2"/>
        <v>9</v>
      </c>
      <c r="T42" s="648">
        <f t="shared" si="3"/>
        <v>9</v>
      </c>
      <c r="U42" s="648">
        <f t="shared" si="4"/>
        <v>13</v>
      </c>
      <c r="V42" s="648">
        <f t="shared" si="5"/>
        <v>6</v>
      </c>
      <c r="W42" s="648">
        <f t="shared" si="6"/>
        <v>6</v>
      </c>
      <c r="X42" s="648">
        <f t="shared" si="7"/>
        <v>10</v>
      </c>
      <c r="Y42" s="21" t="str">
        <f>_xlfn.XLOOKUP(AA42,Combos!AU:AU,Combos!AT:AT,"",0,1)</f>
        <v/>
      </c>
      <c r="Z42" s="8" t="s">
        <v>945</v>
      </c>
      <c r="AA42" s="8" t="s">
        <v>945</v>
      </c>
      <c r="AB42" s="8" t="s">
        <v>946</v>
      </c>
      <c r="AC42" s="8" t="s">
        <v>947</v>
      </c>
      <c r="AD42" s="8" t="s">
        <v>947</v>
      </c>
    </row>
    <row r="43" spans="2:30">
      <c r="B43" s="651"/>
      <c r="C43" s="21">
        <v>1</v>
      </c>
      <c r="D43" s="655" t="s">
        <v>748</v>
      </c>
      <c r="E43" s="21" t="str">
        <f>_xlfn.XLOOKUP(G43,Combos!AB:AB,Combos!AA:AA,"",0,1)</f>
        <v/>
      </c>
      <c r="F43" s="21" t="s">
        <v>748</v>
      </c>
      <c r="G43" s="652" t="s">
        <v>948</v>
      </c>
      <c r="H43" s="8" t="s">
        <v>949</v>
      </c>
      <c r="I43" s="8" t="s">
        <v>950</v>
      </c>
      <c r="K43" s="666" t="s">
        <v>654</v>
      </c>
      <c r="L43" s="2">
        <f t="shared" si="0"/>
        <v>6</v>
      </c>
      <c r="M43" s="662">
        <v>3</v>
      </c>
      <c r="N43" s="662">
        <v>1</v>
      </c>
      <c r="O43" s="662">
        <v>5</v>
      </c>
      <c r="P43" s="662">
        <v>3</v>
      </c>
      <c r="Q43" s="662">
        <v>3</v>
      </c>
      <c r="R43" s="648">
        <f t="shared" si="1"/>
        <v>15</v>
      </c>
      <c r="S43" s="648">
        <f t="shared" si="2"/>
        <v>9</v>
      </c>
      <c r="T43" s="648">
        <f t="shared" si="3"/>
        <v>7</v>
      </c>
      <c r="U43" s="648">
        <f t="shared" si="4"/>
        <v>11</v>
      </c>
      <c r="V43" s="648">
        <f t="shared" si="5"/>
        <v>6</v>
      </c>
      <c r="W43" s="648">
        <f t="shared" si="6"/>
        <v>4</v>
      </c>
      <c r="X43" s="648">
        <f t="shared" si="7"/>
        <v>8</v>
      </c>
      <c r="Y43" s="21" t="str">
        <f>_xlfn.XLOOKUP(AA43,Combos!AU:AU,Combos!AT:AT,"",0,1)</f>
        <v/>
      </c>
      <c r="Z43" s="8" t="s">
        <v>951</v>
      </c>
      <c r="AA43" s="8" t="s">
        <v>951</v>
      </c>
      <c r="AB43" s="8" t="s">
        <v>952</v>
      </c>
      <c r="AC43" s="8" t="s">
        <v>953</v>
      </c>
      <c r="AD43" s="8" t="s">
        <v>954</v>
      </c>
    </row>
    <row r="44" spans="1:30">
      <c r="A44" s="21" t="s">
        <v>668</v>
      </c>
      <c r="B44" s="651"/>
      <c r="C44" s="21" t="s">
        <v>746</v>
      </c>
      <c r="D44" s="21" t="s">
        <v>748</v>
      </c>
      <c r="E44" s="21" t="str">
        <f>_xlfn.XLOOKUP(G44,Combos!AB:AB,Combos!AA:AA,"",0,1)</f>
        <v/>
      </c>
      <c r="F44" s="21" t="s">
        <v>748</v>
      </c>
      <c r="G44" s="652" t="s">
        <v>955</v>
      </c>
      <c r="H44" s="8" t="s">
        <v>956</v>
      </c>
      <c r="I44" s="8" t="s">
        <v>745</v>
      </c>
      <c r="K44" s="660" t="s">
        <v>914</v>
      </c>
      <c r="L44" s="2">
        <f t="shared" si="0"/>
        <v>9</v>
      </c>
      <c r="M44" s="662">
        <v>2</v>
      </c>
      <c r="N44" s="662">
        <v>3</v>
      </c>
      <c r="O44" s="662">
        <v>1</v>
      </c>
      <c r="P44" s="662">
        <v>4</v>
      </c>
      <c r="Q44" s="662">
        <v>5</v>
      </c>
      <c r="R44" s="648">
        <f t="shared" si="1"/>
        <v>15</v>
      </c>
      <c r="S44" s="648">
        <f t="shared" si="2"/>
        <v>11</v>
      </c>
      <c r="T44" s="648">
        <f t="shared" si="3"/>
        <v>12</v>
      </c>
      <c r="U44" s="648">
        <f t="shared" si="4"/>
        <v>10</v>
      </c>
      <c r="V44" s="648">
        <f t="shared" si="5"/>
        <v>6</v>
      </c>
      <c r="W44" s="648">
        <f t="shared" si="6"/>
        <v>7</v>
      </c>
      <c r="X44" s="648">
        <f t="shared" si="7"/>
        <v>5</v>
      </c>
      <c r="Y44" s="21" t="str">
        <f>_xlfn.XLOOKUP(AA44,Combos!AU:AU,Combos!AT:AT,"",0,1)</f>
        <v/>
      </c>
      <c r="Z44" s="8" t="s">
        <v>745</v>
      </c>
      <c r="AA44" s="8" t="s">
        <v>957</v>
      </c>
      <c r="AB44" s="8" t="s">
        <v>958</v>
      </c>
      <c r="AC44" s="8" t="s">
        <v>959</v>
      </c>
      <c r="AD44" s="8" t="s">
        <v>959</v>
      </c>
    </row>
    <row r="45" spans="1:30">
      <c r="A45" s="21" t="s">
        <v>668</v>
      </c>
      <c r="B45" s="649">
        <v>1</v>
      </c>
      <c r="C45" s="21">
        <v>1</v>
      </c>
      <c r="D45" s="655"/>
      <c r="E45" s="21" t="str">
        <f>_xlfn.XLOOKUP(G45,Combos!AB:AB,Combos!AA:AA,"",0,1)</f>
        <v/>
      </c>
      <c r="G45" s="652" t="s">
        <v>960</v>
      </c>
      <c r="H45" s="8" t="s">
        <v>961</v>
      </c>
      <c r="I45" s="659" t="s">
        <v>830</v>
      </c>
      <c r="K45" s="667" t="s">
        <v>939</v>
      </c>
      <c r="L45" s="661">
        <f>P45+Q45</f>
        <v>7</v>
      </c>
      <c r="M45" s="662">
        <v>3</v>
      </c>
      <c r="N45" s="662">
        <v>4</v>
      </c>
      <c r="O45" s="662">
        <v>1</v>
      </c>
      <c r="P45" s="662">
        <v>4</v>
      </c>
      <c r="Q45" s="662">
        <v>3</v>
      </c>
      <c r="R45" s="648">
        <f>SUM(M45:Q45)</f>
        <v>15</v>
      </c>
      <c r="S45" s="648">
        <f>V45+Q45</f>
        <v>10</v>
      </c>
      <c r="T45" s="648">
        <f>W45+Q45</f>
        <v>11</v>
      </c>
      <c r="U45" s="648">
        <f>X45+Q45</f>
        <v>8</v>
      </c>
      <c r="V45" s="648">
        <f>M45+P45</f>
        <v>7</v>
      </c>
      <c r="W45" s="648">
        <f>N45+P45</f>
        <v>8</v>
      </c>
      <c r="X45" s="648">
        <f>O45+P45</f>
        <v>5</v>
      </c>
      <c r="Y45" s="21" t="str">
        <f>_xlfn.XLOOKUP(AA45,Combos!AU:AU,Combos!AT:AT,"",0,1)</f>
        <v/>
      </c>
      <c r="Z45" s="659" t="s">
        <v>962</v>
      </c>
      <c r="AA45" s="659" t="s">
        <v>962</v>
      </c>
      <c r="AB45" s="659" t="s">
        <v>963</v>
      </c>
      <c r="AC45" s="8" t="s">
        <v>964</v>
      </c>
      <c r="AD45" s="8" t="s">
        <v>964</v>
      </c>
    </row>
    <row r="46" spans="1:30">
      <c r="A46" s="21" t="s">
        <v>748</v>
      </c>
      <c r="B46" s="649">
        <v>1</v>
      </c>
      <c r="D46" s="21" t="s">
        <v>748</v>
      </c>
      <c r="E46" s="21" t="str">
        <f>_xlfn.XLOOKUP(G46,Combos!AB:AB,Combos!AA:AA,"",0,1)</f>
        <v/>
      </c>
      <c r="F46" s="21" t="s">
        <v>748</v>
      </c>
      <c r="G46" s="8" t="s">
        <v>965</v>
      </c>
      <c r="H46" s="8" t="s">
        <v>966</v>
      </c>
      <c r="I46" s="659" t="s">
        <v>865</v>
      </c>
      <c r="K46" s="7" t="s">
        <v>914</v>
      </c>
      <c r="L46" s="661">
        <f t="shared" si="0"/>
        <v>6</v>
      </c>
      <c r="M46" s="663">
        <v>3</v>
      </c>
      <c r="N46" s="663">
        <v>3</v>
      </c>
      <c r="O46" s="663">
        <v>3</v>
      </c>
      <c r="P46" s="663">
        <v>3</v>
      </c>
      <c r="Q46" s="663">
        <v>3</v>
      </c>
      <c r="R46" s="648">
        <f t="shared" si="1"/>
        <v>15</v>
      </c>
      <c r="S46" s="648">
        <f t="shared" si="2"/>
        <v>9</v>
      </c>
      <c r="T46" s="648">
        <f t="shared" si="3"/>
        <v>9</v>
      </c>
      <c r="U46" s="648">
        <f t="shared" si="4"/>
        <v>9</v>
      </c>
      <c r="V46" s="648">
        <f t="shared" si="5"/>
        <v>6</v>
      </c>
      <c r="W46" s="648">
        <f t="shared" si="6"/>
        <v>6</v>
      </c>
      <c r="X46" s="648">
        <f t="shared" si="7"/>
        <v>6</v>
      </c>
      <c r="Y46" s="21" t="str">
        <f>_xlfn.XLOOKUP(AA46,Combos!AU:AU,Combos!AT:AT,"",0,1)</f>
        <v/>
      </c>
      <c r="Z46" s="659" t="s">
        <v>865</v>
      </c>
      <c r="AA46" s="659" t="s">
        <v>865</v>
      </c>
      <c r="AB46" s="659" t="s">
        <v>966</v>
      </c>
      <c r="AC46" s="8" t="s">
        <v>967</v>
      </c>
      <c r="AD46" s="8" t="s">
        <v>967</v>
      </c>
    </row>
    <row r="47" spans="1:30">
      <c r="A47" s="21" t="s">
        <v>668</v>
      </c>
      <c r="B47" s="651"/>
      <c r="C47" s="21">
        <v>1</v>
      </c>
      <c r="D47" s="655"/>
      <c r="E47" s="21" t="str">
        <f>_xlfn.XLOOKUP(G47,Combos!AB:AB,Combos!AA:AA,"",0,1)</f>
        <v/>
      </c>
      <c r="F47" s="21">
        <v>3</v>
      </c>
      <c r="G47" s="652" t="s">
        <v>968</v>
      </c>
      <c r="H47" s="8" t="s">
        <v>969</v>
      </c>
      <c r="I47" s="8" t="s">
        <v>873</v>
      </c>
      <c r="K47" s="664" t="s">
        <v>914</v>
      </c>
      <c r="L47" s="2">
        <f t="shared" si="0"/>
        <v>8</v>
      </c>
      <c r="M47" s="662">
        <v>2</v>
      </c>
      <c r="N47" s="662">
        <v>1</v>
      </c>
      <c r="O47" s="662">
        <v>4</v>
      </c>
      <c r="P47" s="662">
        <v>4</v>
      </c>
      <c r="Q47" s="662">
        <v>4</v>
      </c>
      <c r="R47" s="648">
        <f t="shared" si="1"/>
        <v>15</v>
      </c>
      <c r="S47" s="648">
        <f t="shared" si="2"/>
        <v>10</v>
      </c>
      <c r="T47" s="648">
        <f t="shared" si="3"/>
        <v>9</v>
      </c>
      <c r="U47" s="648">
        <f t="shared" si="4"/>
        <v>12</v>
      </c>
      <c r="V47" s="648">
        <f t="shared" si="5"/>
        <v>6</v>
      </c>
      <c r="W47" s="648">
        <f t="shared" si="6"/>
        <v>5</v>
      </c>
      <c r="X47" s="648">
        <f t="shared" si="7"/>
        <v>8</v>
      </c>
      <c r="Y47" s="21" t="str">
        <f>_xlfn.XLOOKUP(AA47,Combos!AU:AU,Combos!AT:AT,"",0,1)</f>
        <v/>
      </c>
      <c r="Z47" s="8" t="s">
        <v>970</v>
      </c>
      <c r="AA47" s="8" t="s">
        <v>971</v>
      </c>
      <c r="AB47" s="8" t="s">
        <v>972</v>
      </c>
      <c r="AC47" s="8" t="s">
        <v>973</v>
      </c>
      <c r="AD47" s="8" t="s">
        <v>974</v>
      </c>
    </row>
    <row r="48" spans="2:30">
      <c r="B48" s="649">
        <v>1</v>
      </c>
      <c r="G48" s="658" t="s">
        <v>975</v>
      </c>
      <c r="H48" s="10" t="s">
        <v>976</v>
      </c>
      <c r="I48" s="670" t="s">
        <v>887</v>
      </c>
      <c r="K48" s="2" t="s">
        <v>914</v>
      </c>
      <c r="L48" s="661">
        <f t="shared" si="0"/>
        <v>0</v>
      </c>
      <c r="M48" s="648">
        <v>0</v>
      </c>
      <c r="N48" s="648">
        <v>0</v>
      </c>
      <c r="O48" s="648">
        <v>0</v>
      </c>
      <c r="P48" s="648">
        <v>0</v>
      </c>
      <c r="Q48" s="648">
        <v>0</v>
      </c>
      <c r="R48" s="648">
        <f t="shared" si="1"/>
        <v>0</v>
      </c>
      <c r="S48" s="648">
        <f t="shared" si="2"/>
        <v>0</v>
      </c>
      <c r="T48" s="648">
        <f t="shared" si="3"/>
        <v>0</v>
      </c>
      <c r="U48" s="648">
        <f t="shared" si="4"/>
        <v>0</v>
      </c>
      <c r="V48" s="648">
        <f t="shared" si="5"/>
        <v>0</v>
      </c>
      <c r="W48" s="648">
        <f t="shared" si="6"/>
        <v>0</v>
      </c>
      <c r="X48" s="648">
        <f t="shared" si="7"/>
        <v>0</v>
      </c>
      <c r="Z48" s="670" t="s">
        <v>887</v>
      </c>
      <c r="AA48" s="670" t="s">
        <v>887</v>
      </c>
      <c r="AB48" s="670" t="s">
        <v>977</v>
      </c>
      <c r="AC48" s="8" t="s">
        <v>978</v>
      </c>
      <c r="AD48" s="8" t="s">
        <v>978</v>
      </c>
    </row>
    <row r="49" spans="2:30">
      <c r="B49" s="649">
        <v>1</v>
      </c>
      <c r="G49" s="658" t="s">
        <v>979</v>
      </c>
      <c r="H49" s="10" t="s">
        <v>980</v>
      </c>
      <c r="I49" s="670" t="s">
        <v>894</v>
      </c>
      <c r="K49" s="2" t="s">
        <v>914</v>
      </c>
      <c r="L49" s="661">
        <f t="shared" si="0"/>
        <v>0</v>
      </c>
      <c r="M49" s="648">
        <v>0</v>
      </c>
      <c r="N49" s="648">
        <v>0</v>
      </c>
      <c r="O49" s="648">
        <v>0</v>
      </c>
      <c r="P49" s="648">
        <v>0</v>
      </c>
      <c r="Q49" s="648">
        <v>0</v>
      </c>
      <c r="R49" s="648">
        <f t="shared" si="1"/>
        <v>0</v>
      </c>
      <c r="S49" s="648">
        <f t="shared" si="2"/>
        <v>0</v>
      </c>
      <c r="T49" s="648">
        <f t="shared" si="3"/>
        <v>0</v>
      </c>
      <c r="U49" s="648">
        <f t="shared" si="4"/>
        <v>0</v>
      </c>
      <c r="V49" s="648">
        <f t="shared" si="5"/>
        <v>0</v>
      </c>
      <c r="W49" s="648">
        <f t="shared" si="6"/>
        <v>0</v>
      </c>
      <c r="X49" s="648">
        <f t="shared" si="7"/>
        <v>0</v>
      </c>
      <c r="Z49" s="670" t="s">
        <v>894</v>
      </c>
      <c r="AA49" s="670" t="s">
        <v>894</v>
      </c>
      <c r="AB49" s="670" t="s">
        <v>981</v>
      </c>
      <c r="AC49" s="8" t="s">
        <v>982</v>
      </c>
      <c r="AD49" s="8" t="s">
        <v>983</v>
      </c>
    </row>
    <row r="50" spans="1:30">
      <c r="A50" s="21" t="s">
        <v>668</v>
      </c>
      <c r="B50" s="651"/>
      <c r="C50" s="21" t="s">
        <v>746</v>
      </c>
      <c r="D50" s="21" t="s">
        <v>748</v>
      </c>
      <c r="E50" s="21" t="str">
        <f>_xlfn.XLOOKUP(G50,Combos!AB:AB,Combos!AA:AA,"",0,1)</f>
        <v/>
      </c>
      <c r="F50" s="21" t="s">
        <v>748</v>
      </c>
      <c r="G50" s="650" t="s">
        <v>984</v>
      </c>
      <c r="H50" s="8" t="s">
        <v>985</v>
      </c>
      <c r="I50" s="8" t="s">
        <v>837</v>
      </c>
      <c r="K50" s="666" t="s">
        <v>939</v>
      </c>
      <c r="L50" s="2">
        <f>P50+Q50</f>
        <v>6</v>
      </c>
      <c r="M50" s="662">
        <v>4</v>
      </c>
      <c r="N50" s="662">
        <v>1</v>
      </c>
      <c r="O50" s="662">
        <v>4</v>
      </c>
      <c r="P50" s="662">
        <v>3</v>
      </c>
      <c r="Q50" s="662">
        <v>3</v>
      </c>
      <c r="R50" s="648">
        <f>SUM(M50:Q50)</f>
        <v>15</v>
      </c>
      <c r="S50" s="648">
        <f>V50+Q50</f>
        <v>10</v>
      </c>
      <c r="T50" s="648">
        <f>W50+Q50</f>
        <v>7</v>
      </c>
      <c r="U50" s="648">
        <f>X50+Q50</f>
        <v>10</v>
      </c>
      <c r="V50" s="648">
        <f>M50+P50</f>
        <v>7</v>
      </c>
      <c r="W50" s="648">
        <f>N50+P50</f>
        <v>4</v>
      </c>
      <c r="X50" s="648">
        <f>O50+P50</f>
        <v>7</v>
      </c>
      <c r="Y50" s="21" t="str">
        <f>_xlfn.XLOOKUP(AA50,Combos!AU:AU,Combos!AT:AT,"",0,1)</f>
        <v/>
      </c>
      <c r="Z50" s="8" t="s">
        <v>986</v>
      </c>
      <c r="AA50" s="8" t="s">
        <v>986</v>
      </c>
      <c r="AB50" s="8" t="s">
        <v>987</v>
      </c>
      <c r="AC50" s="8" t="s">
        <v>988</v>
      </c>
      <c r="AD50" s="8" t="s">
        <v>988</v>
      </c>
    </row>
    <row r="51" ht="27" spans="1:30">
      <c r="A51" s="21" t="s">
        <v>668</v>
      </c>
      <c r="B51" s="651"/>
      <c r="C51" s="21">
        <v>1</v>
      </c>
      <c r="D51" s="655"/>
      <c r="E51" s="21" t="str">
        <f>_xlfn.XLOOKUP(G51,Combos!AB:AB,Combos!AA:AA,"",0,1)</f>
        <v/>
      </c>
      <c r="F51" s="21">
        <v>1</v>
      </c>
      <c r="G51" s="652" t="s">
        <v>989</v>
      </c>
      <c r="H51" s="13" t="s">
        <v>990</v>
      </c>
      <c r="I51" s="8" t="s">
        <v>903</v>
      </c>
      <c r="K51" s="667" t="s">
        <v>914</v>
      </c>
      <c r="L51" s="2">
        <f t="shared" si="0"/>
        <v>7</v>
      </c>
      <c r="M51" s="662">
        <v>1</v>
      </c>
      <c r="N51" s="662">
        <v>5</v>
      </c>
      <c r="O51" s="662">
        <v>2</v>
      </c>
      <c r="P51" s="662">
        <v>4</v>
      </c>
      <c r="Q51" s="662">
        <v>3</v>
      </c>
      <c r="R51" s="648">
        <f t="shared" si="1"/>
        <v>15</v>
      </c>
      <c r="S51" s="648">
        <f t="shared" si="2"/>
        <v>8</v>
      </c>
      <c r="T51" s="648">
        <f t="shared" si="3"/>
        <v>12</v>
      </c>
      <c r="U51" s="648">
        <f t="shared" si="4"/>
        <v>9</v>
      </c>
      <c r="V51" s="648">
        <f t="shared" si="5"/>
        <v>5</v>
      </c>
      <c r="W51" s="648">
        <f t="shared" si="6"/>
        <v>9</v>
      </c>
      <c r="X51" s="648">
        <f t="shared" si="7"/>
        <v>6</v>
      </c>
      <c r="Y51" s="21" t="str">
        <f>_xlfn.XLOOKUP(AA51,Combos!AU:AU,Combos!AT:AT,"",0,1)</f>
        <v/>
      </c>
      <c r="Z51" s="8" t="s">
        <v>991</v>
      </c>
      <c r="AA51" s="8" t="s">
        <v>992</v>
      </c>
      <c r="AB51" s="8" t="s">
        <v>993</v>
      </c>
      <c r="AC51" s="670" t="s">
        <v>994</v>
      </c>
      <c r="AD51" s="670" t="s">
        <v>994</v>
      </c>
    </row>
    <row r="52" spans="2:30">
      <c r="B52" s="649">
        <v>1</v>
      </c>
      <c r="E52" s="21" t="str">
        <f>_xlfn.XLOOKUP(G52,Combos!AB:AB,Combos!AA:AA,"",0,1)</f>
        <v/>
      </c>
      <c r="F52" s="21">
        <v>2</v>
      </c>
      <c r="G52" s="650" t="s">
        <v>995</v>
      </c>
      <c r="H52" s="8" t="s">
        <v>996</v>
      </c>
      <c r="I52" s="659" t="s">
        <v>926</v>
      </c>
      <c r="K52" s="660" t="s">
        <v>914</v>
      </c>
      <c r="L52" s="661">
        <f t="shared" si="0"/>
        <v>9</v>
      </c>
      <c r="M52" s="662">
        <v>4</v>
      </c>
      <c r="N52" s="663">
        <v>1</v>
      </c>
      <c r="O52" s="663">
        <v>1</v>
      </c>
      <c r="P52" s="663">
        <v>4</v>
      </c>
      <c r="Q52" s="663">
        <v>5</v>
      </c>
      <c r="R52" s="648">
        <f t="shared" si="1"/>
        <v>15</v>
      </c>
      <c r="S52" s="648">
        <f t="shared" si="2"/>
        <v>13</v>
      </c>
      <c r="T52" s="648">
        <f t="shared" si="3"/>
        <v>10</v>
      </c>
      <c r="U52" s="648">
        <f t="shared" si="4"/>
        <v>10</v>
      </c>
      <c r="V52" s="648">
        <f t="shared" si="5"/>
        <v>8</v>
      </c>
      <c r="W52" s="648">
        <f t="shared" si="6"/>
        <v>5</v>
      </c>
      <c r="X52" s="648">
        <f t="shared" si="7"/>
        <v>5</v>
      </c>
      <c r="Y52" s="21" t="str">
        <f>_xlfn.XLOOKUP(AA52,Combos!AU:AU,Combos!AT:AT,"",0,1)</f>
        <v/>
      </c>
      <c r="Z52" s="659" t="s">
        <v>997</v>
      </c>
      <c r="AA52" s="659" t="s">
        <v>998</v>
      </c>
      <c r="AB52" s="659" t="s">
        <v>999</v>
      </c>
      <c r="AC52" s="8" t="s">
        <v>1000</v>
      </c>
      <c r="AD52" s="8" t="s">
        <v>1001</v>
      </c>
    </row>
    <row r="53" spans="2:30">
      <c r="B53" s="649">
        <v>1</v>
      </c>
      <c r="C53" s="657"/>
      <c r="D53" s="21"/>
      <c r="E53" s="21" t="str">
        <f>_xlfn.XLOOKUP(G53,Combos!AB:AB,Combos!AA:AA,"",0,1)</f>
        <v/>
      </c>
      <c r="G53" s="652" t="s">
        <v>1002</v>
      </c>
      <c r="H53" s="8" t="s">
        <v>1003</v>
      </c>
      <c r="I53" s="659" t="s">
        <v>879</v>
      </c>
      <c r="K53" s="667" t="s">
        <v>939</v>
      </c>
      <c r="L53" s="661">
        <f>P53+Q53</f>
        <v>7</v>
      </c>
      <c r="M53" s="663">
        <v>1</v>
      </c>
      <c r="N53" s="663">
        <v>4</v>
      </c>
      <c r="O53" s="663">
        <v>3</v>
      </c>
      <c r="P53" s="662">
        <v>4</v>
      </c>
      <c r="Q53" s="662">
        <v>3</v>
      </c>
      <c r="R53" s="648">
        <f>SUM(M53:Q53)</f>
        <v>15</v>
      </c>
      <c r="S53" s="648">
        <f>V53+Q53</f>
        <v>8</v>
      </c>
      <c r="T53" s="648">
        <f>W53+Q53</f>
        <v>11</v>
      </c>
      <c r="U53" s="648">
        <f>X53+Q53</f>
        <v>10</v>
      </c>
      <c r="V53" s="648">
        <f>M53+P53</f>
        <v>5</v>
      </c>
      <c r="W53" s="648">
        <f>N53+P53</f>
        <v>8</v>
      </c>
      <c r="X53" s="648">
        <f>O53+P53</f>
        <v>7</v>
      </c>
      <c r="Y53" s="21" t="str">
        <f>_xlfn.XLOOKUP(AA53,Combos!AU:AU,Combos!AT:AT,"",0,1)</f>
        <v/>
      </c>
      <c r="Z53" s="659" t="s">
        <v>1004</v>
      </c>
      <c r="AA53" s="659" t="s">
        <v>1004</v>
      </c>
      <c r="AB53" s="659" t="s">
        <v>1005</v>
      </c>
      <c r="AC53" s="8" t="s">
        <v>1006</v>
      </c>
      <c r="AD53" s="8" t="s">
        <v>1006</v>
      </c>
    </row>
    <row r="54" ht="27" spans="1:30">
      <c r="A54" s="21" t="s">
        <v>668</v>
      </c>
      <c r="B54" s="649">
        <v>1</v>
      </c>
      <c r="C54" s="657"/>
      <c r="D54" s="21" t="s">
        <v>748</v>
      </c>
      <c r="E54" s="21" t="str">
        <f>_xlfn.XLOOKUP(G54,Combos!AB:AB,Combos!AA:AA,"",0,1)</f>
        <v/>
      </c>
      <c r="G54" s="652" t="s">
        <v>1007</v>
      </c>
      <c r="H54" s="8" t="s">
        <v>1008</v>
      </c>
      <c r="I54" s="659" t="s">
        <v>931</v>
      </c>
      <c r="K54" s="660" t="s">
        <v>939</v>
      </c>
      <c r="L54" s="661">
        <f>P54+Q54</f>
        <v>8</v>
      </c>
      <c r="M54" s="663">
        <v>1</v>
      </c>
      <c r="N54" s="663">
        <v>3</v>
      </c>
      <c r="O54" s="663">
        <v>3</v>
      </c>
      <c r="P54" s="663">
        <v>4</v>
      </c>
      <c r="Q54" s="663">
        <v>4</v>
      </c>
      <c r="R54" s="648">
        <f>SUM(M54:Q54)</f>
        <v>15</v>
      </c>
      <c r="S54" s="648">
        <f>V54+Q54</f>
        <v>9</v>
      </c>
      <c r="T54" s="648">
        <f>W54+Q54</f>
        <v>11</v>
      </c>
      <c r="U54" s="648">
        <f>X54+Q54</f>
        <v>11</v>
      </c>
      <c r="V54" s="648">
        <f>M54+P54</f>
        <v>5</v>
      </c>
      <c r="W54" s="648">
        <f>N54+P54</f>
        <v>7</v>
      </c>
      <c r="X54" s="648">
        <f>O54+P54</f>
        <v>7</v>
      </c>
      <c r="Y54" s="21" t="str">
        <f>_xlfn.XLOOKUP(AA54,Combos!AU:AU,Combos!AT:AT,"",0,1)</f>
        <v/>
      </c>
      <c r="Z54" s="659" t="s">
        <v>1009</v>
      </c>
      <c r="AA54" s="659" t="s">
        <v>1009</v>
      </c>
      <c r="AB54" s="659" t="s">
        <v>1010</v>
      </c>
      <c r="AC54" s="8" t="s">
        <v>1011</v>
      </c>
      <c r="AD54" s="8" t="s">
        <v>1011</v>
      </c>
    </row>
    <row r="55" spans="1:30">
      <c r="A55" s="21" t="s">
        <v>748</v>
      </c>
      <c r="B55" s="651"/>
      <c r="D55" s="21" t="s">
        <v>748</v>
      </c>
      <c r="E55" s="21" t="str">
        <f>_xlfn.XLOOKUP(G55,Combos!AB:AB,Combos!AA:AA,"",0,1)</f>
        <v/>
      </c>
      <c r="F55" s="21" t="s">
        <v>748</v>
      </c>
      <c r="G55" s="652" t="s">
        <v>1012</v>
      </c>
      <c r="H55" s="13" t="s">
        <v>1013</v>
      </c>
      <c r="I55" s="8" t="s">
        <v>667</v>
      </c>
      <c r="K55" s="666" t="s">
        <v>654</v>
      </c>
      <c r="L55" s="2">
        <f t="shared" si="0"/>
        <v>6</v>
      </c>
      <c r="M55" s="663">
        <v>1</v>
      </c>
      <c r="N55" s="663">
        <v>4</v>
      </c>
      <c r="O55" s="663">
        <v>4</v>
      </c>
      <c r="P55" s="663">
        <v>3</v>
      </c>
      <c r="Q55" s="663">
        <v>3</v>
      </c>
      <c r="R55" s="648">
        <f t="shared" si="1"/>
        <v>15</v>
      </c>
      <c r="S55" s="648">
        <f t="shared" si="2"/>
        <v>7</v>
      </c>
      <c r="T55" s="648">
        <f t="shared" si="3"/>
        <v>10</v>
      </c>
      <c r="U55" s="648">
        <f t="shared" si="4"/>
        <v>10</v>
      </c>
      <c r="V55" s="648">
        <f t="shared" si="5"/>
        <v>4</v>
      </c>
      <c r="W55" s="648">
        <f t="shared" si="6"/>
        <v>7</v>
      </c>
      <c r="X55" s="648">
        <f t="shared" si="7"/>
        <v>7</v>
      </c>
      <c r="Y55" s="21" t="str">
        <f>_xlfn.XLOOKUP(AA55,Combos!AU:AU,Combos!AT:AT,"",0,1)</f>
        <v/>
      </c>
      <c r="Z55" s="8" t="s">
        <v>1014</v>
      </c>
      <c r="AA55" s="8" t="s">
        <v>1014</v>
      </c>
      <c r="AB55" s="8" t="s">
        <v>1015</v>
      </c>
      <c r="AC55" s="8" t="s">
        <v>1016</v>
      </c>
      <c r="AD55" s="8" t="s">
        <v>1016</v>
      </c>
    </row>
    <row r="56" spans="1:30">
      <c r="A56" s="21" t="s">
        <v>668</v>
      </c>
      <c r="B56" s="651"/>
      <c r="C56" s="21" t="s">
        <v>746</v>
      </c>
      <c r="D56" s="21" t="s">
        <v>748</v>
      </c>
      <c r="E56" s="21" t="str">
        <f>_xlfn.XLOOKUP(G56,Combos!AB:AB,Combos!AA:AA,"",0,1)</f>
        <v/>
      </c>
      <c r="F56" s="21" t="s">
        <v>748</v>
      </c>
      <c r="G56" s="652" t="s">
        <v>1017</v>
      </c>
      <c r="H56" s="13" t="s">
        <v>1018</v>
      </c>
      <c r="I56" s="8" t="s">
        <v>1019</v>
      </c>
      <c r="K56" s="666" t="s">
        <v>646</v>
      </c>
      <c r="L56" s="2">
        <f t="shared" si="0"/>
        <v>5</v>
      </c>
      <c r="M56" s="662">
        <v>2</v>
      </c>
      <c r="N56" s="662">
        <v>4</v>
      </c>
      <c r="O56" s="662">
        <v>4</v>
      </c>
      <c r="P56" s="662">
        <v>3</v>
      </c>
      <c r="Q56" s="662">
        <v>2</v>
      </c>
      <c r="R56" s="648">
        <f t="shared" si="1"/>
        <v>15</v>
      </c>
      <c r="S56" s="648">
        <f t="shared" si="2"/>
        <v>7</v>
      </c>
      <c r="T56" s="648">
        <f t="shared" si="3"/>
        <v>9</v>
      </c>
      <c r="U56" s="648">
        <f t="shared" si="4"/>
        <v>9</v>
      </c>
      <c r="V56" s="648">
        <f t="shared" si="5"/>
        <v>5</v>
      </c>
      <c r="W56" s="648">
        <f t="shared" si="6"/>
        <v>7</v>
      </c>
      <c r="X56" s="648">
        <f t="shared" si="7"/>
        <v>7</v>
      </c>
      <c r="Y56" s="21" t="str">
        <f>_xlfn.XLOOKUP(AA56,Combos!AU:AU,Combos!AT:AT,"",0,1)</f>
        <v/>
      </c>
      <c r="Z56" s="8" t="s">
        <v>1020</v>
      </c>
      <c r="AA56" s="8" t="s">
        <v>1020</v>
      </c>
      <c r="AB56" s="8" t="s">
        <v>1021</v>
      </c>
      <c r="AC56" s="8" t="s">
        <v>1022</v>
      </c>
      <c r="AD56" s="8" t="s">
        <v>1023</v>
      </c>
    </row>
    <row r="57" spans="1:30">
      <c r="A57" s="21" t="s">
        <v>668</v>
      </c>
      <c r="B57" s="651"/>
      <c r="C57" s="21" t="s">
        <v>746</v>
      </c>
      <c r="D57" s="21" t="s">
        <v>748</v>
      </c>
      <c r="E57" s="21" t="str">
        <f>_xlfn.XLOOKUP(G57,Combos!AB:AB,Combos!AA:AA,"",0,1)</f>
        <v/>
      </c>
      <c r="F57" s="21" t="s">
        <v>748</v>
      </c>
      <c r="G57" s="652" t="s">
        <v>1024</v>
      </c>
      <c r="H57" s="13" t="s">
        <v>1025</v>
      </c>
      <c r="I57" s="8" t="s">
        <v>1026</v>
      </c>
      <c r="K57" s="666" t="s">
        <v>654</v>
      </c>
      <c r="L57" s="2">
        <f t="shared" si="0"/>
        <v>5</v>
      </c>
      <c r="M57" s="662">
        <v>2</v>
      </c>
      <c r="N57" s="662">
        <v>4</v>
      </c>
      <c r="O57" s="662">
        <v>4</v>
      </c>
      <c r="P57" s="662">
        <v>3</v>
      </c>
      <c r="Q57" s="662">
        <v>2</v>
      </c>
      <c r="R57" s="648">
        <f t="shared" si="1"/>
        <v>15</v>
      </c>
      <c r="S57" s="648">
        <f t="shared" si="2"/>
        <v>7</v>
      </c>
      <c r="T57" s="648">
        <f t="shared" si="3"/>
        <v>9</v>
      </c>
      <c r="U57" s="648">
        <f t="shared" si="4"/>
        <v>9</v>
      </c>
      <c r="V57" s="648">
        <f t="shared" si="5"/>
        <v>5</v>
      </c>
      <c r="W57" s="648">
        <f t="shared" si="6"/>
        <v>7</v>
      </c>
      <c r="X57" s="648">
        <f t="shared" si="7"/>
        <v>7</v>
      </c>
      <c r="Y57" s="21" t="str">
        <f>_xlfn.XLOOKUP(AA57,Combos!AU:AU,Combos!AT:AT,"",0,1)</f>
        <v/>
      </c>
      <c r="Z57" s="8" t="s">
        <v>1027</v>
      </c>
      <c r="AA57" s="8" t="s">
        <v>1027</v>
      </c>
      <c r="AB57" s="8" t="s">
        <v>1028</v>
      </c>
      <c r="AC57" s="659" t="s">
        <v>1029</v>
      </c>
      <c r="AD57" s="659" t="s">
        <v>1029</v>
      </c>
    </row>
    <row r="58" spans="1:30">
      <c r="A58" s="21" t="s">
        <v>668</v>
      </c>
      <c r="B58" s="651"/>
      <c r="C58" s="21">
        <v>2</v>
      </c>
      <c r="D58" s="653"/>
      <c r="E58" s="21" t="str">
        <f>_xlfn.XLOOKUP(G58,Combos!AB:AB,Combos!AA:AA,"",0,1)</f>
        <v/>
      </c>
      <c r="G58" s="650" t="s">
        <v>1030</v>
      </c>
      <c r="H58" s="8" t="s">
        <v>1031</v>
      </c>
      <c r="I58" s="8" t="s">
        <v>978</v>
      </c>
      <c r="K58" s="667" t="s">
        <v>939</v>
      </c>
      <c r="L58" s="2">
        <f>P58+Q58</f>
        <v>6</v>
      </c>
      <c r="M58" s="663">
        <v>4</v>
      </c>
      <c r="N58" s="663">
        <v>2</v>
      </c>
      <c r="O58" s="663">
        <v>3</v>
      </c>
      <c r="P58" s="662">
        <v>4</v>
      </c>
      <c r="Q58" s="662">
        <v>2</v>
      </c>
      <c r="R58" s="648">
        <f>SUM(M58:Q58)</f>
        <v>15</v>
      </c>
      <c r="S58" s="648">
        <f>V58+Q58</f>
        <v>10</v>
      </c>
      <c r="T58" s="648">
        <f>W58+Q58</f>
        <v>8</v>
      </c>
      <c r="U58" s="648">
        <f>X58+Q58</f>
        <v>9</v>
      </c>
      <c r="V58" s="648">
        <f>M58+P58</f>
        <v>8</v>
      </c>
      <c r="W58" s="648">
        <f>N58+P58</f>
        <v>6</v>
      </c>
      <c r="X58" s="648">
        <f>O58+P58</f>
        <v>7</v>
      </c>
      <c r="Y58" s="21" t="str">
        <f>_xlfn.XLOOKUP(AA58,Combos!AU:AU,Combos!AT:AT,"",0,1)</f>
        <v/>
      </c>
      <c r="Z58" s="8" t="s">
        <v>1032</v>
      </c>
      <c r="AA58" s="8" t="s">
        <v>1032</v>
      </c>
      <c r="AB58" s="8" t="s">
        <v>1033</v>
      </c>
      <c r="AC58" s="665" t="s">
        <v>1034</v>
      </c>
      <c r="AD58" s="665" t="s">
        <v>1035</v>
      </c>
    </row>
    <row r="59" spans="2:30">
      <c r="B59" s="651"/>
      <c r="E59" s="21" t="str">
        <f>_xlfn.XLOOKUP(G59,Combos!AB:AB,Combos!AA:AA,"",0,1)</f>
        <v/>
      </c>
      <c r="F59" s="21">
        <v>3</v>
      </c>
      <c r="G59" s="652" t="s">
        <v>1036</v>
      </c>
      <c r="H59" s="8" t="s">
        <v>1037</v>
      </c>
      <c r="I59" s="8" t="s">
        <v>1038</v>
      </c>
      <c r="K59" s="664" t="s">
        <v>1039</v>
      </c>
      <c r="L59" s="2">
        <f t="shared" si="0"/>
        <v>8</v>
      </c>
      <c r="M59" s="662">
        <v>1</v>
      </c>
      <c r="N59" s="662">
        <v>2</v>
      </c>
      <c r="O59" s="662">
        <v>4</v>
      </c>
      <c r="P59" s="662">
        <v>4</v>
      </c>
      <c r="Q59" s="662">
        <v>4</v>
      </c>
      <c r="R59" s="648">
        <f t="shared" si="1"/>
        <v>15</v>
      </c>
      <c r="S59" s="648">
        <f t="shared" si="2"/>
        <v>9</v>
      </c>
      <c r="T59" s="648">
        <f t="shared" si="3"/>
        <v>10</v>
      </c>
      <c r="U59" s="648">
        <f t="shared" si="4"/>
        <v>12</v>
      </c>
      <c r="V59" s="648">
        <f t="shared" si="5"/>
        <v>5</v>
      </c>
      <c r="W59" s="648">
        <f t="shared" si="6"/>
        <v>6</v>
      </c>
      <c r="X59" s="648">
        <f t="shared" si="7"/>
        <v>8</v>
      </c>
      <c r="Y59" s="21" t="str">
        <f>_xlfn.XLOOKUP(AA59,Combos!AU:AU,Combos!AT:AT,"",0,1)</f>
        <v/>
      </c>
      <c r="Z59" s="8" t="s">
        <v>1038</v>
      </c>
      <c r="AA59" s="8" t="s">
        <v>1038</v>
      </c>
      <c r="AB59" s="8" t="s">
        <v>1040</v>
      </c>
      <c r="AC59" s="8" t="s">
        <v>1041</v>
      </c>
      <c r="AD59" s="8" t="s">
        <v>1041</v>
      </c>
    </row>
    <row r="60" spans="2:30">
      <c r="B60" s="651"/>
      <c r="E60" s="21" t="str">
        <f>_xlfn.XLOOKUP(G60,Combos!AB:AB,Combos!AA:AA,"",0,1)</f>
        <v/>
      </c>
      <c r="G60" s="652" t="s">
        <v>1042</v>
      </c>
      <c r="H60" s="8" t="s">
        <v>1043</v>
      </c>
      <c r="I60" s="8" t="s">
        <v>1044</v>
      </c>
      <c r="K60" s="669" t="s">
        <v>1039</v>
      </c>
      <c r="L60" s="2">
        <f t="shared" si="0"/>
        <v>7</v>
      </c>
      <c r="M60" s="663">
        <v>3</v>
      </c>
      <c r="N60" s="663">
        <v>1</v>
      </c>
      <c r="O60" s="663">
        <v>4</v>
      </c>
      <c r="P60" s="662">
        <v>4</v>
      </c>
      <c r="Q60" s="662">
        <v>3</v>
      </c>
      <c r="R60" s="648">
        <f t="shared" si="1"/>
        <v>15</v>
      </c>
      <c r="S60" s="648">
        <f t="shared" si="2"/>
        <v>10</v>
      </c>
      <c r="T60" s="648">
        <f t="shared" si="3"/>
        <v>8</v>
      </c>
      <c r="U60" s="648">
        <f t="shared" si="4"/>
        <v>11</v>
      </c>
      <c r="V60" s="648">
        <f t="shared" si="5"/>
        <v>7</v>
      </c>
      <c r="W60" s="648">
        <f t="shared" si="6"/>
        <v>5</v>
      </c>
      <c r="X60" s="648">
        <f t="shared" si="7"/>
        <v>8</v>
      </c>
      <c r="Y60" s="21" t="str">
        <f>_xlfn.XLOOKUP(AA60,Combos!AU:AU,Combos!AT:AT,"",0,1)</f>
        <v/>
      </c>
      <c r="Z60" s="8" t="s">
        <v>1045</v>
      </c>
      <c r="AA60" s="8" t="s">
        <v>1045</v>
      </c>
      <c r="AB60" s="8" t="s">
        <v>1046</v>
      </c>
      <c r="AC60" s="8" t="s">
        <v>1047</v>
      </c>
      <c r="AD60" s="8" t="s">
        <v>1047</v>
      </c>
    </row>
    <row r="61" spans="2:30">
      <c r="B61" s="651"/>
      <c r="D61" s="21" t="s">
        <v>1048</v>
      </c>
      <c r="E61" s="21" t="str">
        <f>_xlfn.XLOOKUP(G61,Combos!AB:AB,Combos!AA:AA,"",0,1)</f>
        <v/>
      </c>
      <c r="G61" s="8" t="s">
        <v>1049</v>
      </c>
      <c r="H61" s="8" t="s">
        <v>1050</v>
      </c>
      <c r="I61" s="8" t="s">
        <v>1051</v>
      </c>
      <c r="K61" s="669" t="s">
        <v>1039</v>
      </c>
      <c r="L61" s="2">
        <f t="shared" si="0"/>
        <v>7</v>
      </c>
      <c r="M61" s="663">
        <v>2</v>
      </c>
      <c r="N61" s="663">
        <v>2</v>
      </c>
      <c r="O61" s="663">
        <v>4</v>
      </c>
      <c r="P61" s="663">
        <v>4</v>
      </c>
      <c r="Q61" s="663">
        <v>3</v>
      </c>
      <c r="R61" s="648">
        <f t="shared" si="1"/>
        <v>15</v>
      </c>
      <c r="S61" s="648">
        <f t="shared" si="2"/>
        <v>9</v>
      </c>
      <c r="T61" s="648">
        <f t="shared" si="3"/>
        <v>9</v>
      </c>
      <c r="U61" s="648">
        <f t="shared" si="4"/>
        <v>11</v>
      </c>
      <c r="V61" s="648">
        <f t="shared" si="5"/>
        <v>6</v>
      </c>
      <c r="W61" s="648">
        <f t="shared" si="6"/>
        <v>6</v>
      </c>
      <c r="X61" s="648">
        <f t="shared" si="7"/>
        <v>8</v>
      </c>
      <c r="Y61" s="21" t="str">
        <f>_xlfn.XLOOKUP(AA61,Combos!AU:AU,Combos!AT:AT,"",0,1)</f>
        <v/>
      </c>
      <c r="Z61" s="8" t="s">
        <v>1052</v>
      </c>
      <c r="AA61" s="8" t="s">
        <v>1052</v>
      </c>
      <c r="AB61" s="8" t="s">
        <v>1053</v>
      </c>
      <c r="AC61" s="659" t="s">
        <v>1054</v>
      </c>
      <c r="AD61" s="659" t="s">
        <v>1054</v>
      </c>
    </row>
    <row r="62" spans="2:30">
      <c r="B62" s="649">
        <v>1</v>
      </c>
      <c r="C62" s="657"/>
      <c r="E62" s="21" t="str">
        <f>_xlfn.XLOOKUP(G62,Combos!AB:AB,Combos!AA:AA,"",0,1)</f>
        <v/>
      </c>
      <c r="G62" s="652" t="s">
        <v>1055</v>
      </c>
      <c r="H62" s="8" t="s">
        <v>1056</v>
      </c>
      <c r="I62" s="659" t="s">
        <v>1029</v>
      </c>
      <c r="K62" s="669" t="s">
        <v>939</v>
      </c>
      <c r="L62" s="661">
        <f t="shared" si="0"/>
        <v>7</v>
      </c>
      <c r="M62" s="662">
        <v>1</v>
      </c>
      <c r="N62" s="662">
        <v>3</v>
      </c>
      <c r="O62" s="662">
        <v>4</v>
      </c>
      <c r="P62" s="662">
        <v>4</v>
      </c>
      <c r="Q62" s="662">
        <v>3</v>
      </c>
      <c r="R62" s="648">
        <f t="shared" si="1"/>
        <v>15</v>
      </c>
      <c r="S62" s="648">
        <f t="shared" si="2"/>
        <v>8</v>
      </c>
      <c r="T62" s="648">
        <f t="shared" si="3"/>
        <v>10</v>
      </c>
      <c r="U62" s="648">
        <f t="shared" si="4"/>
        <v>11</v>
      </c>
      <c r="V62" s="648">
        <f t="shared" si="5"/>
        <v>5</v>
      </c>
      <c r="W62" s="648">
        <f t="shared" si="6"/>
        <v>7</v>
      </c>
      <c r="X62" s="648">
        <f t="shared" si="7"/>
        <v>8</v>
      </c>
      <c r="Y62" s="21" t="str">
        <f>_xlfn.XLOOKUP(AA62,Combos!AU:AU,Combos!AT:AT,"",0,1)</f>
        <v/>
      </c>
      <c r="Z62" s="659" t="s">
        <v>1057</v>
      </c>
      <c r="AA62" s="659" t="s">
        <v>1057</v>
      </c>
      <c r="AB62" s="659" t="s">
        <v>1058</v>
      </c>
      <c r="AC62" s="670" t="s">
        <v>1059</v>
      </c>
      <c r="AD62" s="670" t="s">
        <v>1059</v>
      </c>
    </row>
    <row r="63" spans="1:30">
      <c r="A63" s="21" t="s">
        <v>668</v>
      </c>
      <c r="B63" s="651"/>
      <c r="C63" s="648" t="s">
        <v>746</v>
      </c>
      <c r="D63" s="21" t="s">
        <v>748</v>
      </c>
      <c r="E63" s="21" t="str">
        <f>_xlfn.XLOOKUP(G63,Combos!AB:AB,Combos!AA:AA,"",0,1)</f>
        <v/>
      </c>
      <c r="F63" s="21" t="s">
        <v>748</v>
      </c>
      <c r="G63" s="652" t="s">
        <v>1060</v>
      </c>
      <c r="H63" s="8" t="s">
        <v>1061</v>
      </c>
      <c r="I63" s="8" t="s">
        <v>1047</v>
      </c>
      <c r="K63" s="667" t="s">
        <v>939</v>
      </c>
      <c r="L63" s="2">
        <f>P63+Q63</f>
        <v>7</v>
      </c>
      <c r="M63" s="663">
        <v>3</v>
      </c>
      <c r="N63" s="663">
        <v>3</v>
      </c>
      <c r="O63" s="663">
        <v>2</v>
      </c>
      <c r="P63" s="662">
        <v>4</v>
      </c>
      <c r="Q63" s="662">
        <v>3</v>
      </c>
      <c r="R63" s="648">
        <f>SUM(M63:Q63)</f>
        <v>15</v>
      </c>
      <c r="S63" s="648">
        <f>V63+Q63</f>
        <v>10</v>
      </c>
      <c r="T63" s="648">
        <f>W63+Q63</f>
        <v>10</v>
      </c>
      <c r="U63" s="648">
        <f>X63+Q63</f>
        <v>9</v>
      </c>
      <c r="V63" s="648">
        <f>M63+P63</f>
        <v>7</v>
      </c>
      <c r="W63" s="648">
        <f>N63+P63</f>
        <v>7</v>
      </c>
      <c r="X63" s="648">
        <f>O63+P63</f>
        <v>6</v>
      </c>
      <c r="Y63" s="21" t="str">
        <f>_xlfn.XLOOKUP(AA63,Combos!AU:AU,Combos!AT:AT,"",0,1)</f>
        <v/>
      </c>
      <c r="Z63" s="8" t="s">
        <v>1062</v>
      </c>
      <c r="AA63" s="8" t="s">
        <v>1062</v>
      </c>
      <c r="AB63" s="8" t="s">
        <v>1063</v>
      </c>
      <c r="AC63" s="8" t="s">
        <v>1064</v>
      </c>
      <c r="AD63" s="8" t="s">
        <v>1064</v>
      </c>
    </row>
    <row r="64" spans="1:30">
      <c r="A64" s="21" t="s">
        <v>668</v>
      </c>
      <c r="B64" s="651"/>
      <c r="C64" s="21" t="s">
        <v>746</v>
      </c>
      <c r="E64" s="21" t="str">
        <f>_xlfn.XLOOKUP(G64,Combos!AB:AB,Combos!AA:AA,"",0,1)</f>
        <v/>
      </c>
      <c r="G64" s="8" t="s">
        <v>1065</v>
      </c>
      <c r="H64" s="8" t="s">
        <v>1066</v>
      </c>
      <c r="I64" s="8" t="s">
        <v>1067</v>
      </c>
      <c r="K64" s="669" t="s">
        <v>646</v>
      </c>
      <c r="L64" s="2">
        <f t="shared" si="0"/>
        <v>6</v>
      </c>
      <c r="M64" s="663">
        <v>2</v>
      </c>
      <c r="N64" s="663">
        <v>3</v>
      </c>
      <c r="O64" s="663">
        <v>4</v>
      </c>
      <c r="P64" s="663">
        <v>4</v>
      </c>
      <c r="Q64" s="663">
        <v>2</v>
      </c>
      <c r="R64" s="648">
        <f t="shared" si="1"/>
        <v>15</v>
      </c>
      <c r="S64" s="648">
        <f t="shared" si="2"/>
        <v>8</v>
      </c>
      <c r="T64" s="648">
        <f t="shared" si="3"/>
        <v>9</v>
      </c>
      <c r="U64" s="648">
        <f t="shared" si="4"/>
        <v>10</v>
      </c>
      <c r="V64" s="648">
        <f t="shared" si="5"/>
        <v>6</v>
      </c>
      <c r="W64" s="648">
        <f t="shared" si="6"/>
        <v>7</v>
      </c>
      <c r="X64" s="648">
        <f t="shared" si="7"/>
        <v>8</v>
      </c>
      <c r="Y64" s="21" t="str">
        <f>_xlfn.XLOOKUP(AA64,Combos!AU:AU,Combos!AT:AT,"",0,1)</f>
        <v/>
      </c>
      <c r="Z64" s="8" t="s">
        <v>1068</v>
      </c>
      <c r="AA64" s="8" t="s">
        <v>1068</v>
      </c>
      <c r="AB64" s="8" t="s">
        <v>1066</v>
      </c>
      <c r="AC64" s="8" t="s">
        <v>1069</v>
      </c>
      <c r="AD64" s="8" t="s">
        <v>1069</v>
      </c>
    </row>
    <row r="65" spans="1:30">
      <c r="A65" s="673" t="s">
        <v>668</v>
      </c>
      <c r="B65" s="651"/>
      <c r="C65" s="673">
        <v>1</v>
      </c>
      <c r="D65" s="655" t="s">
        <v>321</v>
      </c>
      <c r="E65" s="21" t="str">
        <f>_xlfn.XLOOKUP(G65,Combos!AB:AB,Combos!AA:AA,"",0,1)</f>
        <v/>
      </c>
      <c r="G65" s="652" t="s">
        <v>1070</v>
      </c>
      <c r="H65" s="8" t="s">
        <v>1071</v>
      </c>
      <c r="I65" s="8" t="s">
        <v>1072</v>
      </c>
      <c r="K65" s="669" t="s">
        <v>1039</v>
      </c>
      <c r="L65" s="2">
        <f t="shared" si="0"/>
        <v>7</v>
      </c>
      <c r="M65" s="662">
        <v>1</v>
      </c>
      <c r="N65" s="662">
        <v>3</v>
      </c>
      <c r="O65" s="662">
        <v>4</v>
      </c>
      <c r="P65" s="662">
        <v>4</v>
      </c>
      <c r="Q65" s="662">
        <v>3</v>
      </c>
      <c r="R65" s="648">
        <f t="shared" si="1"/>
        <v>15</v>
      </c>
      <c r="S65" s="648">
        <f t="shared" si="2"/>
        <v>8</v>
      </c>
      <c r="T65" s="648">
        <f t="shared" si="3"/>
        <v>10</v>
      </c>
      <c r="U65" s="648">
        <f t="shared" si="4"/>
        <v>11</v>
      </c>
      <c r="V65" s="648">
        <f t="shared" si="5"/>
        <v>5</v>
      </c>
      <c r="W65" s="648">
        <f t="shared" si="6"/>
        <v>7</v>
      </c>
      <c r="X65" s="648">
        <f t="shared" si="7"/>
        <v>8</v>
      </c>
      <c r="Y65" s="21" t="str">
        <f>_xlfn.XLOOKUP(AA65,Combos!AU:AU,Combos!AT:AT,"",0,1)</f>
        <v/>
      </c>
      <c r="Z65" s="8" t="s">
        <v>1073</v>
      </c>
      <c r="AA65" s="8" t="s">
        <v>1073</v>
      </c>
      <c r="AB65" s="8" t="s">
        <v>1074</v>
      </c>
      <c r="AC65" s="8" t="s">
        <v>1075</v>
      </c>
      <c r="AD65" s="8" t="s">
        <v>1075</v>
      </c>
    </row>
    <row r="66" spans="2:30">
      <c r="B66" s="651"/>
      <c r="E66" s="21" t="str">
        <f>_xlfn.XLOOKUP(G66,Combos!AB:AB,Combos!AA:AA,"",0,1)</f>
        <v/>
      </c>
      <c r="G66" s="652" t="s">
        <v>1076</v>
      </c>
      <c r="H66" s="8" t="s">
        <v>1077</v>
      </c>
      <c r="I66" s="8" t="s">
        <v>1078</v>
      </c>
      <c r="K66" s="669" t="s">
        <v>646</v>
      </c>
      <c r="L66" s="2">
        <f t="shared" ref="L66:L129" si="8">P66+Q66</f>
        <v>7</v>
      </c>
      <c r="M66" s="663">
        <v>3</v>
      </c>
      <c r="N66" s="663">
        <v>1</v>
      </c>
      <c r="O66" s="663">
        <v>4</v>
      </c>
      <c r="P66" s="662">
        <v>4</v>
      </c>
      <c r="Q66" s="662">
        <v>3</v>
      </c>
      <c r="R66" s="648">
        <f t="shared" ref="R66:R129" si="9">SUM(M66:Q66)</f>
        <v>15</v>
      </c>
      <c r="S66" s="648">
        <f t="shared" ref="S66:S129" si="10">V66+Q66</f>
        <v>10</v>
      </c>
      <c r="T66" s="648">
        <f t="shared" ref="T66:T129" si="11">W66+Q66</f>
        <v>8</v>
      </c>
      <c r="U66" s="648">
        <f t="shared" ref="U66:U129" si="12">X66+Q66</f>
        <v>11</v>
      </c>
      <c r="V66" s="648">
        <f t="shared" ref="V66:V129" si="13">M66+P66</f>
        <v>7</v>
      </c>
      <c r="W66" s="648">
        <f t="shared" ref="W66:W129" si="14">N66+P66</f>
        <v>5</v>
      </c>
      <c r="X66" s="648">
        <f t="shared" ref="X66:X129" si="15">O66+P66</f>
        <v>8</v>
      </c>
      <c r="Y66" s="21" t="str">
        <f>_xlfn.XLOOKUP(AA66,Combos!AU:AU,Combos!AT:AT,"",0,1)</f>
        <v/>
      </c>
      <c r="Z66" s="8" t="s">
        <v>1079</v>
      </c>
      <c r="AA66" s="8" t="s">
        <v>1079</v>
      </c>
      <c r="AB66" s="8" t="s">
        <v>1080</v>
      </c>
      <c r="AC66" s="8" t="s">
        <v>1081</v>
      </c>
      <c r="AD66" s="8" t="s">
        <v>1081</v>
      </c>
    </row>
    <row r="67" spans="1:30">
      <c r="A67" s="21" t="s">
        <v>668</v>
      </c>
      <c r="B67" s="651"/>
      <c r="C67" s="21">
        <v>1</v>
      </c>
      <c r="D67" s="655"/>
      <c r="E67" s="21" t="str">
        <f>_xlfn.XLOOKUP(G67,Combos!AB:AB,Combos!AA:AA,"",0,1)</f>
        <v/>
      </c>
      <c r="G67" s="652" t="s">
        <v>1082</v>
      </c>
      <c r="H67" s="8" t="s">
        <v>1083</v>
      </c>
      <c r="I67" s="8" t="s">
        <v>1084</v>
      </c>
      <c r="K67" s="669" t="s">
        <v>1039</v>
      </c>
      <c r="L67" s="2">
        <f t="shared" si="8"/>
        <v>7</v>
      </c>
      <c r="M67" s="663">
        <v>3</v>
      </c>
      <c r="N67" s="663">
        <v>1</v>
      </c>
      <c r="O67" s="663">
        <v>4</v>
      </c>
      <c r="P67" s="663">
        <v>4</v>
      </c>
      <c r="Q67" s="663">
        <v>3</v>
      </c>
      <c r="R67" s="648">
        <f t="shared" si="9"/>
        <v>15</v>
      </c>
      <c r="S67" s="648">
        <f t="shared" si="10"/>
        <v>10</v>
      </c>
      <c r="T67" s="648">
        <f t="shared" si="11"/>
        <v>8</v>
      </c>
      <c r="U67" s="648">
        <f t="shared" si="12"/>
        <v>11</v>
      </c>
      <c r="V67" s="648">
        <f t="shared" si="13"/>
        <v>7</v>
      </c>
      <c r="W67" s="648">
        <f t="shared" si="14"/>
        <v>5</v>
      </c>
      <c r="X67" s="648">
        <f t="shared" si="15"/>
        <v>8</v>
      </c>
      <c r="Y67" s="21" t="str">
        <f>_xlfn.XLOOKUP(AA67,Combos!AU:AU,Combos!AT:AT,"",0,1)</f>
        <v/>
      </c>
      <c r="Z67" s="8" t="s">
        <v>1085</v>
      </c>
      <c r="AA67" s="8" t="s">
        <v>1085</v>
      </c>
      <c r="AB67" s="8" t="s">
        <v>1086</v>
      </c>
      <c r="AC67" s="8" t="s">
        <v>1087</v>
      </c>
      <c r="AD67" s="8" t="s">
        <v>1087</v>
      </c>
    </row>
    <row r="68" ht="27" spans="1:30">
      <c r="A68" s="21" t="s">
        <v>748</v>
      </c>
      <c r="B68" s="649">
        <v>1</v>
      </c>
      <c r="C68" s="657"/>
      <c r="D68" s="21" t="s">
        <v>748</v>
      </c>
      <c r="E68" s="21" t="str">
        <f>_xlfn.XLOOKUP(G68,Combos!AB:AB,Combos!AA:AA,"",0,1)</f>
        <v/>
      </c>
      <c r="F68" s="21" t="s">
        <v>748</v>
      </c>
      <c r="G68" s="652" t="s">
        <v>1088</v>
      </c>
      <c r="H68" s="8" t="s">
        <v>1089</v>
      </c>
      <c r="I68" s="659" t="s">
        <v>1054</v>
      </c>
      <c r="K68" s="660" t="s">
        <v>939</v>
      </c>
      <c r="L68" s="661">
        <f>P68+Q68</f>
        <v>8</v>
      </c>
      <c r="M68" s="663">
        <v>2</v>
      </c>
      <c r="N68" s="663">
        <v>3</v>
      </c>
      <c r="O68" s="663">
        <v>2</v>
      </c>
      <c r="P68" s="662">
        <v>4</v>
      </c>
      <c r="Q68" s="662">
        <v>4</v>
      </c>
      <c r="R68" s="648">
        <f>SUM(M68:Q68)</f>
        <v>15</v>
      </c>
      <c r="S68" s="648">
        <f>V68+Q68</f>
        <v>10</v>
      </c>
      <c r="T68" s="648">
        <f>W68+Q68</f>
        <v>11</v>
      </c>
      <c r="U68" s="648">
        <f>X68+Q68</f>
        <v>10</v>
      </c>
      <c r="V68" s="648">
        <f>M68+P68</f>
        <v>6</v>
      </c>
      <c r="W68" s="648">
        <f>N68+P68</f>
        <v>7</v>
      </c>
      <c r="X68" s="648">
        <f>O68+P68</f>
        <v>6</v>
      </c>
      <c r="Y68" s="21" t="str">
        <f>_xlfn.XLOOKUP(AA68,Combos!AU:AU,Combos!AT:AT,"",0,1)</f>
        <v/>
      </c>
      <c r="Z68" s="659" t="s">
        <v>1090</v>
      </c>
      <c r="AA68" s="659" t="s">
        <v>1090</v>
      </c>
      <c r="AB68" s="659" t="s">
        <v>1091</v>
      </c>
      <c r="AC68" s="8" t="s">
        <v>1092</v>
      </c>
      <c r="AD68" s="8" t="s">
        <v>1092</v>
      </c>
    </row>
    <row r="69" spans="1:30">
      <c r="A69" s="21" t="s">
        <v>738</v>
      </c>
      <c r="B69" s="649">
        <v>1</v>
      </c>
      <c r="C69" s="657"/>
      <c r="D69" s="21" t="s">
        <v>748</v>
      </c>
      <c r="E69" s="21" t="str">
        <f>_xlfn.XLOOKUP(G69,Combos!AB:AB,Combos!AA:AA,"",0,1)</f>
        <v/>
      </c>
      <c r="F69" s="21" t="s">
        <v>748</v>
      </c>
      <c r="G69" s="650" t="s">
        <v>1093</v>
      </c>
      <c r="H69" s="656" t="s">
        <v>1094</v>
      </c>
      <c r="I69" s="665" t="s">
        <v>1095</v>
      </c>
      <c r="K69" s="666" t="s">
        <v>939</v>
      </c>
      <c r="L69" s="661">
        <f>P69+Q69</f>
        <v>6</v>
      </c>
      <c r="M69" s="663">
        <v>4</v>
      </c>
      <c r="N69" s="663">
        <v>4</v>
      </c>
      <c r="O69" s="663">
        <v>4</v>
      </c>
      <c r="P69" s="662">
        <v>3</v>
      </c>
      <c r="Q69" s="662">
        <v>3</v>
      </c>
      <c r="R69" s="654">
        <f>SUM(M69:Q69)</f>
        <v>18</v>
      </c>
      <c r="S69" s="648">
        <f>V69+Q69</f>
        <v>10</v>
      </c>
      <c r="T69" s="648">
        <f>W69+Q69</f>
        <v>10</v>
      </c>
      <c r="U69" s="648">
        <f>X69+Q69</f>
        <v>10</v>
      </c>
      <c r="V69" s="648">
        <f>M69+P69</f>
        <v>7</v>
      </c>
      <c r="W69" s="648">
        <f>N69+P69</f>
        <v>7</v>
      </c>
      <c r="X69" s="648">
        <f>O69+P69</f>
        <v>7</v>
      </c>
      <c r="Y69" s="21" t="str">
        <f>_xlfn.XLOOKUP(AA69,Combos!AU:AU,Combos!AT:AT,"",0,1)</f>
        <v/>
      </c>
      <c r="Z69" s="665" t="s">
        <v>1096</v>
      </c>
      <c r="AA69" s="665" t="s">
        <v>1096</v>
      </c>
      <c r="AB69" s="665" t="s">
        <v>1097</v>
      </c>
      <c r="AC69" s="665" t="s">
        <v>1095</v>
      </c>
      <c r="AD69" s="665" t="s">
        <v>1095</v>
      </c>
    </row>
    <row r="70" spans="1:30">
      <c r="A70" s="21" t="s">
        <v>668</v>
      </c>
      <c r="B70" s="651"/>
      <c r="C70" s="21">
        <v>2</v>
      </c>
      <c r="D70" s="653" t="s">
        <v>748</v>
      </c>
      <c r="E70" s="21" t="str">
        <f>_xlfn.XLOOKUP(G70,Combos!AB:AB,Combos!AA:AA,"",0,1)</f>
        <v/>
      </c>
      <c r="F70" s="21" t="s">
        <v>748</v>
      </c>
      <c r="G70" s="652" t="s">
        <v>1098</v>
      </c>
      <c r="H70" s="8" t="s">
        <v>1099</v>
      </c>
      <c r="I70" s="8" t="s">
        <v>947</v>
      </c>
      <c r="K70" s="675" t="s">
        <v>914</v>
      </c>
      <c r="L70" s="2">
        <f t="shared" si="8"/>
        <v>7</v>
      </c>
      <c r="M70" s="662">
        <v>2</v>
      </c>
      <c r="N70" s="663">
        <v>2</v>
      </c>
      <c r="O70" s="663">
        <v>4</v>
      </c>
      <c r="P70" s="663">
        <v>3</v>
      </c>
      <c r="Q70" s="663">
        <v>4</v>
      </c>
      <c r="R70" s="648">
        <f t="shared" si="9"/>
        <v>15</v>
      </c>
      <c r="S70" s="648">
        <f t="shared" si="10"/>
        <v>9</v>
      </c>
      <c r="T70" s="648">
        <f t="shared" si="11"/>
        <v>9</v>
      </c>
      <c r="U70" s="648">
        <f t="shared" si="12"/>
        <v>11</v>
      </c>
      <c r="V70" s="648">
        <f t="shared" si="13"/>
        <v>5</v>
      </c>
      <c r="W70" s="648">
        <f t="shared" si="14"/>
        <v>5</v>
      </c>
      <c r="X70" s="648">
        <f t="shared" si="15"/>
        <v>7</v>
      </c>
      <c r="Y70" s="21" t="str">
        <f>_xlfn.XLOOKUP(AA70,Combos!AU:AU,Combos!AT:AT,"",0,1)</f>
        <v/>
      </c>
      <c r="Z70" s="8" t="s">
        <v>1100</v>
      </c>
      <c r="AA70" s="8" t="s">
        <v>1100</v>
      </c>
      <c r="AB70" s="8" t="s">
        <v>1101</v>
      </c>
      <c r="AC70" s="659" t="s">
        <v>1102</v>
      </c>
      <c r="AD70" s="659" t="s">
        <v>1103</v>
      </c>
    </row>
    <row r="71" spans="1:30">
      <c r="A71" s="21" t="s">
        <v>738</v>
      </c>
      <c r="B71" s="649">
        <v>1</v>
      </c>
      <c r="D71" s="21" t="s">
        <v>748</v>
      </c>
      <c r="E71" s="21" t="str">
        <f>_xlfn.XLOOKUP(G71,Combos!AB:AB,Combos!AA:AA,"",0,1)</f>
        <v/>
      </c>
      <c r="F71" s="21" t="s">
        <v>748</v>
      </c>
      <c r="G71" s="652" t="s">
        <v>1104</v>
      </c>
      <c r="H71" s="8" t="s">
        <v>1105</v>
      </c>
      <c r="I71" s="659" t="s">
        <v>844</v>
      </c>
      <c r="K71" s="675" t="s">
        <v>646</v>
      </c>
      <c r="L71" s="661">
        <f t="shared" si="8"/>
        <v>7</v>
      </c>
      <c r="M71" s="663">
        <v>3</v>
      </c>
      <c r="N71" s="663">
        <v>1</v>
      </c>
      <c r="O71" s="663">
        <v>4</v>
      </c>
      <c r="P71" s="663">
        <v>3</v>
      </c>
      <c r="Q71" s="663">
        <v>4</v>
      </c>
      <c r="R71" s="648">
        <f t="shared" si="9"/>
        <v>15</v>
      </c>
      <c r="S71" s="648">
        <f t="shared" si="10"/>
        <v>10</v>
      </c>
      <c r="T71" s="648">
        <f t="shared" si="11"/>
        <v>8</v>
      </c>
      <c r="U71" s="648">
        <f t="shared" si="12"/>
        <v>11</v>
      </c>
      <c r="V71" s="648">
        <f t="shared" si="13"/>
        <v>6</v>
      </c>
      <c r="W71" s="648">
        <f t="shared" si="14"/>
        <v>4</v>
      </c>
      <c r="X71" s="648">
        <f t="shared" si="15"/>
        <v>7</v>
      </c>
      <c r="Y71" s="21" t="str">
        <f>_xlfn.XLOOKUP(AA71,Combos!AU:AU,Combos!AT:AT,"",0,1)</f>
        <v/>
      </c>
      <c r="Z71" s="659" t="s">
        <v>1106</v>
      </c>
      <c r="AA71" s="659" t="s">
        <v>1106</v>
      </c>
      <c r="AB71" s="659" t="s">
        <v>1107</v>
      </c>
      <c r="AC71" s="8" t="s">
        <v>1108</v>
      </c>
      <c r="AD71" s="8" t="s">
        <v>1108</v>
      </c>
    </row>
    <row r="72" spans="1:30">
      <c r="A72" s="21" t="s">
        <v>668</v>
      </c>
      <c r="B72" s="649">
        <v>1</v>
      </c>
      <c r="D72" s="21" t="s">
        <v>748</v>
      </c>
      <c r="E72" s="21" t="str">
        <f>_xlfn.XLOOKUP(G72,Combos!AB:AB,Combos!AA:AA,"",0,1)</f>
        <v/>
      </c>
      <c r="F72" s="21" t="s">
        <v>748</v>
      </c>
      <c r="G72" s="652" t="s">
        <v>1109</v>
      </c>
      <c r="H72" s="8" t="s">
        <v>1110</v>
      </c>
      <c r="I72" s="659" t="s">
        <v>850</v>
      </c>
      <c r="K72" s="675" t="s">
        <v>654</v>
      </c>
      <c r="L72" s="661">
        <f t="shared" si="8"/>
        <v>7</v>
      </c>
      <c r="M72" s="662">
        <v>3</v>
      </c>
      <c r="N72" s="663">
        <v>1</v>
      </c>
      <c r="O72" s="663">
        <v>4</v>
      </c>
      <c r="P72" s="662">
        <v>3</v>
      </c>
      <c r="Q72" s="662">
        <v>4</v>
      </c>
      <c r="R72" s="648">
        <f t="shared" si="9"/>
        <v>15</v>
      </c>
      <c r="S72" s="648">
        <f t="shared" si="10"/>
        <v>10</v>
      </c>
      <c r="T72" s="648">
        <f t="shared" si="11"/>
        <v>8</v>
      </c>
      <c r="U72" s="648">
        <f t="shared" si="12"/>
        <v>11</v>
      </c>
      <c r="V72" s="648">
        <f t="shared" si="13"/>
        <v>6</v>
      </c>
      <c r="W72" s="648">
        <f t="shared" si="14"/>
        <v>4</v>
      </c>
      <c r="X72" s="648">
        <f t="shared" si="15"/>
        <v>7</v>
      </c>
      <c r="Y72" s="21" t="str">
        <f>_xlfn.XLOOKUP(AA72,Combos!AU:AU,Combos!AT:AT,"",0,1)</f>
        <v/>
      </c>
      <c r="Z72" s="659" t="s">
        <v>1111</v>
      </c>
      <c r="AA72" s="659" t="s">
        <v>1111</v>
      </c>
      <c r="AB72" s="659" t="s">
        <v>1112</v>
      </c>
      <c r="AC72" s="8" t="s">
        <v>1072</v>
      </c>
      <c r="AD72" s="8" t="s">
        <v>1072</v>
      </c>
    </row>
    <row r="73" spans="1:30">
      <c r="A73" s="21" t="s">
        <v>668</v>
      </c>
      <c r="B73" s="651"/>
      <c r="C73" s="21">
        <v>1</v>
      </c>
      <c r="D73" s="655" t="s">
        <v>321</v>
      </c>
      <c r="E73" s="21" t="str">
        <f>_xlfn.XLOOKUP(G73,Combos!AB:AB,Combos!AA:AA,"",0,1)</f>
        <v/>
      </c>
      <c r="F73" s="21">
        <v>1</v>
      </c>
      <c r="G73" s="652" t="s">
        <v>1113</v>
      </c>
      <c r="H73" s="8" t="s">
        <v>1114</v>
      </c>
      <c r="I73" s="8" t="s">
        <v>954</v>
      </c>
      <c r="K73" s="669" t="s">
        <v>914</v>
      </c>
      <c r="L73" s="2">
        <f t="shared" si="8"/>
        <v>6</v>
      </c>
      <c r="M73" s="662">
        <v>1</v>
      </c>
      <c r="N73" s="662">
        <v>3</v>
      </c>
      <c r="O73" s="662">
        <v>5</v>
      </c>
      <c r="P73" s="662">
        <v>4</v>
      </c>
      <c r="Q73" s="662">
        <v>2</v>
      </c>
      <c r="R73" s="648">
        <f t="shared" si="9"/>
        <v>15</v>
      </c>
      <c r="S73" s="648">
        <f t="shared" si="10"/>
        <v>7</v>
      </c>
      <c r="T73" s="648">
        <f t="shared" si="11"/>
        <v>9</v>
      </c>
      <c r="U73" s="648">
        <f t="shared" si="12"/>
        <v>11</v>
      </c>
      <c r="V73" s="648">
        <f t="shared" si="13"/>
        <v>5</v>
      </c>
      <c r="W73" s="648">
        <f t="shared" si="14"/>
        <v>7</v>
      </c>
      <c r="X73" s="648">
        <f t="shared" si="15"/>
        <v>9</v>
      </c>
      <c r="Y73" s="21" t="str">
        <f>_xlfn.XLOOKUP(AA73,Combos!AU:AU,Combos!AT:AT,"",0,1)</f>
        <v/>
      </c>
      <c r="Z73" s="8" t="s">
        <v>1115</v>
      </c>
      <c r="AA73" s="8" t="s">
        <v>1116</v>
      </c>
      <c r="AB73" s="8" t="s">
        <v>1117</v>
      </c>
      <c r="AC73" s="8" t="s">
        <v>1118</v>
      </c>
      <c r="AD73" s="8" t="s">
        <v>1118</v>
      </c>
    </row>
    <row r="74" spans="1:30">
      <c r="A74" s="21" t="s">
        <v>668</v>
      </c>
      <c r="B74" s="651"/>
      <c r="C74" s="21">
        <v>2</v>
      </c>
      <c r="D74" s="653" t="s">
        <v>748</v>
      </c>
      <c r="E74" s="21" t="str">
        <f>_xlfn.XLOOKUP(G74,Combos!AB:AB,Combos!AA:AA,"",0,1)</f>
        <v/>
      </c>
      <c r="F74" s="21" t="s">
        <v>748</v>
      </c>
      <c r="G74" s="652" t="s">
        <v>1119</v>
      </c>
      <c r="H74" s="8" t="s">
        <v>1120</v>
      </c>
      <c r="I74" s="8" t="s">
        <v>1121</v>
      </c>
      <c r="K74" s="675" t="s">
        <v>646</v>
      </c>
      <c r="L74" s="2">
        <f t="shared" si="8"/>
        <v>8</v>
      </c>
      <c r="M74" s="662">
        <v>2</v>
      </c>
      <c r="N74" s="663">
        <v>1</v>
      </c>
      <c r="O74" s="663">
        <v>4</v>
      </c>
      <c r="P74" s="662">
        <v>3</v>
      </c>
      <c r="Q74" s="662">
        <v>5</v>
      </c>
      <c r="R74" s="648">
        <f t="shared" si="9"/>
        <v>15</v>
      </c>
      <c r="S74" s="648">
        <f t="shared" si="10"/>
        <v>10</v>
      </c>
      <c r="T74" s="648">
        <f t="shared" si="11"/>
        <v>9</v>
      </c>
      <c r="U74" s="648">
        <f t="shared" si="12"/>
        <v>12</v>
      </c>
      <c r="V74" s="648">
        <f t="shared" si="13"/>
        <v>5</v>
      </c>
      <c r="W74" s="648">
        <f t="shared" si="14"/>
        <v>4</v>
      </c>
      <c r="X74" s="648">
        <f t="shared" si="15"/>
        <v>7</v>
      </c>
      <c r="Y74" s="21" t="str">
        <f>_xlfn.XLOOKUP(AA74,Combos!AU:AU,Combos!AT:AT,"",0,1)</f>
        <v/>
      </c>
      <c r="Z74" s="8" t="s">
        <v>1122</v>
      </c>
      <c r="AA74" s="8" t="s">
        <v>1123</v>
      </c>
      <c r="AB74" s="8" t="s">
        <v>1124</v>
      </c>
      <c r="AC74" s="8" t="s">
        <v>1125</v>
      </c>
      <c r="AD74" s="8" t="s">
        <v>1126</v>
      </c>
    </row>
    <row r="75" spans="1:30">
      <c r="A75" s="21" t="s">
        <v>668</v>
      </c>
      <c r="B75" s="651"/>
      <c r="C75" s="21" t="s">
        <v>746</v>
      </c>
      <c r="D75" s="21" t="s">
        <v>748</v>
      </c>
      <c r="E75" s="21" t="str">
        <f>_xlfn.XLOOKUP(G75,Combos!AB:AB,Combos!AA:AA,"",0,1)</f>
        <v/>
      </c>
      <c r="F75" s="21" t="s">
        <v>748</v>
      </c>
      <c r="G75" s="652" t="s">
        <v>1127</v>
      </c>
      <c r="H75" s="8" t="s">
        <v>1128</v>
      </c>
      <c r="I75" s="8" t="s">
        <v>1129</v>
      </c>
      <c r="K75" s="666" t="s">
        <v>654</v>
      </c>
      <c r="L75" s="2">
        <f t="shared" si="8"/>
        <v>5</v>
      </c>
      <c r="M75" s="662">
        <v>3</v>
      </c>
      <c r="N75" s="662">
        <v>3</v>
      </c>
      <c r="O75" s="662">
        <v>4</v>
      </c>
      <c r="P75" s="662">
        <v>3</v>
      </c>
      <c r="Q75" s="662">
        <v>2</v>
      </c>
      <c r="R75" s="648">
        <f t="shared" si="9"/>
        <v>15</v>
      </c>
      <c r="S75" s="648">
        <f t="shared" si="10"/>
        <v>8</v>
      </c>
      <c r="T75" s="648">
        <f t="shared" si="11"/>
        <v>8</v>
      </c>
      <c r="U75" s="648">
        <f t="shared" si="12"/>
        <v>9</v>
      </c>
      <c r="V75" s="648">
        <f t="shared" si="13"/>
        <v>6</v>
      </c>
      <c r="W75" s="648">
        <f t="shared" si="14"/>
        <v>6</v>
      </c>
      <c r="X75" s="648">
        <f t="shared" si="15"/>
        <v>7</v>
      </c>
      <c r="Y75" s="21" t="str">
        <f>_xlfn.XLOOKUP(AA75,Combos!AU:AU,Combos!AT:AT,"",0,1)</f>
        <v/>
      </c>
      <c r="Z75" s="8" t="s">
        <v>1130</v>
      </c>
      <c r="AA75" s="8" t="s">
        <v>1130</v>
      </c>
      <c r="AB75" s="8" t="s">
        <v>1128</v>
      </c>
      <c r="AC75" s="8" t="s">
        <v>1131</v>
      </c>
      <c r="AD75" s="8" t="s">
        <v>1131</v>
      </c>
    </row>
    <row r="76" spans="1:30">
      <c r="A76" s="21" t="s">
        <v>668</v>
      </c>
      <c r="B76" s="651"/>
      <c r="C76" s="21">
        <v>2</v>
      </c>
      <c r="D76" s="653" t="s">
        <v>748</v>
      </c>
      <c r="E76" s="21" t="str">
        <f>_xlfn.XLOOKUP(G76,Combos!AB:AB,Combos!AA:AA,"",0,1)</f>
        <v/>
      </c>
      <c r="F76" s="21" t="s">
        <v>748</v>
      </c>
      <c r="G76" s="8" t="s">
        <v>1132</v>
      </c>
      <c r="H76" s="8" t="s">
        <v>1133</v>
      </c>
      <c r="I76" s="8" t="s">
        <v>1134</v>
      </c>
      <c r="K76" s="666" t="s">
        <v>654</v>
      </c>
      <c r="L76" s="2">
        <f t="shared" si="8"/>
        <v>6</v>
      </c>
      <c r="M76" s="663">
        <v>3</v>
      </c>
      <c r="N76" s="663">
        <v>2</v>
      </c>
      <c r="O76" s="663">
        <v>4</v>
      </c>
      <c r="P76" s="663">
        <v>3</v>
      </c>
      <c r="Q76" s="663">
        <v>3</v>
      </c>
      <c r="R76" s="648">
        <f t="shared" si="9"/>
        <v>15</v>
      </c>
      <c r="S76" s="648">
        <f t="shared" si="10"/>
        <v>9</v>
      </c>
      <c r="T76" s="648">
        <f t="shared" si="11"/>
        <v>8</v>
      </c>
      <c r="U76" s="648">
        <f t="shared" si="12"/>
        <v>10</v>
      </c>
      <c r="V76" s="648">
        <f t="shared" si="13"/>
        <v>6</v>
      </c>
      <c r="W76" s="648">
        <f t="shared" si="14"/>
        <v>5</v>
      </c>
      <c r="X76" s="648">
        <f t="shared" si="15"/>
        <v>7</v>
      </c>
      <c r="Y76" s="21" t="str">
        <f>_xlfn.XLOOKUP(AA76,Combos!AU:AU,Combos!AT:AT,"",0,1)</f>
        <v/>
      </c>
      <c r="Z76" s="8" t="s">
        <v>1135</v>
      </c>
      <c r="AA76" s="8" t="s">
        <v>1135</v>
      </c>
      <c r="AB76" s="8" t="s">
        <v>1136</v>
      </c>
      <c r="AC76" s="8" t="s">
        <v>1078</v>
      </c>
      <c r="AD76" s="8" t="s">
        <v>1078</v>
      </c>
    </row>
    <row r="77" spans="1:30">
      <c r="A77" s="673" t="s">
        <v>668</v>
      </c>
      <c r="B77" s="651"/>
      <c r="C77" s="673">
        <v>2</v>
      </c>
      <c r="D77" s="653" t="s">
        <v>748</v>
      </c>
      <c r="E77" s="21" t="str">
        <f>_xlfn.XLOOKUP(G77,Combos!AB:AB,Combos!AA:AA,"",0,1)</f>
        <v/>
      </c>
      <c r="F77" s="21" t="s">
        <v>748</v>
      </c>
      <c r="G77" s="652" t="s">
        <v>1137</v>
      </c>
      <c r="H77" s="8" t="s">
        <v>1138</v>
      </c>
      <c r="I77" s="8" t="s">
        <v>1139</v>
      </c>
      <c r="K77" s="666" t="s">
        <v>1039</v>
      </c>
      <c r="L77" s="2">
        <f t="shared" si="8"/>
        <v>6</v>
      </c>
      <c r="M77" s="663">
        <v>2</v>
      </c>
      <c r="N77" s="663">
        <v>3</v>
      </c>
      <c r="O77" s="663">
        <v>4</v>
      </c>
      <c r="P77" s="663">
        <v>3</v>
      </c>
      <c r="Q77" s="663">
        <v>3</v>
      </c>
      <c r="R77" s="648">
        <f t="shared" si="9"/>
        <v>15</v>
      </c>
      <c r="S77" s="648">
        <f t="shared" si="10"/>
        <v>8</v>
      </c>
      <c r="T77" s="648">
        <f t="shared" si="11"/>
        <v>9</v>
      </c>
      <c r="U77" s="648">
        <f t="shared" si="12"/>
        <v>10</v>
      </c>
      <c r="V77" s="648">
        <f t="shared" si="13"/>
        <v>5</v>
      </c>
      <c r="W77" s="648">
        <f t="shared" si="14"/>
        <v>6</v>
      </c>
      <c r="X77" s="648">
        <f t="shared" si="15"/>
        <v>7</v>
      </c>
      <c r="Y77" s="21" t="str">
        <f>_xlfn.XLOOKUP(AA77,Combos!AU:AU,Combos!AT:AT,"",0,1)</f>
        <v/>
      </c>
      <c r="Z77" s="8" t="s">
        <v>1140</v>
      </c>
      <c r="AA77" s="8" t="s">
        <v>1140</v>
      </c>
      <c r="AB77" s="8" t="s">
        <v>1141</v>
      </c>
      <c r="AC77" s="8" t="s">
        <v>1142</v>
      </c>
      <c r="AD77" s="8" t="s">
        <v>1142</v>
      </c>
    </row>
    <row r="78" spans="1:30">
      <c r="A78" s="673" t="s">
        <v>668</v>
      </c>
      <c r="B78" s="651"/>
      <c r="C78" s="673">
        <v>2</v>
      </c>
      <c r="D78" s="653" t="s">
        <v>748</v>
      </c>
      <c r="E78" s="21" t="str">
        <f>_xlfn.XLOOKUP(G78,Combos!AB:AB,Combos!AA:AA,"",0,1)</f>
        <v/>
      </c>
      <c r="F78" s="21" t="s">
        <v>748</v>
      </c>
      <c r="G78" s="652" t="s">
        <v>1143</v>
      </c>
      <c r="H78" s="8" t="s">
        <v>1144</v>
      </c>
      <c r="I78" s="8" t="s">
        <v>1145</v>
      </c>
      <c r="K78" s="666" t="s">
        <v>1039</v>
      </c>
      <c r="L78" s="2">
        <f t="shared" si="8"/>
        <v>6</v>
      </c>
      <c r="M78" s="663">
        <v>3</v>
      </c>
      <c r="N78" s="663">
        <v>2</v>
      </c>
      <c r="O78" s="663">
        <v>4</v>
      </c>
      <c r="P78" s="662">
        <v>3</v>
      </c>
      <c r="Q78" s="662">
        <v>3</v>
      </c>
      <c r="R78" s="648">
        <f t="shared" si="9"/>
        <v>15</v>
      </c>
      <c r="S78" s="648">
        <f t="shared" si="10"/>
        <v>9</v>
      </c>
      <c r="T78" s="648">
        <f t="shared" si="11"/>
        <v>8</v>
      </c>
      <c r="U78" s="648">
        <f t="shared" si="12"/>
        <v>10</v>
      </c>
      <c r="V78" s="648">
        <f t="shared" si="13"/>
        <v>6</v>
      </c>
      <c r="W78" s="648">
        <f t="shared" si="14"/>
        <v>5</v>
      </c>
      <c r="X78" s="648">
        <f t="shared" si="15"/>
        <v>7</v>
      </c>
      <c r="Y78" s="21" t="str">
        <f>_xlfn.XLOOKUP(AA78,Combos!AU:AU,Combos!AT:AT,"",0,1)</f>
        <v/>
      </c>
      <c r="Z78" s="8" t="s">
        <v>1146</v>
      </c>
      <c r="AA78" s="8" t="s">
        <v>1146</v>
      </c>
      <c r="AB78" s="8" t="s">
        <v>1147</v>
      </c>
      <c r="AC78" s="8" t="s">
        <v>1148</v>
      </c>
      <c r="AD78" s="8" t="s">
        <v>1148</v>
      </c>
    </row>
    <row r="79" spans="1:30">
      <c r="A79" s="21" t="s">
        <v>748</v>
      </c>
      <c r="B79" s="651"/>
      <c r="D79" s="21" t="s">
        <v>748</v>
      </c>
      <c r="E79" s="21" t="str">
        <f>_xlfn.XLOOKUP(G79,Combos!AB:AB,Combos!AA:AA,"",0,1)</f>
        <v/>
      </c>
      <c r="F79" s="21" t="s">
        <v>748</v>
      </c>
      <c r="G79" s="650" t="s">
        <v>1149</v>
      </c>
      <c r="H79" s="8" t="s">
        <v>1150</v>
      </c>
      <c r="I79" s="8" t="s">
        <v>964</v>
      </c>
      <c r="K79" s="666" t="s">
        <v>914</v>
      </c>
      <c r="L79" s="2">
        <f t="shared" si="8"/>
        <v>4</v>
      </c>
      <c r="M79" s="662">
        <v>5</v>
      </c>
      <c r="N79" s="662">
        <v>1</v>
      </c>
      <c r="O79" s="662">
        <v>5</v>
      </c>
      <c r="P79" s="662">
        <v>1</v>
      </c>
      <c r="Q79" s="662">
        <v>3</v>
      </c>
      <c r="R79" s="648">
        <f t="shared" si="9"/>
        <v>15</v>
      </c>
      <c r="S79" s="648">
        <f t="shared" si="10"/>
        <v>9</v>
      </c>
      <c r="T79" s="648">
        <f t="shared" si="11"/>
        <v>5</v>
      </c>
      <c r="U79" s="648">
        <f t="shared" si="12"/>
        <v>9</v>
      </c>
      <c r="V79" s="648">
        <f t="shared" si="13"/>
        <v>6</v>
      </c>
      <c r="W79" s="648">
        <f t="shared" si="14"/>
        <v>2</v>
      </c>
      <c r="X79" s="648">
        <f t="shared" si="15"/>
        <v>6</v>
      </c>
      <c r="Y79" s="21" t="str">
        <f>_xlfn.XLOOKUP(AA79,Combos!AU:AU,Combos!AT:AT,"",0,1)</f>
        <v/>
      </c>
      <c r="Z79" s="8" t="s">
        <v>964</v>
      </c>
      <c r="AA79" s="8" t="s">
        <v>1151</v>
      </c>
      <c r="AB79" s="8" t="s">
        <v>1152</v>
      </c>
      <c r="AC79" s="8" t="s">
        <v>1153</v>
      </c>
      <c r="AD79" s="8" t="s">
        <v>1153</v>
      </c>
    </row>
    <row r="80" spans="1:30">
      <c r="A80" s="21" t="s">
        <v>668</v>
      </c>
      <c r="B80" s="651"/>
      <c r="C80" s="21">
        <v>1</v>
      </c>
      <c r="D80" s="655" t="s">
        <v>748</v>
      </c>
      <c r="E80" s="21" t="str">
        <f>_xlfn.XLOOKUP(G80,Combos!AB:AB,Combos!AA:AA,"",0,1)</f>
        <v/>
      </c>
      <c r="F80" s="21" t="s">
        <v>748</v>
      </c>
      <c r="G80" s="650" t="s">
        <v>1154</v>
      </c>
      <c r="H80" s="8" t="s">
        <v>1155</v>
      </c>
      <c r="I80" s="8" t="s">
        <v>1156</v>
      </c>
      <c r="K80" s="7" t="s">
        <v>939</v>
      </c>
      <c r="L80" s="2">
        <f>P80+Q80</f>
        <v>6</v>
      </c>
      <c r="M80" s="662">
        <v>5</v>
      </c>
      <c r="N80" s="662">
        <v>3</v>
      </c>
      <c r="O80" s="662">
        <v>1</v>
      </c>
      <c r="P80" s="662">
        <v>3</v>
      </c>
      <c r="Q80" s="662">
        <v>3</v>
      </c>
      <c r="R80" s="648">
        <f>SUM(M80:Q80)</f>
        <v>15</v>
      </c>
      <c r="S80" s="648">
        <f>V80+Q80</f>
        <v>11</v>
      </c>
      <c r="T80" s="648">
        <f>W80+Q80</f>
        <v>9</v>
      </c>
      <c r="U80" s="648">
        <f>X80+Q80</f>
        <v>7</v>
      </c>
      <c r="V80" s="648">
        <f>M80+P80</f>
        <v>8</v>
      </c>
      <c r="W80" s="648">
        <f>N80+P80</f>
        <v>6</v>
      </c>
      <c r="X80" s="648">
        <f>O80+P80</f>
        <v>4</v>
      </c>
      <c r="Y80" s="21" t="str">
        <f>_xlfn.XLOOKUP(AA80,Combos!AU:AU,Combos!AT:AT,"",0,1)</f>
        <v/>
      </c>
      <c r="Z80" s="8" t="s">
        <v>1157</v>
      </c>
      <c r="AA80" s="8" t="s">
        <v>1157</v>
      </c>
      <c r="AB80" s="8" t="s">
        <v>1158</v>
      </c>
      <c r="AC80" s="8" t="s">
        <v>1159</v>
      </c>
      <c r="AD80" s="8" t="s">
        <v>1160</v>
      </c>
    </row>
    <row r="81" ht="27" spans="1:30">
      <c r="A81" s="21" t="s">
        <v>668</v>
      </c>
      <c r="B81" s="651"/>
      <c r="C81" s="21">
        <v>2</v>
      </c>
      <c r="D81" s="653"/>
      <c r="E81" s="21" t="str">
        <f>_xlfn.XLOOKUP(G81,Combos!AB:AB,Combos!AA:AA,"",0,1)</f>
        <v/>
      </c>
      <c r="F81" s="21">
        <v>2</v>
      </c>
      <c r="G81" s="652" t="s">
        <v>1161</v>
      </c>
      <c r="H81" s="8" t="s">
        <v>1162</v>
      </c>
      <c r="I81" s="8" t="s">
        <v>1163</v>
      </c>
      <c r="K81" s="664" t="s">
        <v>939</v>
      </c>
      <c r="L81" s="2">
        <f>P81+Q81</f>
        <v>9</v>
      </c>
      <c r="M81" s="662">
        <v>1</v>
      </c>
      <c r="N81" s="662">
        <v>1</v>
      </c>
      <c r="O81" s="662">
        <v>4</v>
      </c>
      <c r="P81" s="662">
        <v>4</v>
      </c>
      <c r="Q81" s="662">
        <v>5</v>
      </c>
      <c r="R81" s="648">
        <f>SUM(M81:Q81)</f>
        <v>15</v>
      </c>
      <c r="S81" s="648">
        <f>V81+Q81</f>
        <v>10</v>
      </c>
      <c r="T81" s="648">
        <f>W81+Q81</f>
        <v>10</v>
      </c>
      <c r="U81" s="648">
        <f>X81+Q81</f>
        <v>13</v>
      </c>
      <c r="V81" s="648">
        <f>M81+P81</f>
        <v>5</v>
      </c>
      <c r="W81" s="648">
        <f>N81+P81</f>
        <v>5</v>
      </c>
      <c r="X81" s="648">
        <f>O81+P81</f>
        <v>8</v>
      </c>
      <c r="Y81" s="21" t="str">
        <f>_xlfn.XLOOKUP(AA81,Combos!AU:AU,Combos!AT:AT,"",0,1)</f>
        <v/>
      </c>
      <c r="Z81" s="8" t="s">
        <v>1164</v>
      </c>
      <c r="AA81" s="8" t="s">
        <v>1164</v>
      </c>
      <c r="AB81" s="8" t="s">
        <v>1165</v>
      </c>
      <c r="AC81" s="8" t="s">
        <v>1129</v>
      </c>
      <c r="AD81" s="8" t="s">
        <v>1129</v>
      </c>
    </row>
    <row r="82" ht="27" spans="1:30">
      <c r="A82" s="21" t="s">
        <v>668</v>
      </c>
      <c r="B82" s="651"/>
      <c r="C82" s="21">
        <v>2</v>
      </c>
      <c r="D82" s="653"/>
      <c r="E82" s="21" t="str">
        <f>_xlfn.XLOOKUP(G82,Combos!AB:AB,Combos!AA:AA,"",0,1)</f>
        <v/>
      </c>
      <c r="F82" s="21">
        <v>3</v>
      </c>
      <c r="G82" s="652" t="s">
        <v>1166</v>
      </c>
      <c r="H82" s="8" t="s">
        <v>1167</v>
      </c>
      <c r="I82" s="8" t="s">
        <v>1168</v>
      </c>
      <c r="K82" s="664" t="s">
        <v>939</v>
      </c>
      <c r="L82" s="2">
        <f>P82+Q82</f>
        <v>8</v>
      </c>
      <c r="M82" s="662">
        <v>1</v>
      </c>
      <c r="N82" s="662">
        <v>2</v>
      </c>
      <c r="O82" s="662">
        <v>4</v>
      </c>
      <c r="P82" s="662">
        <v>4</v>
      </c>
      <c r="Q82" s="662">
        <v>4</v>
      </c>
      <c r="R82" s="648">
        <f>SUM(M82:Q82)</f>
        <v>15</v>
      </c>
      <c r="S82" s="648">
        <f>V82+Q82</f>
        <v>9</v>
      </c>
      <c r="T82" s="648">
        <f>W82+Q82</f>
        <v>10</v>
      </c>
      <c r="U82" s="648">
        <f>X82+Q82</f>
        <v>12</v>
      </c>
      <c r="V82" s="648">
        <f>M82+P82</f>
        <v>5</v>
      </c>
      <c r="W82" s="648">
        <f>N82+P82</f>
        <v>6</v>
      </c>
      <c r="X82" s="648">
        <f>O82+P82</f>
        <v>8</v>
      </c>
      <c r="Y82" s="21" t="str">
        <f>_xlfn.XLOOKUP(AA82,Combos!AU:AU,Combos!AT:AT,"",0,1)</f>
        <v/>
      </c>
      <c r="Z82" s="8" t="s">
        <v>1168</v>
      </c>
      <c r="AA82" s="8" t="s">
        <v>1168</v>
      </c>
      <c r="AB82" s="8" t="s">
        <v>1169</v>
      </c>
      <c r="AC82" s="8" t="s">
        <v>1170</v>
      </c>
      <c r="AD82" s="8" t="s">
        <v>1170</v>
      </c>
    </row>
    <row r="83" spans="1:30">
      <c r="A83" s="21" t="s">
        <v>668</v>
      </c>
      <c r="B83" s="651"/>
      <c r="E83" s="21" t="str">
        <f>_xlfn.XLOOKUP(G83,Combos!AB:AB,Combos!AA:AA,"",0,1)</f>
        <v/>
      </c>
      <c r="G83" s="652" t="s">
        <v>1171</v>
      </c>
      <c r="H83" s="8" t="s">
        <v>1172</v>
      </c>
      <c r="I83" s="8" t="s">
        <v>974</v>
      </c>
      <c r="K83" s="667" t="s">
        <v>914</v>
      </c>
      <c r="L83" s="2">
        <f t="shared" si="8"/>
        <v>6</v>
      </c>
      <c r="M83" s="662">
        <v>2</v>
      </c>
      <c r="N83" s="663">
        <v>4</v>
      </c>
      <c r="O83" s="663">
        <v>3</v>
      </c>
      <c r="P83" s="663">
        <v>4</v>
      </c>
      <c r="Q83" s="663">
        <v>2</v>
      </c>
      <c r="R83" s="648">
        <f t="shared" si="9"/>
        <v>15</v>
      </c>
      <c r="S83" s="648">
        <f t="shared" si="10"/>
        <v>8</v>
      </c>
      <c r="T83" s="648">
        <f t="shared" si="11"/>
        <v>10</v>
      </c>
      <c r="U83" s="648">
        <f t="shared" si="12"/>
        <v>9</v>
      </c>
      <c r="V83" s="648">
        <f t="shared" si="13"/>
        <v>6</v>
      </c>
      <c r="W83" s="648">
        <f t="shared" si="14"/>
        <v>8</v>
      </c>
      <c r="X83" s="648">
        <f t="shared" si="15"/>
        <v>7</v>
      </c>
      <c r="Y83" s="21" t="str">
        <f>_xlfn.XLOOKUP(AA83,Combos!AU:AU,Combos!AT:AT,"",0,1)</f>
        <v/>
      </c>
      <c r="Z83" s="8" t="s">
        <v>1173</v>
      </c>
      <c r="AA83" s="8" t="s">
        <v>1174</v>
      </c>
      <c r="AB83" s="8" t="s">
        <v>1175</v>
      </c>
      <c r="AC83" s="8" t="s">
        <v>1176</v>
      </c>
      <c r="AD83" s="8" t="s">
        <v>1176</v>
      </c>
    </row>
    <row r="84" spans="1:30">
      <c r="A84" s="21" t="s">
        <v>668</v>
      </c>
      <c r="B84" s="649">
        <v>1</v>
      </c>
      <c r="C84" s="657"/>
      <c r="D84" s="21"/>
      <c r="E84" s="21" t="str">
        <f>_xlfn.XLOOKUP(G84,Combos!AB:AB,Combos!AA:AA,"",0,1)</f>
        <v/>
      </c>
      <c r="G84" s="650" t="s">
        <v>1177</v>
      </c>
      <c r="H84" s="8" t="s">
        <v>1178</v>
      </c>
      <c r="I84" s="659" t="s">
        <v>1179</v>
      </c>
      <c r="K84" s="667" t="s">
        <v>939</v>
      </c>
      <c r="L84" s="661">
        <f>P84+Q84</f>
        <v>7</v>
      </c>
      <c r="M84" s="662">
        <v>4</v>
      </c>
      <c r="N84" s="662">
        <v>1</v>
      </c>
      <c r="O84" s="662">
        <v>3</v>
      </c>
      <c r="P84" s="662">
        <v>4</v>
      </c>
      <c r="Q84" s="662">
        <v>3</v>
      </c>
      <c r="R84" s="648">
        <f>SUM(M84:Q84)</f>
        <v>15</v>
      </c>
      <c r="S84" s="648">
        <f>V84+Q84</f>
        <v>11</v>
      </c>
      <c r="T84" s="648">
        <f>W84+Q84</f>
        <v>8</v>
      </c>
      <c r="U84" s="648">
        <f>X84+Q84</f>
        <v>10</v>
      </c>
      <c r="V84" s="648">
        <f>M84+P84</f>
        <v>8</v>
      </c>
      <c r="W84" s="648">
        <f>N84+P84</f>
        <v>5</v>
      </c>
      <c r="X84" s="648">
        <f>O84+P84</f>
        <v>7</v>
      </c>
      <c r="Y84" s="21" t="str">
        <f>_xlfn.XLOOKUP(AA84,Combos!AU:AU,Combos!AT:AT,"",0,1)</f>
        <v/>
      </c>
      <c r="Z84" s="659" t="s">
        <v>1180</v>
      </c>
      <c r="AA84" s="659" t="s">
        <v>1180</v>
      </c>
      <c r="AB84" s="659" t="s">
        <v>1181</v>
      </c>
      <c r="AC84" s="8" t="s">
        <v>1182</v>
      </c>
      <c r="AD84" s="8" t="s">
        <v>1182</v>
      </c>
    </row>
    <row r="85" spans="1:30">
      <c r="A85" s="21" t="s">
        <v>668</v>
      </c>
      <c r="B85" s="651"/>
      <c r="C85" s="21">
        <v>1</v>
      </c>
      <c r="D85" s="655" t="s">
        <v>748</v>
      </c>
      <c r="E85" s="21" t="str">
        <f>_xlfn.XLOOKUP(G85,Combos!AB:AB,Combos!AA:AA,"",0,1)</f>
        <v/>
      </c>
      <c r="F85" s="21" t="s">
        <v>748</v>
      </c>
      <c r="G85" s="652" t="s">
        <v>1183</v>
      </c>
      <c r="H85" s="8" t="s">
        <v>1184</v>
      </c>
      <c r="I85" s="8" t="s">
        <v>1185</v>
      </c>
      <c r="K85" s="666" t="s">
        <v>939</v>
      </c>
      <c r="L85" s="2">
        <f>P85+Q85</f>
        <v>6</v>
      </c>
      <c r="M85" s="662">
        <v>1</v>
      </c>
      <c r="N85" s="662">
        <v>3</v>
      </c>
      <c r="O85" s="662">
        <v>5</v>
      </c>
      <c r="P85" s="662">
        <v>3</v>
      </c>
      <c r="Q85" s="662">
        <v>3</v>
      </c>
      <c r="R85" s="648">
        <f>SUM(M85:Q85)</f>
        <v>15</v>
      </c>
      <c r="S85" s="648">
        <f>V85+Q85</f>
        <v>7</v>
      </c>
      <c r="T85" s="648">
        <f>W85+Q85</f>
        <v>9</v>
      </c>
      <c r="U85" s="648">
        <f>X85+Q85</f>
        <v>11</v>
      </c>
      <c r="V85" s="648">
        <f>M85+P85</f>
        <v>4</v>
      </c>
      <c r="W85" s="648">
        <f>N85+P85</f>
        <v>6</v>
      </c>
      <c r="X85" s="648">
        <f>O85+P85</f>
        <v>8</v>
      </c>
      <c r="Y85" s="21" t="str">
        <f>_xlfn.XLOOKUP(AA85,Combos!AU:AU,Combos!AT:AT,"",0,1)</f>
        <v/>
      </c>
      <c r="Z85" s="8" t="s">
        <v>1186</v>
      </c>
      <c r="AA85" s="8" t="s">
        <v>1186</v>
      </c>
      <c r="AB85" s="8" t="s">
        <v>1187</v>
      </c>
      <c r="AC85" s="8" t="s">
        <v>1188</v>
      </c>
      <c r="AD85" s="8" t="s">
        <v>1188</v>
      </c>
    </row>
    <row r="86" spans="2:30">
      <c r="B86" s="651"/>
      <c r="C86" s="21" t="s">
        <v>746</v>
      </c>
      <c r="D86" s="21" t="s">
        <v>748</v>
      </c>
      <c r="E86" s="21" t="str">
        <f>_xlfn.XLOOKUP(G86,Combos!AB:AB,Combos!AA:AA,"",0,1)</f>
        <v/>
      </c>
      <c r="F86" s="21" t="s">
        <v>748</v>
      </c>
      <c r="G86" s="650" t="s">
        <v>1189</v>
      </c>
      <c r="H86" s="8" t="s">
        <v>1190</v>
      </c>
      <c r="I86" s="8" t="s">
        <v>1075</v>
      </c>
      <c r="K86" s="666" t="s">
        <v>646</v>
      </c>
      <c r="L86" s="2">
        <f t="shared" si="8"/>
        <v>5</v>
      </c>
      <c r="M86" s="662">
        <v>5</v>
      </c>
      <c r="N86" s="662">
        <v>1</v>
      </c>
      <c r="O86" s="662">
        <v>4</v>
      </c>
      <c r="P86" s="662">
        <v>2</v>
      </c>
      <c r="Q86" s="662">
        <v>3</v>
      </c>
      <c r="R86" s="648">
        <f t="shared" si="9"/>
        <v>15</v>
      </c>
      <c r="S86" s="648">
        <f t="shared" si="10"/>
        <v>10</v>
      </c>
      <c r="T86" s="648">
        <f t="shared" si="11"/>
        <v>6</v>
      </c>
      <c r="U86" s="648">
        <f t="shared" si="12"/>
        <v>9</v>
      </c>
      <c r="V86" s="648">
        <f t="shared" si="13"/>
        <v>7</v>
      </c>
      <c r="W86" s="648">
        <f t="shared" si="14"/>
        <v>3</v>
      </c>
      <c r="X86" s="648">
        <f t="shared" si="15"/>
        <v>6</v>
      </c>
      <c r="Y86" s="21" t="str">
        <f>_xlfn.XLOOKUP(AA86,Combos!AU:AU,Combos!AT:AT,"",0,1)</f>
        <v/>
      </c>
      <c r="Z86" s="8" t="s">
        <v>1191</v>
      </c>
      <c r="AA86" s="8" t="s">
        <v>1191</v>
      </c>
      <c r="AB86" s="8" t="s">
        <v>1192</v>
      </c>
      <c r="AC86" s="8" t="s">
        <v>1193</v>
      </c>
      <c r="AD86" s="8" t="s">
        <v>1193</v>
      </c>
    </row>
    <row r="87" spans="1:30">
      <c r="A87" s="21" t="s">
        <v>668</v>
      </c>
      <c r="B87" s="651"/>
      <c r="C87" s="21">
        <v>2</v>
      </c>
      <c r="D87" s="653" t="s">
        <v>748</v>
      </c>
      <c r="E87" s="21" t="str">
        <f>_xlfn.XLOOKUP(G87,Combos!AB:AB,Combos!AA:AA,"",0,1)</f>
        <v/>
      </c>
      <c r="F87" s="21" t="s">
        <v>748</v>
      </c>
      <c r="G87" s="650" t="s">
        <v>1194</v>
      </c>
      <c r="H87" s="8" t="s">
        <v>1195</v>
      </c>
      <c r="I87" s="8" t="s">
        <v>1196</v>
      </c>
      <c r="K87" s="666" t="s">
        <v>646</v>
      </c>
      <c r="L87" s="2">
        <f t="shared" si="8"/>
        <v>6</v>
      </c>
      <c r="M87" s="662">
        <v>4</v>
      </c>
      <c r="N87" s="663">
        <v>1</v>
      </c>
      <c r="O87" s="663">
        <v>4</v>
      </c>
      <c r="P87" s="662">
        <v>3</v>
      </c>
      <c r="Q87" s="662">
        <v>3</v>
      </c>
      <c r="R87" s="648">
        <f t="shared" si="9"/>
        <v>15</v>
      </c>
      <c r="S87" s="648">
        <f t="shared" si="10"/>
        <v>10</v>
      </c>
      <c r="T87" s="648">
        <f t="shared" si="11"/>
        <v>7</v>
      </c>
      <c r="U87" s="648">
        <f t="shared" si="12"/>
        <v>10</v>
      </c>
      <c r="V87" s="648">
        <f t="shared" si="13"/>
        <v>7</v>
      </c>
      <c r="W87" s="648">
        <f t="shared" si="14"/>
        <v>4</v>
      </c>
      <c r="X87" s="648">
        <f t="shared" si="15"/>
        <v>7</v>
      </c>
      <c r="Y87" s="21" t="str">
        <f>_xlfn.XLOOKUP(AA87,Combos!AU:AU,Combos!AT:AT,"",0,1)</f>
        <v/>
      </c>
      <c r="Z87" s="8" t="s">
        <v>1197</v>
      </c>
      <c r="AA87" s="8" t="s">
        <v>1197</v>
      </c>
      <c r="AB87" s="8" t="s">
        <v>1195</v>
      </c>
      <c r="AC87" s="8" t="s">
        <v>1198</v>
      </c>
      <c r="AD87" s="8" t="s">
        <v>1198</v>
      </c>
    </row>
    <row r="88" spans="1:30">
      <c r="A88" s="21" t="s">
        <v>668</v>
      </c>
      <c r="B88" s="651"/>
      <c r="C88" s="21" t="s">
        <v>746</v>
      </c>
      <c r="D88" s="21" t="s">
        <v>748</v>
      </c>
      <c r="E88" s="21" t="str">
        <f>_xlfn.XLOOKUP(G88,Combos!AB:AB,Combos!AA:AA,"",0,1)</f>
        <v/>
      </c>
      <c r="F88" s="21" t="s">
        <v>748</v>
      </c>
      <c r="G88" s="650" t="s">
        <v>1199</v>
      </c>
      <c r="H88" s="8" t="s">
        <v>1200</v>
      </c>
      <c r="I88" s="8" t="s">
        <v>967</v>
      </c>
      <c r="K88" s="666" t="s">
        <v>654</v>
      </c>
      <c r="L88" s="2">
        <f t="shared" si="8"/>
        <v>4</v>
      </c>
      <c r="M88" s="662">
        <v>4</v>
      </c>
      <c r="N88" s="662">
        <v>3</v>
      </c>
      <c r="O88" s="662">
        <v>4</v>
      </c>
      <c r="P88" s="662">
        <v>2</v>
      </c>
      <c r="Q88" s="662">
        <v>2</v>
      </c>
      <c r="R88" s="648">
        <f t="shared" si="9"/>
        <v>15</v>
      </c>
      <c r="S88" s="648">
        <f t="shared" si="10"/>
        <v>8</v>
      </c>
      <c r="T88" s="648">
        <f t="shared" si="11"/>
        <v>7</v>
      </c>
      <c r="U88" s="648">
        <f t="shared" si="12"/>
        <v>8</v>
      </c>
      <c r="V88" s="648">
        <f t="shared" si="13"/>
        <v>6</v>
      </c>
      <c r="W88" s="648">
        <f t="shared" si="14"/>
        <v>5</v>
      </c>
      <c r="X88" s="648">
        <f t="shared" si="15"/>
        <v>6</v>
      </c>
      <c r="Y88" s="21" t="str">
        <f>_xlfn.XLOOKUP(AA88,Combos!AU:AU,Combos!AT:AT,"",0,1)</f>
        <v/>
      </c>
      <c r="Z88" s="8" t="s">
        <v>1201</v>
      </c>
      <c r="AA88" s="8" t="s">
        <v>1201</v>
      </c>
      <c r="AB88" s="8" t="s">
        <v>1202</v>
      </c>
      <c r="AC88" s="8" t="s">
        <v>1203</v>
      </c>
      <c r="AD88" s="8" t="s">
        <v>1203</v>
      </c>
    </row>
    <row r="89" spans="1:30">
      <c r="A89" s="21" t="s">
        <v>668</v>
      </c>
      <c r="B89" s="651"/>
      <c r="C89" s="21">
        <v>2</v>
      </c>
      <c r="D89" s="653" t="s">
        <v>1204</v>
      </c>
      <c r="E89" s="21" t="str">
        <f>_xlfn.XLOOKUP(G89,Combos!AB:AB,Combos!AA:AA,"",0,1)</f>
        <v/>
      </c>
      <c r="G89" s="650" t="s">
        <v>1205</v>
      </c>
      <c r="H89" s="8" t="s">
        <v>1206</v>
      </c>
      <c r="I89" s="8" t="s">
        <v>1207</v>
      </c>
      <c r="K89" s="667" t="s">
        <v>654</v>
      </c>
      <c r="L89" s="2">
        <f t="shared" si="8"/>
        <v>7</v>
      </c>
      <c r="M89" s="663">
        <v>4</v>
      </c>
      <c r="N89" s="663">
        <v>1</v>
      </c>
      <c r="O89" s="663">
        <v>3</v>
      </c>
      <c r="P89" s="662">
        <v>4</v>
      </c>
      <c r="Q89" s="662">
        <v>3</v>
      </c>
      <c r="R89" s="648">
        <f t="shared" si="9"/>
        <v>15</v>
      </c>
      <c r="S89" s="648">
        <f t="shared" si="10"/>
        <v>11</v>
      </c>
      <c r="T89" s="648">
        <f t="shared" si="11"/>
        <v>8</v>
      </c>
      <c r="U89" s="648">
        <f t="shared" si="12"/>
        <v>10</v>
      </c>
      <c r="V89" s="648">
        <f t="shared" si="13"/>
        <v>8</v>
      </c>
      <c r="W89" s="648">
        <f t="shared" si="14"/>
        <v>5</v>
      </c>
      <c r="X89" s="648">
        <f t="shared" si="15"/>
        <v>7</v>
      </c>
      <c r="Y89" s="21" t="str">
        <f>_xlfn.XLOOKUP(AA89,Combos!AU:AU,Combos!AT:AT,"",0,1)</f>
        <v/>
      </c>
      <c r="Z89" s="8" t="s">
        <v>1208</v>
      </c>
      <c r="AA89" s="8" t="s">
        <v>1209</v>
      </c>
      <c r="AB89" s="8" t="s">
        <v>1210</v>
      </c>
      <c r="AC89" s="8" t="s">
        <v>1211</v>
      </c>
      <c r="AD89" s="8" t="s">
        <v>1211</v>
      </c>
    </row>
    <row r="90" spans="1:30">
      <c r="A90" s="21" t="s">
        <v>668</v>
      </c>
      <c r="B90" s="651"/>
      <c r="C90" s="21">
        <v>1</v>
      </c>
      <c r="D90" s="655"/>
      <c r="E90" s="21" t="str">
        <f>_xlfn.XLOOKUP(G90,Combos!AB:AB,Combos!AA:AA,"",0,1)</f>
        <v/>
      </c>
      <c r="F90" s="21">
        <v>3</v>
      </c>
      <c r="G90" s="8" t="s">
        <v>1212</v>
      </c>
      <c r="H90" s="8" t="s">
        <v>1213</v>
      </c>
      <c r="I90" s="8" t="s">
        <v>983</v>
      </c>
      <c r="K90" s="664" t="s">
        <v>914</v>
      </c>
      <c r="L90" s="2">
        <f t="shared" si="8"/>
        <v>8</v>
      </c>
      <c r="M90" s="663">
        <v>1</v>
      </c>
      <c r="N90" s="663">
        <v>2</v>
      </c>
      <c r="O90" s="663">
        <v>4</v>
      </c>
      <c r="P90" s="663">
        <v>4</v>
      </c>
      <c r="Q90" s="663">
        <v>4</v>
      </c>
      <c r="R90" s="648">
        <f t="shared" si="9"/>
        <v>15</v>
      </c>
      <c r="S90" s="648">
        <f t="shared" si="10"/>
        <v>9</v>
      </c>
      <c r="T90" s="648">
        <f t="shared" si="11"/>
        <v>10</v>
      </c>
      <c r="U90" s="648">
        <f t="shared" si="12"/>
        <v>12</v>
      </c>
      <c r="V90" s="648">
        <f t="shared" si="13"/>
        <v>5</v>
      </c>
      <c r="W90" s="648">
        <f t="shared" si="14"/>
        <v>6</v>
      </c>
      <c r="X90" s="648">
        <f t="shared" si="15"/>
        <v>8</v>
      </c>
      <c r="Y90" s="21" t="str">
        <f>_xlfn.XLOOKUP(AA90,Combos!AU:AU,Combos!AT:AT,"",0,1)</f>
        <v/>
      </c>
      <c r="Z90" s="8" t="s">
        <v>1214</v>
      </c>
      <c r="AA90" s="8" t="s">
        <v>1215</v>
      </c>
      <c r="AB90" s="8" t="s">
        <v>1216</v>
      </c>
      <c r="AC90" s="8" t="s">
        <v>1156</v>
      </c>
      <c r="AD90" s="8" t="s">
        <v>1156</v>
      </c>
    </row>
    <row r="91" spans="2:30">
      <c r="B91" s="649">
        <v>1</v>
      </c>
      <c r="G91" s="658" t="s">
        <v>1217</v>
      </c>
      <c r="H91" s="10" t="s">
        <v>1218</v>
      </c>
      <c r="I91" s="670" t="s">
        <v>994</v>
      </c>
      <c r="K91" s="2" t="s">
        <v>914</v>
      </c>
      <c r="L91" s="661">
        <f t="shared" si="8"/>
        <v>0</v>
      </c>
      <c r="M91" s="648">
        <v>0</v>
      </c>
      <c r="N91" s="648">
        <v>0</v>
      </c>
      <c r="O91" s="648">
        <v>0</v>
      </c>
      <c r="P91" s="648">
        <v>0</v>
      </c>
      <c r="Q91" s="648">
        <v>0</v>
      </c>
      <c r="R91" s="648">
        <f t="shared" si="9"/>
        <v>0</v>
      </c>
      <c r="S91" s="648">
        <f t="shared" si="10"/>
        <v>0</v>
      </c>
      <c r="T91" s="648">
        <f t="shared" si="11"/>
        <v>0</v>
      </c>
      <c r="U91" s="648">
        <f t="shared" si="12"/>
        <v>0</v>
      </c>
      <c r="V91" s="648">
        <f t="shared" si="13"/>
        <v>0</v>
      </c>
      <c r="W91" s="648">
        <f t="shared" si="14"/>
        <v>0</v>
      </c>
      <c r="X91" s="648">
        <f t="shared" si="15"/>
        <v>0</v>
      </c>
      <c r="Z91" s="670" t="s">
        <v>994</v>
      </c>
      <c r="AA91" s="670" t="s">
        <v>994</v>
      </c>
      <c r="AB91" s="670" t="s">
        <v>1219</v>
      </c>
      <c r="AC91" s="8" t="s">
        <v>1163</v>
      </c>
      <c r="AD91" s="8" t="s">
        <v>1163</v>
      </c>
    </row>
    <row r="92" spans="1:30">
      <c r="A92" s="21" t="s">
        <v>668</v>
      </c>
      <c r="B92" s="651"/>
      <c r="E92" s="21" t="str">
        <f>_xlfn.XLOOKUP(G92,Combos!AB:AB,Combos!AA:AA,"",0,1)</f>
        <v/>
      </c>
      <c r="G92" s="8" t="s">
        <v>1220</v>
      </c>
      <c r="H92" s="8" t="s">
        <v>1221</v>
      </c>
      <c r="I92" s="8" t="s">
        <v>1001</v>
      </c>
      <c r="K92" s="667" t="s">
        <v>914</v>
      </c>
      <c r="L92" s="2">
        <f t="shared" si="8"/>
        <v>7</v>
      </c>
      <c r="M92" s="663">
        <v>2</v>
      </c>
      <c r="N92" s="663">
        <v>4</v>
      </c>
      <c r="O92" s="663">
        <v>2</v>
      </c>
      <c r="P92" s="663">
        <v>4</v>
      </c>
      <c r="Q92" s="663">
        <v>3</v>
      </c>
      <c r="R92" s="648">
        <f t="shared" si="9"/>
        <v>15</v>
      </c>
      <c r="S92" s="648">
        <f t="shared" si="10"/>
        <v>9</v>
      </c>
      <c r="T92" s="648">
        <f t="shared" si="11"/>
        <v>11</v>
      </c>
      <c r="U92" s="648">
        <f t="shared" si="12"/>
        <v>9</v>
      </c>
      <c r="V92" s="648">
        <f t="shared" si="13"/>
        <v>6</v>
      </c>
      <c r="W92" s="648">
        <f t="shared" si="14"/>
        <v>8</v>
      </c>
      <c r="X92" s="648">
        <f t="shared" si="15"/>
        <v>6</v>
      </c>
      <c r="Y92" s="21" t="str">
        <f>_xlfn.XLOOKUP(AA92,Combos!AU:AU,Combos!AT:AT,"",0,1)</f>
        <v/>
      </c>
      <c r="Z92" s="8" t="s">
        <v>1222</v>
      </c>
      <c r="AA92" s="8" t="s">
        <v>1223</v>
      </c>
      <c r="AB92" s="8" t="s">
        <v>1224</v>
      </c>
      <c r="AC92" s="665" t="s">
        <v>1225</v>
      </c>
      <c r="AD92" s="665" t="s">
        <v>1226</v>
      </c>
    </row>
    <row r="93" spans="2:30">
      <c r="B93" s="649">
        <v>1</v>
      </c>
      <c r="D93" s="655"/>
      <c r="E93" s="21" t="str">
        <f>_xlfn.XLOOKUP(G93,Combos!AB:AB,Combos!AA:AA,"",0,1)</f>
        <v/>
      </c>
      <c r="F93" s="21">
        <v>1</v>
      </c>
      <c r="G93" s="652" t="s">
        <v>1227</v>
      </c>
      <c r="H93" s="656" t="s">
        <v>1228</v>
      </c>
      <c r="I93" s="665" t="s">
        <v>1035</v>
      </c>
      <c r="K93" s="664" t="s">
        <v>914</v>
      </c>
      <c r="L93" s="661">
        <f t="shared" si="8"/>
        <v>9</v>
      </c>
      <c r="M93" s="662">
        <v>1</v>
      </c>
      <c r="N93" s="663">
        <v>1</v>
      </c>
      <c r="O93" s="663">
        <v>5</v>
      </c>
      <c r="P93" s="662">
        <v>5</v>
      </c>
      <c r="Q93" s="662">
        <v>4</v>
      </c>
      <c r="R93" s="654">
        <f t="shared" si="9"/>
        <v>16</v>
      </c>
      <c r="S93" s="648">
        <f t="shared" si="10"/>
        <v>10</v>
      </c>
      <c r="T93" s="648">
        <f t="shared" si="11"/>
        <v>10</v>
      </c>
      <c r="U93" s="648">
        <f t="shared" si="12"/>
        <v>14</v>
      </c>
      <c r="V93" s="648">
        <f t="shared" si="13"/>
        <v>6</v>
      </c>
      <c r="W93" s="648">
        <f t="shared" si="14"/>
        <v>6</v>
      </c>
      <c r="X93" s="648">
        <f t="shared" si="15"/>
        <v>10</v>
      </c>
      <c r="Y93" s="21" t="str">
        <f>_xlfn.XLOOKUP(AA93,Combos!AU:AU,Combos!AT:AT,"",0,1)</f>
        <v/>
      </c>
      <c r="Z93" s="665" t="s">
        <v>1229</v>
      </c>
      <c r="AA93" s="665" t="s">
        <v>1230</v>
      </c>
      <c r="AB93" s="665" t="s">
        <v>1231</v>
      </c>
      <c r="AC93" s="8" t="s">
        <v>1232</v>
      </c>
      <c r="AD93" s="8" t="s">
        <v>1232</v>
      </c>
    </row>
    <row r="94" spans="1:30">
      <c r="A94" s="21" t="s">
        <v>668</v>
      </c>
      <c r="B94" s="651"/>
      <c r="C94" s="21" t="s">
        <v>746</v>
      </c>
      <c r="E94" s="21" t="str">
        <f>_xlfn.XLOOKUP(G94,Combos!AB:AB,Combos!AA:AA,"",0,1)</f>
        <v/>
      </c>
      <c r="G94" s="652" t="s">
        <v>1233</v>
      </c>
      <c r="H94" s="8" t="s">
        <v>1234</v>
      </c>
      <c r="I94" s="8" t="s">
        <v>1235</v>
      </c>
      <c r="K94" s="667" t="s">
        <v>654</v>
      </c>
      <c r="L94" s="2">
        <f t="shared" si="8"/>
        <v>6</v>
      </c>
      <c r="M94" s="662">
        <v>2</v>
      </c>
      <c r="N94" s="662">
        <v>4</v>
      </c>
      <c r="O94" s="662">
        <v>3</v>
      </c>
      <c r="P94" s="662">
        <v>4</v>
      </c>
      <c r="Q94" s="662">
        <v>2</v>
      </c>
      <c r="R94" s="648">
        <f t="shared" si="9"/>
        <v>15</v>
      </c>
      <c r="S94" s="648">
        <f t="shared" si="10"/>
        <v>8</v>
      </c>
      <c r="T94" s="648">
        <f t="shared" si="11"/>
        <v>10</v>
      </c>
      <c r="U94" s="648">
        <f t="shared" si="12"/>
        <v>9</v>
      </c>
      <c r="V94" s="648">
        <f t="shared" si="13"/>
        <v>6</v>
      </c>
      <c r="W94" s="648">
        <f t="shared" si="14"/>
        <v>8</v>
      </c>
      <c r="X94" s="648">
        <f t="shared" si="15"/>
        <v>7</v>
      </c>
      <c r="Y94" s="21" t="str">
        <f>_xlfn.XLOOKUP(AA94,Combos!AU:AU,Combos!AT:AT,"",0,1)</f>
        <v/>
      </c>
      <c r="Z94" s="8" t="s">
        <v>1236</v>
      </c>
      <c r="AA94" s="8" t="s">
        <v>1236</v>
      </c>
      <c r="AB94" s="8" t="s">
        <v>1234</v>
      </c>
      <c r="AC94" s="8" t="s">
        <v>1237</v>
      </c>
      <c r="AD94" s="8" t="s">
        <v>1237</v>
      </c>
    </row>
    <row r="95" spans="1:30">
      <c r="A95" s="673" t="s">
        <v>668</v>
      </c>
      <c r="B95" s="651"/>
      <c r="C95" s="673" t="s">
        <v>746</v>
      </c>
      <c r="E95" s="21" t="str">
        <f>_xlfn.XLOOKUP(G95,Combos!AB:AB,Combos!AA:AA,"",0,1)</f>
        <v/>
      </c>
      <c r="G95" s="8" t="s">
        <v>1238</v>
      </c>
      <c r="H95" s="8" t="s">
        <v>1239</v>
      </c>
      <c r="I95" s="8" t="s">
        <v>988</v>
      </c>
      <c r="K95" s="667" t="s">
        <v>1039</v>
      </c>
      <c r="L95" s="2">
        <f t="shared" si="8"/>
        <v>6</v>
      </c>
      <c r="M95" s="663">
        <v>2</v>
      </c>
      <c r="N95" s="663">
        <v>4</v>
      </c>
      <c r="O95" s="663">
        <v>3</v>
      </c>
      <c r="P95" s="663">
        <v>4</v>
      </c>
      <c r="Q95" s="663">
        <v>2</v>
      </c>
      <c r="R95" s="648">
        <f t="shared" si="9"/>
        <v>15</v>
      </c>
      <c r="S95" s="648">
        <f t="shared" si="10"/>
        <v>8</v>
      </c>
      <c r="T95" s="648">
        <f t="shared" si="11"/>
        <v>10</v>
      </c>
      <c r="U95" s="648">
        <f t="shared" si="12"/>
        <v>9</v>
      </c>
      <c r="V95" s="648">
        <f t="shared" si="13"/>
        <v>6</v>
      </c>
      <c r="W95" s="648">
        <f t="shared" si="14"/>
        <v>8</v>
      </c>
      <c r="X95" s="648">
        <f t="shared" si="15"/>
        <v>7</v>
      </c>
      <c r="Y95" s="21" t="str">
        <f>_xlfn.XLOOKUP(AA95,Combos!AU:AU,Combos!AT:AT,"",0,1)</f>
        <v/>
      </c>
      <c r="Z95" s="8" t="s">
        <v>1240</v>
      </c>
      <c r="AA95" s="8" t="s">
        <v>1240</v>
      </c>
      <c r="AB95" s="8" t="s">
        <v>1241</v>
      </c>
      <c r="AC95" s="8" t="s">
        <v>1242</v>
      </c>
      <c r="AD95" s="8" t="s">
        <v>1242</v>
      </c>
    </row>
    <row r="96" spans="1:30">
      <c r="A96" s="21" t="s">
        <v>668</v>
      </c>
      <c r="B96" s="651"/>
      <c r="C96" s="21" t="s">
        <v>746</v>
      </c>
      <c r="D96" s="21" t="s">
        <v>748</v>
      </c>
      <c r="E96" s="21" t="str">
        <f>_xlfn.XLOOKUP(G96,Combos!AB:AB,Combos!AA:AA,"",0,1)</f>
        <v/>
      </c>
      <c r="F96" s="21" t="s">
        <v>748</v>
      </c>
      <c r="G96" s="652" t="s">
        <v>1243</v>
      </c>
      <c r="H96" s="8" t="s">
        <v>1244</v>
      </c>
      <c r="I96" s="8" t="s">
        <v>1245</v>
      </c>
      <c r="K96" s="667" t="s">
        <v>939</v>
      </c>
      <c r="L96" s="2">
        <f>P96+Q96</f>
        <v>6</v>
      </c>
      <c r="M96" s="662">
        <v>3</v>
      </c>
      <c r="N96" s="662">
        <v>3</v>
      </c>
      <c r="O96" s="662">
        <v>3</v>
      </c>
      <c r="P96" s="662">
        <v>4</v>
      </c>
      <c r="Q96" s="662">
        <v>2</v>
      </c>
      <c r="R96" s="648">
        <f>SUM(M96:Q96)</f>
        <v>15</v>
      </c>
      <c r="S96" s="648">
        <f>V96+Q96</f>
        <v>9</v>
      </c>
      <c r="T96" s="648">
        <f>W96+Q96</f>
        <v>9</v>
      </c>
      <c r="U96" s="648">
        <f>X96+Q96</f>
        <v>9</v>
      </c>
      <c r="V96" s="648">
        <f>M96+P96</f>
        <v>7</v>
      </c>
      <c r="W96" s="648">
        <f>N96+P96</f>
        <v>7</v>
      </c>
      <c r="X96" s="648">
        <f>O96+P96</f>
        <v>7</v>
      </c>
      <c r="Y96" s="21" t="str">
        <f>_xlfn.XLOOKUP(AA96,Combos!AU:AU,Combos!AT:AT,"",0,1)</f>
        <v/>
      </c>
      <c r="Z96" s="8" t="s">
        <v>1246</v>
      </c>
      <c r="AA96" s="8" t="s">
        <v>1246</v>
      </c>
      <c r="AB96" s="8" t="s">
        <v>1247</v>
      </c>
      <c r="AC96" s="8" t="s">
        <v>1051</v>
      </c>
      <c r="AD96" s="8" t="s">
        <v>1051</v>
      </c>
    </row>
    <row r="97" spans="1:30">
      <c r="A97" s="21" t="s">
        <v>668</v>
      </c>
      <c r="B97" s="651"/>
      <c r="C97" s="21">
        <v>2</v>
      </c>
      <c r="D97" s="653"/>
      <c r="E97" s="21" t="str">
        <f>_xlfn.XLOOKUP(G97,Combos!AB:AB,Combos!AA:AA,"",0,1)</f>
        <v/>
      </c>
      <c r="G97" s="652" t="s">
        <v>1248</v>
      </c>
      <c r="H97" s="8" t="s">
        <v>1249</v>
      </c>
      <c r="I97" s="8" t="s">
        <v>1250</v>
      </c>
      <c r="K97" s="667" t="s">
        <v>654</v>
      </c>
      <c r="L97" s="2">
        <f t="shared" si="8"/>
        <v>7</v>
      </c>
      <c r="M97" s="662">
        <v>1</v>
      </c>
      <c r="N97" s="663">
        <v>4</v>
      </c>
      <c r="O97" s="663">
        <v>3</v>
      </c>
      <c r="P97" s="663">
        <v>4</v>
      </c>
      <c r="Q97" s="663">
        <v>3</v>
      </c>
      <c r="R97" s="648">
        <f t="shared" si="9"/>
        <v>15</v>
      </c>
      <c r="S97" s="648">
        <f t="shared" si="10"/>
        <v>8</v>
      </c>
      <c r="T97" s="648">
        <f t="shared" si="11"/>
        <v>11</v>
      </c>
      <c r="U97" s="648">
        <f t="shared" si="12"/>
        <v>10</v>
      </c>
      <c r="V97" s="648">
        <f t="shared" si="13"/>
        <v>5</v>
      </c>
      <c r="W97" s="648">
        <f t="shared" si="14"/>
        <v>8</v>
      </c>
      <c r="X97" s="648">
        <f t="shared" si="15"/>
        <v>7</v>
      </c>
      <c r="Y97" s="21" t="str">
        <f>_xlfn.XLOOKUP(AA97,Combos!AU:AU,Combos!AT:AT,"",0,1)</f>
        <v/>
      </c>
      <c r="Z97" s="8" t="s">
        <v>1251</v>
      </c>
      <c r="AA97" s="8" t="s">
        <v>1251</v>
      </c>
      <c r="AB97" s="8" t="s">
        <v>1252</v>
      </c>
      <c r="AC97" s="8" t="s">
        <v>1253</v>
      </c>
      <c r="AD97" s="8" t="s">
        <v>1253</v>
      </c>
    </row>
    <row r="98" spans="1:30">
      <c r="A98" s="21" t="s">
        <v>738</v>
      </c>
      <c r="B98" s="651"/>
      <c r="D98" s="653"/>
      <c r="E98" s="21" t="str">
        <f>_xlfn.XLOOKUP(G98,Combos!AB:AB,Combos!AA:AA,"",0,1)</f>
        <v/>
      </c>
      <c r="G98" s="652" t="s">
        <v>1254</v>
      </c>
      <c r="H98" s="8" t="s">
        <v>1255</v>
      </c>
      <c r="I98" s="8" t="s">
        <v>1256</v>
      </c>
      <c r="K98" s="667" t="s">
        <v>646</v>
      </c>
      <c r="L98" s="2">
        <f t="shared" si="8"/>
        <v>7</v>
      </c>
      <c r="M98" s="662">
        <v>1</v>
      </c>
      <c r="N98" s="662">
        <v>4</v>
      </c>
      <c r="O98" s="662">
        <v>3</v>
      </c>
      <c r="P98" s="662">
        <v>4</v>
      </c>
      <c r="Q98" s="662">
        <v>3</v>
      </c>
      <c r="R98" s="648">
        <f t="shared" si="9"/>
        <v>15</v>
      </c>
      <c r="S98" s="648">
        <f t="shared" si="10"/>
        <v>8</v>
      </c>
      <c r="T98" s="648">
        <f t="shared" si="11"/>
        <v>11</v>
      </c>
      <c r="U98" s="648">
        <f t="shared" si="12"/>
        <v>10</v>
      </c>
      <c r="V98" s="648">
        <f t="shared" si="13"/>
        <v>5</v>
      </c>
      <c r="W98" s="648">
        <f t="shared" si="14"/>
        <v>8</v>
      </c>
      <c r="X98" s="648">
        <f t="shared" si="15"/>
        <v>7</v>
      </c>
      <c r="Y98" s="21" t="str">
        <f>_xlfn.XLOOKUP(AA98,Combos!AU:AU,Combos!AT:AT,"",0,1)</f>
        <v/>
      </c>
      <c r="Z98" s="8" t="s">
        <v>1257</v>
      </c>
      <c r="AA98" s="8" t="s">
        <v>1257</v>
      </c>
      <c r="AB98" s="8" t="s">
        <v>1258</v>
      </c>
      <c r="AC98" s="8" t="s">
        <v>1259</v>
      </c>
      <c r="AD98" s="8" t="s">
        <v>1259</v>
      </c>
    </row>
    <row r="99" spans="2:30">
      <c r="B99" s="651"/>
      <c r="E99" s="21" t="str">
        <f>_xlfn.XLOOKUP(G99,Combos!AB:AB,Combos!AA:AA,"",0,1)</f>
        <v/>
      </c>
      <c r="G99" s="652" t="s">
        <v>1260</v>
      </c>
      <c r="H99" s="8" t="s">
        <v>1261</v>
      </c>
      <c r="I99" s="8" t="s">
        <v>1262</v>
      </c>
      <c r="K99" s="667" t="s">
        <v>654</v>
      </c>
      <c r="L99" s="2">
        <f t="shared" si="8"/>
        <v>7</v>
      </c>
      <c r="M99" s="662">
        <v>1</v>
      </c>
      <c r="N99" s="662">
        <v>4</v>
      </c>
      <c r="O99" s="662">
        <v>3</v>
      </c>
      <c r="P99" s="662">
        <v>4</v>
      </c>
      <c r="Q99" s="662">
        <v>3</v>
      </c>
      <c r="R99" s="648">
        <f t="shared" si="9"/>
        <v>15</v>
      </c>
      <c r="S99" s="648">
        <f t="shared" si="10"/>
        <v>8</v>
      </c>
      <c r="T99" s="648">
        <f t="shared" si="11"/>
        <v>11</v>
      </c>
      <c r="U99" s="648">
        <f t="shared" si="12"/>
        <v>10</v>
      </c>
      <c r="V99" s="648">
        <f t="shared" si="13"/>
        <v>5</v>
      </c>
      <c r="W99" s="648">
        <f t="shared" si="14"/>
        <v>8</v>
      </c>
      <c r="X99" s="648">
        <f t="shared" si="15"/>
        <v>7</v>
      </c>
      <c r="Y99" s="21" t="str">
        <f>_xlfn.XLOOKUP(AA99,Combos!AU:AU,Combos!AT:AT,"",0,1)</f>
        <v/>
      </c>
      <c r="Z99" s="8" t="s">
        <v>1263</v>
      </c>
      <c r="AA99" s="8" t="s">
        <v>1263</v>
      </c>
      <c r="AB99" s="8" t="s">
        <v>1264</v>
      </c>
      <c r="AC99" s="8" t="s">
        <v>1265</v>
      </c>
      <c r="AD99" s="8" t="s">
        <v>1266</v>
      </c>
    </row>
    <row r="100" spans="1:30">
      <c r="A100" s="673" t="s">
        <v>668</v>
      </c>
      <c r="B100" s="651"/>
      <c r="C100" s="673">
        <v>2</v>
      </c>
      <c r="D100" s="653" t="s">
        <v>1267</v>
      </c>
      <c r="E100" s="21" t="str">
        <f>_xlfn.XLOOKUP(G100,Combos!AB:AB,Combos!AA:AA,"",0,1)</f>
        <v/>
      </c>
      <c r="G100" s="652" t="s">
        <v>1268</v>
      </c>
      <c r="H100" s="8" t="s">
        <v>1269</v>
      </c>
      <c r="I100" s="8" t="s">
        <v>1270</v>
      </c>
      <c r="K100" s="667" t="s">
        <v>1039</v>
      </c>
      <c r="L100" s="2">
        <f t="shared" si="8"/>
        <v>7</v>
      </c>
      <c r="M100" s="662">
        <v>1</v>
      </c>
      <c r="N100" s="662">
        <v>4</v>
      </c>
      <c r="O100" s="662">
        <v>3</v>
      </c>
      <c r="P100" s="662">
        <v>4</v>
      </c>
      <c r="Q100" s="662">
        <v>3</v>
      </c>
      <c r="R100" s="648">
        <f t="shared" si="9"/>
        <v>15</v>
      </c>
      <c r="S100" s="648">
        <f t="shared" si="10"/>
        <v>8</v>
      </c>
      <c r="T100" s="648">
        <f t="shared" si="11"/>
        <v>11</v>
      </c>
      <c r="U100" s="648">
        <f t="shared" si="12"/>
        <v>10</v>
      </c>
      <c r="V100" s="648">
        <f t="shared" si="13"/>
        <v>5</v>
      </c>
      <c r="W100" s="648">
        <f t="shared" si="14"/>
        <v>8</v>
      </c>
      <c r="X100" s="648">
        <f t="shared" si="15"/>
        <v>7</v>
      </c>
      <c r="Y100" s="21" t="str">
        <f>_xlfn.XLOOKUP(AA100,Combos!AU:AU,Combos!AT:AT,"",0,1)</f>
        <v/>
      </c>
      <c r="Z100" s="8" t="s">
        <v>1271</v>
      </c>
      <c r="AA100" s="8" t="s">
        <v>1271</v>
      </c>
      <c r="AB100" s="8" t="s">
        <v>1272</v>
      </c>
      <c r="AC100" s="8" t="s">
        <v>1026</v>
      </c>
      <c r="AD100" s="8" t="s">
        <v>1026</v>
      </c>
    </row>
    <row r="101" spans="1:30">
      <c r="A101" s="21" t="s">
        <v>668</v>
      </c>
      <c r="B101" s="651"/>
      <c r="C101" s="21">
        <v>2</v>
      </c>
      <c r="D101" s="653"/>
      <c r="E101" s="21" t="str">
        <f>_xlfn.XLOOKUP(G101,Combos!AB:AB,Combos!AA:AA,"",0,1)</f>
        <v/>
      </c>
      <c r="G101" s="8" t="s">
        <v>1273</v>
      </c>
      <c r="H101" s="8" t="s">
        <v>1274</v>
      </c>
      <c r="I101" s="8" t="s">
        <v>1131</v>
      </c>
      <c r="K101" s="667" t="s">
        <v>654</v>
      </c>
      <c r="L101" s="2">
        <f t="shared" si="8"/>
        <v>7</v>
      </c>
      <c r="M101" s="663">
        <v>1</v>
      </c>
      <c r="N101" s="663">
        <v>4</v>
      </c>
      <c r="O101" s="663">
        <v>3</v>
      </c>
      <c r="P101" s="662">
        <v>4</v>
      </c>
      <c r="Q101" s="662">
        <v>3</v>
      </c>
      <c r="R101" s="648">
        <f t="shared" si="9"/>
        <v>15</v>
      </c>
      <c r="S101" s="648">
        <f t="shared" si="10"/>
        <v>8</v>
      </c>
      <c r="T101" s="648">
        <f t="shared" si="11"/>
        <v>11</v>
      </c>
      <c r="U101" s="648">
        <f t="shared" si="12"/>
        <v>10</v>
      </c>
      <c r="V101" s="648">
        <f t="shared" si="13"/>
        <v>5</v>
      </c>
      <c r="W101" s="648">
        <f t="shared" si="14"/>
        <v>8</v>
      </c>
      <c r="X101" s="648">
        <f t="shared" si="15"/>
        <v>7</v>
      </c>
      <c r="Y101" s="21" t="str">
        <f>_xlfn.XLOOKUP(AA101,Combos!AU:AU,Combos!AT:AT,"",0,1)</f>
        <v/>
      </c>
      <c r="Z101" s="8" t="s">
        <v>1275</v>
      </c>
      <c r="AA101" s="8" t="s">
        <v>1275</v>
      </c>
      <c r="AB101" s="8" t="s">
        <v>1276</v>
      </c>
      <c r="AC101" s="8" t="s">
        <v>1019</v>
      </c>
      <c r="AD101" s="8" t="s">
        <v>1019</v>
      </c>
    </row>
    <row r="102" spans="1:30">
      <c r="A102" s="21" t="s">
        <v>668</v>
      </c>
      <c r="B102" s="651"/>
      <c r="C102" s="21" t="s">
        <v>746</v>
      </c>
      <c r="E102" s="21" t="str">
        <f>_xlfn.XLOOKUP(G102,Combos!AB:AB,Combos!AA:AA,"",0,1)</f>
        <v/>
      </c>
      <c r="G102" s="8" t="s">
        <v>1277</v>
      </c>
      <c r="H102" s="8" t="s">
        <v>1278</v>
      </c>
      <c r="I102" s="8" t="s">
        <v>1279</v>
      </c>
      <c r="K102" s="667" t="s">
        <v>654</v>
      </c>
      <c r="L102" s="2">
        <f t="shared" si="8"/>
        <v>6</v>
      </c>
      <c r="M102" s="663">
        <v>2</v>
      </c>
      <c r="N102" s="663">
        <v>4</v>
      </c>
      <c r="O102" s="663">
        <v>3</v>
      </c>
      <c r="P102" s="663">
        <v>4</v>
      </c>
      <c r="Q102" s="663">
        <v>2</v>
      </c>
      <c r="R102" s="648">
        <f t="shared" si="9"/>
        <v>15</v>
      </c>
      <c r="S102" s="648">
        <f t="shared" si="10"/>
        <v>8</v>
      </c>
      <c r="T102" s="648">
        <f t="shared" si="11"/>
        <v>10</v>
      </c>
      <c r="U102" s="648">
        <f t="shared" si="12"/>
        <v>9</v>
      </c>
      <c r="V102" s="648">
        <f t="shared" si="13"/>
        <v>6</v>
      </c>
      <c r="W102" s="648">
        <f t="shared" si="14"/>
        <v>8</v>
      </c>
      <c r="X102" s="648">
        <f t="shared" si="15"/>
        <v>7</v>
      </c>
      <c r="Y102" s="21" t="str">
        <f>_xlfn.XLOOKUP(AA102,Combos!AU:AU,Combos!AT:AT,"",0,1)</f>
        <v/>
      </c>
      <c r="Z102" s="8" t="s">
        <v>1280</v>
      </c>
      <c r="AA102" s="8" t="s">
        <v>1280</v>
      </c>
      <c r="AB102" s="8" t="s">
        <v>1281</v>
      </c>
      <c r="AC102" s="659" t="s">
        <v>1282</v>
      </c>
      <c r="AD102" s="659" t="s">
        <v>1282</v>
      </c>
    </row>
    <row r="103" spans="1:30">
      <c r="A103" s="21" t="s">
        <v>668</v>
      </c>
      <c r="B103" s="651"/>
      <c r="C103" s="21">
        <v>2</v>
      </c>
      <c r="D103" s="653"/>
      <c r="E103" s="21" t="str">
        <f>_xlfn.XLOOKUP(G103,Combos!AB:AB,Combos!AA:AA,"",0,1)</f>
        <v/>
      </c>
      <c r="G103" s="652" t="s">
        <v>1283</v>
      </c>
      <c r="H103" s="8" t="s">
        <v>1284</v>
      </c>
      <c r="I103" s="8" t="s">
        <v>1016</v>
      </c>
      <c r="K103" s="667" t="s">
        <v>646</v>
      </c>
      <c r="L103" s="2">
        <f t="shared" si="8"/>
        <v>7</v>
      </c>
      <c r="M103" s="662">
        <v>1</v>
      </c>
      <c r="N103" s="663">
        <v>4</v>
      </c>
      <c r="O103" s="663">
        <v>3</v>
      </c>
      <c r="P103" s="663">
        <v>4</v>
      </c>
      <c r="Q103" s="663">
        <v>3</v>
      </c>
      <c r="R103" s="648">
        <f t="shared" si="9"/>
        <v>15</v>
      </c>
      <c r="S103" s="648">
        <f t="shared" si="10"/>
        <v>8</v>
      </c>
      <c r="T103" s="648">
        <f t="shared" si="11"/>
        <v>11</v>
      </c>
      <c r="U103" s="648">
        <f t="shared" si="12"/>
        <v>10</v>
      </c>
      <c r="V103" s="648">
        <f t="shared" si="13"/>
        <v>5</v>
      </c>
      <c r="W103" s="648">
        <f t="shared" si="14"/>
        <v>8</v>
      </c>
      <c r="X103" s="648">
        <f t="shared" si="15"/>
        <v>7</v>
      </c>
      <c r="Y103" s="21" t="str">
        <f>_xlfn.XLOOKUP(AA103,Combos!AU:AU,Combos!AT:AT,"",0,1)</f>
        <v/>
      </c>
      <c r="Z103" s="8" t="s">
        <v>1285</v>
      </c>
      <c r="AA103" s="8" t="s">
        <v>1285</v>
      </c>
      <c r="AB103" s="8" t="s">
        <v>1286</v>
      </c>
      <c r="AC103" s="8" t="s">
        <v>1287</v>
      </c>
      <c r="AD103" s="8" t="s">
        <v>1288</v>
      </c>
    </row>
    <row r="104" spans="2:30">
      <c r="B104" s="651"/>
      <c r="D104" s="21" t="s">
        <v>1289</v>
      </c>
      <c r="E104" s="21" t="str">
        <f>_xlfn.XLOOKUP(G104,Combos!AB:AB,Combos!AA:AA,"",0,1)</f>
        <v/>
      </c>
      <c r="F104" s="21">
        <v>1</v>
      </c>
      <c r="G104" s="652" t="s">
        <v>1290</v>
      </c>
      <c r="H104" s="13" t="s">
        <v>1291</v>
      </c>
      <c r="I104" s="8" t="s">
        <v>729</v>
      </c>
      <c r="K104" s="667" t="s">
        <v>1039</v>
      </c>
      <c r="L104" s="2">
        <f t="shared" si="8"/>
        <v>6</v>
      </c>
      <c r="M104" s="662">
        <v>1</v>
      </c>
      <c r="N104" s="662">
        <v>5</v>
      </c>
      <c r="O104" s="662">
        <v>3</v>
      </c>
      <c r="P104" s="662">
        <v>4</v>
      </c>
      <c r="Q104" s="662">
        <v>2</v>
      </c>
      <c r="R104" s="648">
        <f t="shared" si="9"/>
        <v>15</v>
      </c>
      <c r="S104" s="648">
        <f t="shared" si="10"/>
        <v>7</v>
      </c>
      <c r="T104" s="648">
        <f t="shared" si="11"/>
        <v>11</v>
      </c>
      <c r="U104" s="648">
        <f t="shared" si="12"/>
        <v>9</v>
      </c>
      <c r="V104" s="648">
        <f t="shared" si="13"/>
        <v>5</v>
      </c>
      <c r="W104" s="648">
        <f t="shared" si="14"/>
        <v>9</v>
      </c>
      <c r="X104" s="648">
        <f t="shared" si="15"/>
        <v>7</v>
      </c>
      <c r="Y104" s="21" t="str">
        <f>_xlfn.XLOOKUP(AA104,Combos!AU:AU,Combos!AT:AT,"",0,1)</f>
        <v/>
      </c>
      <c r="Z104" s="8" t="s">
        <v>1292</v>
      </c>
      <c r="AA104" s="8" t="s">
        <v>1292</v>
      </c>
      <c r="AB104" s="8" t="s">
        <v>1293</v>
      </c>
      <c r="AC104" s="8" t="s">
        <v>1294</v>
      </c>
      <c r="AD104" s="8" t="s">
        <v>1294</v>
      </c>
    </row>
    <row r="105" spans="2:30">
      <c r="B105" s="651"/>
      <c r="E105" s="21" t="str">
        <f>_xlfn.XLOOKUP(G105,Combos!AB:AB,Combos!AA:AA,"",0,1)</f>
        <v/>
      </c>
      <c r="G105" s="8" t="s">
        <v>1295</v>
      </c>
      <c r="H105" s="8" t="s">
        <v>1296</v>
      </c>
      <c r="I105" s="8" t="s">
        <v>1297</v>
      </c>
      <c r="K105" s="667" t="s">
        <v>646</v>
      </c>
      <c r="L105" s="2">
        <f t="shared" si="8"/>
        <v>6</v>
      </c>
      <c r="M105" s="663">
        <v>2</v>
      </c>
      <c r="N105" s="663">
        <v>4</v>
      </c>
      <c r="O105" s="663">
        <v>3</v>
      </c>
      <c r="P105" s="662">
        <v>4</v>
      </c>
      <c r="Q105" s="662">
        <v>2</v>
      </c>
      <c r="R105" s="648">
        <f t="shared" si="9"/>
        <v>15</v>
      </c>
      <c r="S105" s="648">
        <f t="shared" si="10"/>
        <v>8</v>
      </c>
      <c r="T105" s="648">
        <f t="shared" si="11"/>
        <v>10</v>
      </c>
      <c r="U105" s="648">
        <f t="shared" si="12"/>
        <v>9</v>
      </c>
      <c r="V105" s="648">
        <f t="shared" si="13"/>
        <v>6</v>
      </c>
      <c r="W105" s="648">
        <f t="shared" si="14"/>
        <v>8</v>
      </c>
      <c r="X105" s="648">
        <f t="shared" si="15"/>
        <v>7</v>
      </c>
      <c r="Y105" s="21" t="str">
        <f>_xlfn.XLOOKUP(AA105,Combos!AU:AU,Combos!AT:AT,"",0,1)</f>
        <v/>
      </c>
      <c r="Z105" s="8" t="s">
        <v>1298</v>
      </c>
      <c r="AA105" s="8" t="s">
        <v>1298</v>
      </c>
      <c r="AB105" s="8" t="s">
        <v>1296</v>
      </c>
      <c r="AC105" s="8" t="s">
        <v>1299</v>
      </c>
      <c r="AD105" s="8" t="s">
        <v>1299</v>
      </c>
    </row>
    <row r="106" spans="2:30">
      <c r="B106" s="651"/>
      <c r="D106" s="653"/>
      <c r="E106" s="21" t="str">
        <f>_xlfn.XLOOKUP(G106,Combos!AB:AB,Combos!AA:AA,"",0,1)</f>
        <v/>
      </c>
      <c r="G106" s="652" t="s">
        <v>1300</v>
      </c>
      <c r="H106" s="8" t="s">
        <v>1301</v>
      </c>
      <c r="I106" s="8" t="s">
        <v>1302</v>
      </c>
      <c r="K106" s="667" t="s">
        <v>646</v>
      </c>
      <c r="L106" s="2">
        <f t="shared" si="8"/>
        <v>7</v>
      </c>
      <c r="M106" s="662">
        <v>1</v>
      </c>
      <c r="N106" s="662">
        <v>4</v>
      </c>
      <c r="O106" s="662">
        <v>3</v>
      </c>
      <c r="P106" s="662">
        <v>4</v>
      </c>
      <c r="Q106" s="662">
        <v>3</v>
      </c>
      <c r="R106" s="648">
        <f t="shared" si="9"/>
        <v>15</v>
      </c>
      <c r="S106" s="648">
        <f t="shared" si="10"/>
        <v>8</v>
      </c>
      <c r="T106" s="648">
        <f t="shared" si="11"/>
        <v>11</v>
      </c>
      <c r="U106" s="648">
        <f t="shared" si="12"/>
        <v>10</v>
      </c>
      <c r="V106" s="648">
        <f t="shared" si="13"/>
        <v>5</v>
      </c>
      <c r="W106" s="648">
        <f t="shared" si="14"/>
        <v>8</v>
      </c>
      <c r="X106" s="648">
        <f t="shared" si="15"/>
        <v>7</v>
      </c>
      <c r="Y106" s="21" t="str">
        <f>_xlfn.XLOOKUP(AA106,Combos!AU:AU,Combos!AT:AT,"",0,1)</f>
        <v/>
      </c>
      <c r="Z106" s="8" t="s">
        <v>1303</v>
      </c>
      <c r="AA106" s="8" t="s">
        <v>1303</v>
      </c>
      <c r="AB106" s="8" t="s">
        <v>1301</v>
      </c>
      <c r="AC106" s="8" t="s">
        <v>1304</v>
      </c>
      <c r="AD106" s="8" t="s">
        <v>1304</v>
      </c>
    </row>
    <row r="107" spans="1:30">
      <c r="A107" s="21" t="s">
        <v>668</v>
      </c>
      <c r="B107" s="651"/>
      <c r="C107" s="21" t="s">
        <v>746</v>
      </c>
      <c r="D107" s="21" t="s">
        <v>748</v>
      </c>
      <c r="E107" s="21" t="str">
        <f>_xlfn.XLOOKUP(G107,Combos!AB:AB,Combos!AA:AA,"",0,1)</f>
        <v/>
      </c>
      <c r="F107" s="21" t="s">
        <v>748</v>
      </c>
      <c r="G107" s="652" t="s">
        <v>1305</v>
      </c>
      <c r="H107" s="8" t="s">
        <v>1306</v>
      </c>
      <c r="I107" s="8" t="s">
        <v>1307</v>
      </c>
      <c r="K107" s="668" t="s">
        <v>646</v>
      </c>
      <c r="L107" s="2">
        <f t="shared" si="8"/>
        <v>7</v>
      </c>
      <c r="M107" s="663">
        <v>1</v>
      </c>
      <c r="N107" s="663">
        <v>4</v>
      </c>
      <c r="O107" s="663">
        <v>3</v>
      </c>
      <c r="P107" s="663">
        <v>3</v>
      </c>
      <c r="Q107" s="663">
        <v>4</v>
      </c>
      <c r="R107" s="648">
        <f t="shared" si="9"/>
        <v>15</v>
      </c>
      <c r="S107" s="648">
        <f t="shared" si="10"/>
        <v>8</v>
      </c>
      <c r="T107" s="648">
        <f t="shared" si="11"/>
        <v>11</v>
      </c>
      <c r="U107" s="648">
        <f t="shared" si="12"/>
        <v>10</v>
      </c>
      <c r="V107" s="648">
        <f t="shared" si="13"/>
        <v>4</v>
      </c>
      <c r="W107" s="648">
        <f t="shared" si="14"/>
        <v>7</v>
      </c>
      <c r="X107" s="648">
        <f t="shared" si="15"/>
        <v>6</v>
      </c>
      <c r="Y107" s="21" t="str">
        <f>_xlfn.XLOOKUP(AA107,Combos!AU:AU,Combos!AT:AT,"",0,1)</f>
        <v/>
      </c>
      <c r="Z107" s="8" t="s">
        <v>1308</v>
      </c>
      <c r="AA107" s="8" t="s">
        <v>1308</v>
      </c>
      <c r="AB107" s="8" t="s">
        <v>1306</v>
      </c>
      <c r="AC107" s="8" t="s">
        <v>1309</v>
      </c>
      <c r="AD107" s="8" t="s">
        <v>1310</v>
      </c>
    </row>
    <row r="108" spans="1:30">
      <c r="A108" s="21" t="s">
        <v>748</v>
      </c>
      <c r="B108" s="651"/>
      <c r="D108" s="21" t="s">
        <v>748</v>
      </c>
      <c r="E108" s="21" t="str">
        <f>_xlfn.XLOOKUP(G108,Combos!AB:AB,Combos!AA:AA,"",0,1)</f>
        <v/>
      </c>
      <c r="F108" s="21" t="s">
        <v>748</v>
      </c>
      <c r="G108" s="8" t="s">
        <v>1311</v>
      </c>
      <c r="H108" s="8" t="s">
        <v>1312</v>
      </c>
      <c r="I108" s="8" t="s">
        <v>1041</v>
      </c>
      <c r="K108" s="668" t="s">
        <v>914</v>
      </c>
      <c r="L108" s="2">
        <f t="shared" si="8"/>
        <v>7</v>
      </c>
      <c r="M108" s="663">
        <v>2</v>
      </c>
      <c r="N108" s="663">
        <v>4</v>
      </c>
      <c r="O108" s="663">
        <v>2</v>
      </c>
      <c r="P108" s="663">
        <v>3</v>
      </c>
      <c r="Q108" s="663">
        <v>4</v>
      </c>
      <c r="R108" s="648">
        <f t="shared" si="9"/>
        <v>15</v>
      </c>
      <c r="S108" s="648">
        <f t="shared" si="10"/>
        <v>9</v>
      </c>
      <c r="T108" s="648">
        <f t="shared" si="11"/>
        <v>11</v>
      </c>
      <c r="U108" s="648">
        <f t="shared" si="12"/>
        <v>9</v>
      </c>
      <c r="V108" s="648">
        <f t="shared" si="13"/>
        <v>5</v>
      </c>
      <c r="W108" s="648">
        <f t="shared" si="14"/>
        <v>7</v>
      </c>
      <c r="X108" s="648">
        <f t="shared" si="15"/>
        <v>5</v>
      </c>
      <c r="Y108" s="21" t="str">
        <f>_xlfn.XLOOKUP(AA108,Combos!AU:AU,Combos!AT:AT,"",0,1)</f>
        <v/>
      </c>
      <c r="Z108" s="8" t="s">
        <v>1313</v>
      </c>
      <c r="AA108" s="8" t="s">
        <v>1313</v>
      </c>
      <c r="AB108" s="8" t="s">
        <v>1314</v>
      </c>
      <c r="AC108" s="8" t="s">
        <v>1315</v>
      </c>
      <c r="AD108" s="8" t="s">
        <v>1315</v>
      </c>
    </row>
    <row r="109" spans="1:30">
      <c r="A109" s="21" t="s">
        <v>668</v>
      </c>
      <c r="B109" s="651"/>
      <c r="C109" s="21">
        <v>1</v>
      </c>
      <c r="D109" s="674" t="s">
        <v>48</v>
      </c>
      <c r="E109" s="21" t="str">
        <f>_xlfn.XLOOKUP(G109,Combos!AB:AB,Combos!AA:AA,"",0,1)</f>
        <v/>
      </c>
      <c r="F109" s="21" t="s">
        <v>748</v>
      </c>
      <c r="G109" s="652" t="s">
        <v>1316</v>
      </c>
      <c r="H109" s="8" t="s">
        <v>1317</v>
      </c>
      <c r="I109" s="8" t="s">
        <v>1299</v>
      </c>
      <c r="K109" s="668" t="s">
        <v>1039</v>
      </c>
      <c r="L109" s="2">
        <f t="shared" si="8"/>
        <v>6</v>
      </c>
      <c r="M109" s="662">
        <v>2</v>
      </c>
      <c r="N109" s="662">
        <v>4</v>
      </c>
      <c r="O109" s="662">
        <v>3</v>
      </c>
      <c r="P109" s="662">
        <v>2</v>
      </c>
      <c r="Q109" s="662">
        <v>4</v>
      </c>
      <c r="R109" s="648">
        <f t="shared" si="9"/>
        <v>15</v>
      </c>
      <c r="S109" s="648">
        <f t="shared" si="10"/>
        <v>8</v>
      </c>
      <c r="T109" s="648">
        <f t="shared" si="11"/>
        <v>10</v>
      </c>
      <c r="U109" s="648">
        <f t="shared" si="12"/>
        <v>9</v>
      </c>
      <c r="V109" s="648">
        <f t="shared" si="13"/>
        <v>4</v>
      </c>
      <c r="W109" s="648">
        <f t="shared" si="14"/>
        <v>6</v>
      </c>
      <c r="X109" s="648">
        <f t="shared" si="15"/>
        <v>5</v>
      </c>
      <c r="Y109" s="21" t="str">
        <f>_xlfn.XLOOKUP(AA109,Combos!AU:AU,Combos!AT:AT,"",0,1)</f>
        <v/>
      </c>
      <c r="Z109" s="8" t="s">
        <v>1318</v>
      </c>
      <c r="AA109" s="8" t="s">
        <v>1318</v>
      </c>
      <c r="AB109" s="8" t="s">
        <v>1319</v>
      </c>
      <c r="AC109" s="8" t="s">
        <v>1067</v>
      </c>
      <c r="AD109" s="8" t="s">
        <v>1067</v>
      </c>
    </row>
    <row r="110" spans="1:30">
      <c r="A110" s="21" t="s">
        <v>748</v>
      </c>
      <c r="B110" s="649">
        <v>1</v>
      </c>
      <c r="D110" s="21" t="s">
        <v>748</v>
      </c>
      <c r="E110" s="21" t="str">
        <f>_xlfn.XLOOKUP(G110,Combos!AB:AB,Combos!AA:AA,"",0,1)</f>
        <v/>
      </c>
      <c r="F110" s="21" t="s">
        <v>748</v>
      </c>
      <c r="G110" s="652" t="s">
        <v>1320</v>
      </c>
      <c r="H110" s="8" t="s">
        <v>1321</v>
      </c>
      <c r="I110" s="659" t="s">
        <v>675</v>
      </c>
      <c r="K110" s="7" t="s">
        <v>1039</v>
      </c>
      <c r="L110" s="661">
        <f t="shared" si="8"/>
        <v>5</v>
      </c>
      <c r="M110" s="662">
        <v>3</v>
      </c>
      <c r="N110" s="662">
        <v>4</v>
      </c>
      <c r="O110" s="662">
        <v>3</v>
      </c>
      <c r="P110" s="662">
        <v>3</v>
      </c>
      <c r="Q110" s="662">
        <v>2</v>
      </c>
      <c r="R110" s="648">
        <f t="shared" si="9"/>
        <v>15</v>
      </c>
      <c r="S110" s="648">
        <f t="shared" si="10"/>
        <v>8</v>
      </c>
      <c r="T110" s="648">
        <f t="shared" si="11"/>
        <v>9</v>
      </c>
      <c r="U110" s="648">
        <f t="shared" si="12"/>
        <v>8</v>
      </c>
      <c r="V110" s="648">
        <f t="shared" si="13"/>
        <v>6</v>
      </c>
      <c r="W110" s="648">
        <f t="shared" si="14"/>
        <v>7</v>
      </c>
      <c r="X110" s="648">
        <f t="shared" si="15"/>
        <v>6</v>
      </c>
      <c r="Y110" s="21" t="str">
        <f>_xlfn.XLOOKUP(AA110,Combos!AU:AU,Combos!AT:AT,"",0,1)</f>
        <v/>
      </c>
      <c r="Z110" s="659" t="s">
        <v>1322</v>
      </c>
      <c r="AA110" s="659" t="s">
        <v>1322</v>
      </c>
      <c r="AB110" s="659" t="s">
        <v>1323</v>
      </c>
      <c r="AC110" s="8" t="s">
        <v>1324</v>
      </c>
      <c r="AD110" s="8" t="s">
        <v>1324</v>
      </c>
    </row>
    <row r="111" spans="1:30">
      <c r="A111" s="21" t="s">
        <v>738</v>
      </c>
      <c r="B111" s="651"/>
      <c r="C111" s="21"/>
      <c r="D111" s="21" t="s">
        <v>748</v>
      </c>
      <c r="E111" s="21" t="str">
        <f>_xlfn.XLOOKUP(G111,Combos!AB:AB,Combos!AA:AA,"",0,1)</f>
        <v/>
      </c>
      <c r="F111" s="21" t="s">
        <v>748</v>
      </c>
      <c r="G111" s="652" t="s">
        <v>1325</v>
      </c>
      <c r="H111" s="8" t="s">
        <v>1325</v>
      </c>
      <c r="I111" s="8" t="s">
        <v>1326</v>
      </c>
      <c r="K111" s="667" t="s">
        <v>939</v>
      </c>
      <c r="L111" s="2">
        <f>P111+Q111</f>
        <v>7</v>
      </c>
      <c r="M111" s="663">
        <v>3</v>
      </c>
      <c r="N111" s="663">
        <v>2</v>
      </c>
      <c r="O111" s="663">
        <v>3</v>
      </c>
      <c r="P111" s="663">
        <v>4</v>
      </c>
      <c r="Q111" s="663">
        <v>3</v>
      </c>
      <c r="R111" s="648">
        <f>SUM(M111:Q111)</f>
        <v>15</v>
      </c>
      <c r="S111" s="648">
        <f>V111+Q111</f>
        <v>10</v>
      </c>
      <c r="T111" s="648">
        <f>W111+Q111</f>
        <v>9</v>
      </c>
      <c r="U111" s="648">
        <f>X111+Q111</f>
        <v>10</v>
      </c>
      <c r="V111" s="648">
        <f>M111+P111</f>
        <v>7</v>
      </c>
      <c r="W111" s="648">
        <f>N111+P111</f>
        <v>6</v>
      </c>
      <c r="X111" s="648">
        <f>O111+P111</f>
        <v>7</v>
      </c>
      <c r="Y111" s="21" t="str">
        <f>_xlfn.XLOOKUP(AA111,Combos!AU:AU,Combos!AT:AT,"",0,1)</f>
        <v/>
      </c>
      <c r="Z111" s="8" t="s">
        <v>1327</v>
      </c>
      <c r="AA111" s="8" t="s">
        <v>1327</v>
      </c>
      <c r="AB111" s="8" t="s">
        <v>1328</v>
      </c>
      <c r="AC111" s="8" t="s">
        <v>1329</v>
      </c>
      <c r="AD111" s="8" t="s">
        <v>1329</v>
      </c>
    </row>
    <row r="112" spans="1:30">
      <c r="A112" s="21" t="s">
        <v>668</v>
      </c>
      <c r="B112" s="651"/>
      <c r="C112" s="21" t="s">
        <v>746</v>
      </c>
      <c r="D112" s="21" t="s">
        <v>748</v>
      </c>
      <c r="E112" s="21" t="str">
        <f>_xlfn.XLOOKUP(G112,Combos!AB:AB,Combos!AA:AA,"",0,1)</f>
        <v/>
      </c>
      <c r="F112" s="21" t="s">
        <v>748</v>
      </c>
      <c r="G112" s="8" t="s">
        <v>1330</v>
      </c>
      <c r="H112" s="8" t="s">
        <v>1331</v>
      </c>
      <c r="I112" s="8" t="s">
        <v>1332</v>
      </c>
      <c r="K112" s="7" t="s">
        <v>654</v>
      </c>
      <c r="L112" s="2">
        <f t="shared" si="8"/>
        <v>6</v>
      </c>
      <c r="M112" s="663">
        <v>2</v>
      </c>
      <c r="N112" s="663">
        <v>4</v>
      </c>
      <c r="O112" s="663">
        <v>3</v>
      </c>
      <c r="P112" s="663">
        <v>3</v>
      </c>
      <c r="Q112" s="663">
        <v>3</v>
      </c>
      <c r="R112" s="648">
        <f t="shared" si="9"/>
        <v>15</v>
      </c>
      <c r="S112" s="648">
        <f t="shared" si="10"/>
        <v>8</v>
      </c>
      <c r="T112" s="648">
        <f t="shared" si="11"/>
        <v>10</v>
      </c>
      <c r="U112" s="648">
        <f t="shared" si="12"/>
        <v>9</v>
      </c>
      <c r="V112" s="648">
        <f t="shared" si="13"/>
        <v>5</v>
      </c>
      <c r="W112" s="648">
        <f t="shared" si="14"/>
        <v>7</v>
      </c>
      <c r="X112" s="648">
        <f t="shared" si="15"/>
        <v>6</v>
      </c>
      <c r="Y112" s="21" t="str">
        <f>_xlfn.XLOOKUP(AA112,Combos!AU:AU,Combos!AT:AT,"",0,1)</f>
        <v/>
      </c>
      <c r="Z112" s="8" t="s">
        <v>1333</v>
      </c>
      <c r="AA112" s="8" t="s">
        <v>1333</v>
      </c>
      <c r="AB112" s="8" t="s">
        <v>1334</v>
      </c>
      <c r="AC112" s="8" t="s">
        <v>1145</v>
      </c>
      <c r="AD112" s="8" t="s">
        <v>1145</v>
      </c>
    </row>
    <row r="113" spans="1:30">
      <c r="A113" s="21" t="s">
        <v>668</v>
      </c>
      <c r="B113" s="651"/>
      <c r="C113" s="21" t="s">
        <v>746</v>
      </c>
      <c r="D113" s="21" t="s">
        <v>748</v>
      </c>
      <c r="E113" s="21" t="str">
        <f>_xlfn.XLOOKUP(G113,Combos!AB:AB,Combos!AA:AA,"",0,1)</f>
        <v/>
      </c>
      <c r="F113" s="21" t="s">
        <v>748</v>
      </c>
      <c r="G113" s="8" t="s">
        <v>1335</v>
      </c>
      <c r="H113" s="8" t="s">
        <v>1336</v>
      </c>
      <c r="I113" s="8" t="s">
        <v>1253</v>
      </c>
      <c r="K113" s="7" t="s">
        <v>1039</v>
      </c>
      <c r="L113" s="2">
        <f t="shared" si="8"/>
        <v>6</v>
      </c>
      <c r="M113" s="663">
        <v>2</v>
      </c>
      <c r="N113" s="663">
        <v>4</v>
      </c>
      <c r="O113" s="663">
        <v>3</v>
      </c>
      <c r="P113" s="663">
        <v>3</v>
      </c>
      <c r="Q113" s="663">
        <v>3</v>
      </c>
      <c r="R113" s="648">
        <f t="shared" si="9"/>
        <v>15</v>
      </c>
      <c r="S113" s="648">
        <f t="shared" si="10"/>
        <v>8</v>
      </c>
      <c r="T113" s="648">
        <f t="shared" si="11"/>
        <v>10</v>
      </c>
      <c r="U113" s="648">
        <f t="shared" si="12"/>
        <v>9</v>
      </c>
      <c r="V113" s="648">
        <f t="shared" si="13"/>
        <v>5</v>
      </c>
      <c r="W113" s="648">
        <f t="shared" si="14"/>
        <v>7</v>
      </c>
      <c r="X113" s="648">
        <f t="shared" si="15"/>
        <v>6</v>
      </c>
      <c r="Y113" s="21" t="str">
        <f>_xlfn.XLOOKUP(AA113,Combos!AU:AU,Combos!AT:AT,"",0,1)</f>
        <v/>
      </c>
      <c r="Z113" s="8" t="s">
        <v>1337</v>
      </c>
      <c r="AA113" s="8" t="s">
        <v>1337</v>
      </c>
      <c r="AB113" s="8" t="s">
        <v>1338</v>
      </c>
      <c r="AC113" s="8" t="s">
        <v>1339</v>
      </c>
      <c r="AD113" s="8" t="s">
        <v>1340</v>
      </c>
    </row>
    <row r="114" spans="1:30">
      <c r="A114" s="21" t="s">
        <v>668</v>
      </c>
      <c r="B114" s="651"/>
      <c r="C114" s="21" t="s">
        <v>746</v>
      </c>
      <c r="D114" s="21" t="s">
        <v>748</v>
      </c>
      <c r="E114" s="21" t="str">
        <f>_xlfn.XLOOKUP(G114,Combos!AB:AB,Combos!AA:AA,"",0,1)</f>
        <v/>
      </c>
      <c r="F114" s="21" t="s">
        <v>748</v>
      </c>
      <c r="G114" s="652" t="s">
        <v>1341</v>
      </c>
      <c r="H114" s="8" t="s">
        <v>1342</v>
      </c>
      <c r="I114" s="8" t="s">
        <v>1343</v>
      </c>
      <c r="K114" s="7" t="s">
        <v>654</v>
      </c>
      <c r="L114" s="2">
        <f t="shared" si="8"/>
        <v>5</v>
      </c>
      <c r="M114" s="662">
        <v>2</v>
      </c>
      <c r="N114" s="662">
        <v>4</v>
      </c>
      <c r="O114" s="662">
        <v>3</v>
      </c>
      <c r="P114" s="662">
        <v>3</v>
      </c>
      <c r="Q114" s="662">
        <v>2</v>
      </c>
      <c r="R114" s="648">
        <f t="shared" si="9"/>
        <v>14</v>
      </c>
      <c r="S114" s="648">
        <f t="shared" si="10"/>
        <v>7</v>
      </c>
      <c r="T114" s="648">
        <f t="shared" si="11"/>
        <v>9</v>
      </c>
      <c r="U114" s="648">
        <f t="shared" si="12"/>
        <v>8</v>
      </c>
      <c r="V114" s="648">
        <f t="shared" si="13"/>
        <v>5</v>
      </c>
      <c r="W114" s="648">
        <f t="shared" si="14"/>
        <v>7</v>
      </c>
      <c r="X114" s="648">
        <f t="shared" si="15"/>
        <v>6</v>
      </c>
      <c r="Y114" s="21" t="str">
        <f>_xlfn.XLOOKUP(AA114,Combos!AU:AU,Combos!AT:AT,"",0,1)</f>
        <v/>
      </c>
      <c r="Z114" s="8" t="s">
        <v>1344</v>
      </c>
      <c r="AA114" s="8" t="s">
        <v>1344</v>
      </c>
      <c r="AB114" s="8" t="s">
        <v>1342</v>
      </c>
      <c r="AC114" s="8" t="s">
        <v>1345</v>
      </c>
      <c r="AD114" s="8" t="s">
        <v>1345</v>
      </c>
    </row>
    <row r="115" spans="1:30">
      <c r="A115" s="21" t="s">
        <v>668</v>
      </c>
      <c r="B115" s="651"/>
      <c r="C115" s="21" t="s">
        <v>746</v>
      </c>
      <c r="D115" s="21" t="s">
        <v>748</v>
      </c>
      <c r="E115" s="21" t="str">
        <f>_xlfn.XLOOKUP(G115,Combos!AB:AB,Combos!AA:AA,"",0,1)</f>
        <v/>
      </c>
      <c r="F115" s="21" t="s">
        <v>748</v>
      </c>
      <c r="G115" s="652" t="s">
        <v>1346</v>
      </c>
      <c r="H115" s="8" t="s">
        <v>1347</v>
      </c>
      <c r="I115" s="8" t="s">
        <v>1348</v>
      </c>
      <c r="K115" s="7" t="s">
        <v>646</v>
      </c>
      <c r="L115" s="2">
        <f t="shared" si="8"/>
        <v>5</v>
      </c>
      <c r="M115" s="662">
        <v>2</v>
      </c>
      <c r="N115" s="662">
        <v>4</v>
      </c>
      <c r="O115" s="662">
        <v>3</v>
      </c>
      <c r="P115" s="662">
        <v>3</v>
      </c>
      <c r="Q115" s="662">
        <v>2</v>
      </c>
      <c r="R115" s="648">
        <f t="shared" si="9"/>
        <v>14</v>
      </c>
      <c r="S115" s="648">
        <f t="shared" si="10"/>
        <v>7</v>
      </c>
      <c r="T115" s="648">
        <f t="shared" si="11"/>
        <v>9</v>
      </c>
      <c r="U115" s="648">
        <f t="shared" si="12"/>
        <v>8</v>
      </c>
      <c r="V115" s="648">
        <f t="shared" si="13"/>
        <v>5</v>
      </c>
      <c r="W115" s="648">
        <f t="shared" si="14"/>
        <v>7</v>
      </c>
      <c r="X115" s="648">
        <f t="shared" si="15"/>
        <v>6</v>
      </c>
      <c r="Y115" s="21" t="str">
        <f>_xlfn.XLOOKUP(AA115,Combos!AU:AU,Combos!AT:AT,"",0,1)</f>
        <v/>
      </c>
      <c r="Z115" s="8" t="s">
        <v>1349</v>
      </c>
      <c r="AA115" s="8" t="s">
        <v>1349</v>
      </c>
      <c r="AB115" s="8" t="s">
        <v>1347</v>
      </c>
      <c r="AC115" s="8" t="s">
        <v>1350</v>
      </c>
      <c r="AD115" s="8" t="s">
        <v>1350</v>
      </c>
    </row>
    <row r="116" spans="1:30">
      <c r="A116" s="21" t="s">
        <v>748</v>
      </c>
      <c r="B116" s="651"/>
      <c r="D116" s="21" t="s">
        <v>748</v>
      </c>
      <c r="E116" s="21" t="str">
        <f>_xlfn.XLOOKUP(G116,Combos!AB:AB,Combos!AA:AA,"",0,1)</f>
        <v/>
      </c>
      <c r="F116" s="21" t="s">
        <v>748</v>
      </c>
      <c r="G116" s="652" t="s">
        <v>1351</v>
      </c>
      <c r="H116" s="8" t="s">
        <v>1352</v>
      </c>
      <c r="I116" s="8" t="s">
        <v>1345</v>
      </c>
      <c r="K116" s="7" t="s">
        <v>646</v>
      </c>
      <c r="L116" s="2">
        <f t="shared" si="8"/>
        <v>6</v>
      </c>
      <c r="M116" s="662">
        <v>2</v>
      </c>
      <c r="N116" s="662">
        <v>4</v>
      </c>
      <c r="O116" s="662">
        <v>3</v>
      </c>
      <c r="P116" s="662">
        <v>3</v>
      </c>
      <c r="Q116" s="662">
        <v>3</v>
      </c>
      <c r="R116" s="648">
        <f t="shared" si="9"/>
        <v>15</v>
      </c>
      <c r="S116" s="648">
        <f t="shared" si="10"/>
        <v>8</v>
      </c>
      <c r="T116" s="648">
        <f t="shared" si="11"/>
        <v>10</v>
      </c>
      <c r="U116" s="648">
        <f t="shared" si="12"/>
        <v>9</v>
      </c>
      <c r="V116" s="648">
        <f t="shared" si="13"/>
        <v>5</v>
      </c>
      <c r="W116" s="648">
        <f t="shared" si="14"/>
        <v>7</v>
      </c>
      <c r="X116" s="648">
        <f t="shared" si="15"/>
        <v>6</v>
      </c>
      <c r="Y116" s="21" t="str">
        <f>_xlfn.XLOOKUP(AA116,Combos!AU:AU,Combos!AT:AT,"",0,1)</f>
        <v/>
      </c>
      <c r="Z116" s="8" t="s">
        <v>1353</v>
      </c>
      <c r="AA116" s="8" t="s">
        <v>1353</v>
      </c>
      <c r="AB116" s="8" t="s">
        <v>1354</v>
      </c>
      <c r="AC116" s="8" t="s">
        <v>1355</v>
      </c>
      <c r="AD116" s="8" t="s">
        <v>1355</v>
      </c>
    </row>
    <row r="117" spans="1:30">
      <c r="A117" s="21" t="s">
        <v>738</v>
      </c>
      <c r="B117" s="651"/>
      <c r="C117" s="21"/>
      <c r="D117" s="21" t="s">
        <v>748</v>
      </c>
      <c r="E117" s="21" t="str">
        <f>_xlfn.XLOOKUP(G117,Combos!AB:AB,Combos!AA:AA,"",0,1)</f>
        <v/>
      </c>
      <c r="F117" s="21" t="s">
        <v>748</v>
      </c>
      <c r="G117" s="650" t="s">
        <v>1356</v>
      </c>
      <c r="H117" s="8" t="s">
        <v>1356</v>
      </c>
      <c r="I117" s="8" t="s">
        <v>1357</v>
      </c>
      <c r="K117" s="666" t="s">
        <v>939</v>
      </c>
      <c r="L117" s="2">
        <f>P117+Q117</f>
        <v>6</v>
      </c>
      <c r="M117" s="662">
        <v>4</v>
      </c>
      <c r="N117" s="662">
        <v>1</v>
      </c>
      <c r="O117" s="662">
        <v>4</v>
      </c>
      <c r="P117" s="662">
        <v>3</v>
      </c>
      <c r="Q117" s="662">
        <v>3</v>
      </c>
      <c r="R117" s="648">
        <f>SUM(M117:Q117)</f>
        <v>15</v>
      </c>
      <c r="S117" s="648">
        <f>V117+Q117</f>
        <v>10</v>
      </c>
      <c r="T117" s="648">
        <f>W117+Q117</f>
        <v>7</v>
      </c>
      <c r="U117" s="648">
        <f>X117+Q117</f>
        <v>10</v>
      </c>
      <c r="V117" s="648">
        <f>M117+P117</f>
        <v>7</v>
      </c>
      <c r="W117" s="648">
        <f>N117+P117</f>
        <v>4</v>
      </c>
      <c r="X117" s="648">
        <f>O117+P117</f>
        <v>7</v>
      </c>
      <c r="Y117" s="21" t="str">
        <f>_xlfn.XLOOKUP(AA117,Combos!AU:AU,Combos!AT:AT,"",0,1)</f>
        <v/>
      </c>
      <c r="Z117" s="8" t="s">
        <v>1358</v>
      </c>
      <c r="AA117" s="8" t="s">
        <v>1358</v>
      </c>
      <c r="AB117" s="8" t="s">
        <v>1359</v>
      </c>
      <c r="AC117" s="8" t="s">
        <v>1360</v>
      </c>
      <c r="AD117" s="8" t="s">
        <v>1360</v>
      </c>
    </row>
    <row r="118" spans="1:30">
      <c r="A118" s="21" t="s">
        <v>668</v>
      </c>
      <c r="B118" s="651"/>
      <c r="C118" s="21">
        <v>1</v>
      </c>
      <c r="D118" s="655" t="s">
        <v>748</v>
      </c>
      <c r="E118" s="21" t="str">
        <f>_xlfn.XLOOKUP(G118,Combos!AB:AB,Combos!AA:AA,"",0,1)</f>
        <v/>
      </c>
      <c r="F118" s="21" t="s">
        <v>748</v>
      </c>
      <c r="G118" s="652" t="s">
        <v>1361</v>
      </c>
      <c r="H118" s="8" t="s">
        <v>1361</v>
      </c>
      <c r="I118" s="8" t="s">
        <v>1362</v>
      </c>
      <c r="K118" s="666" t="s">
        <v>939</v>
      </c>
      <c r="L118" s="2">
        <f>P118+Q118</f>
        <v>6</v>
      </c>
      <c r="M118" s="662">
        <v>3</v>
      </c>
      <c r="N118" s="662">
        <v>1</v>
      </c>
      <c r="O118" s="662">
        <v>5</v>
      </c>
      <c r="P118" s="662">
        <v>3</v>
      </c>
      <c r="Q118" s="662">
        <v>3</v>
      </c>
      <c r="R118" s="648">
        <f>SUM(M118:Q118)</f>
        <v>15</v>
      </c>
      <c r="S118" s="648">
        <f>V118+Q118</f>
        <v>9</v>
      </c>
      <c r="T118" s="648">
        <f>W118+Q118</f>
        <v>7</v>
      </c>
      <c r="U118" s="648">
        <f>X118+Q118</f>
        <v>11</v>
      </c>
      <c r="V118" s="648">
        <f>M118+P118</f>
        <v>6</v>
      </c>
      <c r="W118" s="648">
        <f>N118+P118</f>
        <v>4</v>
      </c>
      <c r="X118" s="648">
        <f>O118+P118</f>
        <v>8</v>
      </c>
      <c r="Y118" s="21" t="str">
        <f>_xlfn.XLOOKUP(AA118,Combos!AU:AU,Combos!AT:AT,"",0,1)</f>
        <v/>
      </c>
      <c r="Z118" s="8" t="s">
        <v>1363</v>
      </c>
      <c r="AA118" s="8" t="s">
        <v>1363</v>
      </c>
      <c r="AB118" s="8" t="s">
        <v>1364</v>
      </c>
      <c r="AC118" s="8" t="s">
        <v>1365</v>
      </c>
      <c r="AD118" s="8" t="s">
        <v>1365</v>
      </c>
    </row>
    <row r="119" spans="1:30">
      <c r="A119" s="21" t="s">
        <v>668</v>
      </c>
      <c r="B119" s="651"/>
      <c r="C119" s="21" t="s">
        <v>746</v>
      </c>
      <c r="D119" s="21" t="s">
        <v>748</v>
      </c>
      <c r="E119" s="21" t="str">
        <f>_xlfn.XLOOKUP(G119,Combos!AB:AB,Combos!AA:AA,"",0,1)</f>
        <v/>
      </c>
      <c r="F119" s="21" t="s">
        <v>748</v>
      </c>
      <c r="G119" s="652" t="s">
        <v>1366</v>
      </c>
      <c r="H119" s="8" t="s">
        <v>1367</v>
      </c>
      <c r="I119" s="8" t="s">
        <v>816</v>
      </c>
      <c r="K119" s="660" t="s">
        <v>1039</v>
      </c>
      <c r="L119" s="2">
        <f t="shared" si="8"/>
        <v>8</v>
      </c>
      <c r="M119" s="662">
        <v>1</v>
      </c>
      <c r="N119" s="663">
        <v>3</v>
      </c>
      <c r="O119" s="663">
        <v>3</v>
      </c>
      <c r="P119" s="663">
        <v>4</v>
      </c>
      <c r="Q119" s="663">
        <v>4</v>
      </c>
      <c r="R119" s="648">
        <f t="shared" si="9"/>
        <v>15</v>
      </c>
      <c r="S119" s="648">
        <f t="shared" si="10"/>
        <v>9</v>
      </c>
      <c r="T119" s="648">
        <f t="shared" si="11"/>
        <v>11</v>
      </c>
      <c r="U119" s="648">
        <f t="shared" si="12"/>
        <v>11</v>
      </c>
      <c r="V119" s="648">
        <f t="shared" si="13"/>
        <v>5</v>
      </c>
      <c r="W119" s="648">
        <f t="shared" si="14"/>
        <v>7</v>
      </c>
      <c r="X119" s="648">
        <f t="shared" si="15"/>
        <v>7</v>
      </c>
      <c r="Y119" s="21" t="str">
        <f>_xlfn.XLOOKUP(AA119,Combos!AU:AU,Combos!AT:AT,"",0,1)</f>
        <v/>
      </c>
      <c r="Z119" s="8" t="s">
        <v>1368</v>
      </c>
      <c r="AA119" s="8" t="s">
        <v>1368</v>
      </c>
      <c r="AB119" s="8" t="s">
        <v>1369</v>
      </c>
      <c r="AC119" s="659" t="s">
        <v>1370</v>
      </c>
      <c r="AD119" s="659" t="s">
        <v>1371</v>
      </c>
    </row>
    <row r="120" spans="2:30">
      <c r="B120" s="651"/>
      <c r="E120" s="21" t="str">
        <f>_xlfn.XLOOKUP(G120,Combos!AB:AB,Combos!AA:AA,"",0,1)</f>
        <v/>
      </c>
      <c r="G120" s="650" t="s">
        <v>1372</v>
      </c>
      <c r="H120" s="8" t="s">
        <v>1373</v>
      </c>
      <c r="I120" s="8" t="s">
        <v>1374</v>
      </c>
      <c r="K120" s="669" t="s">
        <v>939</v>
      </c>
      <c r="L120" s="2">
        <f>P120+Q120</f>
        <v>6</v>
      </c>
      <c r="M120" s="662">
        <v>4</v>
      </c>
      <c r="N120" s="662">
        <v>1</v>
      </c>
      <c r="O120" s="662">
        <v>4</v>
      </c>
      <c r="P120" s="662">
        <v>4</v>
      </c>
      <c r="Q120" s="662">
        <v>2</v>
      </c>
      <c r="R120" s="648">
        <f>SUM(M120:Q120)</f>
        <v>15</v>
      </c>
      <c r="S120" s="648">
        <f>V120+Q120</f>
        <v>10</v>
      </c>
      <c r="T120" s="648">
        <f>W120+Q120</f>
        <v>7</v>
      </c>
      <c r="U120" s="648">
        <f>X120+Q120</f>
        <v>10</v>
      </c>
      <c r="V120" s="648">
        <f>M120+P120</f>
        <v>8</v>
      </c>
      <c r="W120" s="648">
        <f>N120+P120</f>
        <v>5</v>
      </c>
      <c r="X120" s="648">
        <f>O120+P120</f>
        <v>8</v>
      </c>
      <c r="Y120" s="21" t="str">
        <f>_xlfn.XLOOKUP(AA120,Combos!AU:AU,Combos!AT:AT,"",0,1)</f>
        <v/>
      </c>
      <c r="Z120" s="8" t="s">
        <v>1375</v>
      </c>
      <c r="AA120" s="8" t="s">
        <v>1375</v>
      </c>
      <c r="AB120" s="8" t="s">
        <v>1376</v>
      </c>
      <c r="AC120" s="8" t="s">
        <v>1377</v>
      </c>
      <c r="AD120" s="8" t="s">
        <v>1377</v>
      </c>
    </row>
    <row r="121" spans="1:30">
      <c r="A121" s="21" t="s">
        <v>668</v>
      </c>
      <c r="B121" s="651"/>
      <c r="C121" s="21" t="s">
        <v>746</v>
      </c>
      <c r="D121" s="21" t="s">
        <v>748</v>
      </c>
      <c r="E121" s="21" t="str">
        <f>_xlfn.XLOOKUP(G121,Combos!AB:AB,Combos!AA:AA,"",0,1)</f>
        <v/>
      </c>
      <c r="F121" s="21" t="s">
        <v>748</v>
      </c>
      <c r="G121" s="652" t="s">
        <v>1378</v>
      </c>
      <c r="H121" s="8" t="s">
        <v>1379</v>
      </c>
      <c r="I121" s="8" t="s">
        <v>1380</v>
      </c>
      <c r="K121" s="660" t="s">
        <v>1039</v>
      </c>
      <c r="L121" s="2">
        <f t="shared" si="8"/>
        <v>10</v>
      </c>
      <c r="M121" s="662">
        <v>1</v>
      </c>
      <c r="N121" s="662">
        <v>1</v>
      </c>
      <c r="O121" s="662">
        <v>3</v>
      </c>
      <c r="P121" s="662">
        <v>5</v>
      </c>
      <c r="Q121" s="662">
        <v>5</v>
      </c>
      <c r="R121" s="648">
        <f t="shared" si="9"/>
        <v>15</v>
      </c>
      <c r="S121" s="648">
        <f t="shared" si="10"/>
        <v>11</v>
      </c>
      <c r="T121" s="648">
        <f t="shared" si="11"/>
        <v>11</v>
      </c>
      <c r="U121" s="648">
        <f t="shared" si="12"/>
        <v>13</v>
      </c>
      <c r="V121" s="648">
        <f t="shared" si="13"/>
        <v>6</v>
      </c>
      <c r="W121" s="648">
        <f t="shared" si="14"/>
        <v>6</v>
      </c>
      <c r="X121" s="648">
        <f t="shared" si="15"/>
        <v>8</v>
      </c>
      <c r="Y121" s="21" t="str">
        <f>_xlfn.XLOOKUP(AA121,Combos!AU:AU,Combos!AT:AT,"",0,1)</f>
        <v/>
      </c>
      <c r="Z121" s="8" t="s">
        <v>1381</v>
      </c>
      <c r="AA121" s="8" t="s">
        <v>1381</v>
      </c>
      <c r="AB121" s="8" t="s">
        <v>1382</v>
      </c>
      <c r="AC121" s="8" t="s">
        <v>1383</v>
      </c>
      <c r="AD121" s="8" t="s">
        <v>1384</v>
      </c>
    </row>
    <row r="122" spans="1:30">
      <c r="A122" s="21" t="s">
        <v>668</v>
      </c>
      <c r="B122" s="651"/>
      <c r="D122" s="21" t="s">
        <v>748</v>
      </c>
      <c r="E122" s="21" t="str">
        <f>_xlfn.XLOOKUP(G122,Combos!AB:AB,Combos!AA:AA,"",0,1)</f>
        <v/>
      </c>
      <c r="F122" s="21" t="s">
        <v>748</v>
      </c>
      <c r="G122" s="652" t="s">
        <v>1385</v>
      </c>
      <c r="H122" s="8" t="s">
        <v>1386</v>
      </c>
      <c r="I122" s="8" t="s">
        <v>1387</v>
      </c>
      <c r="K122" s="660" t="s">
        <v>646</v>
      </c>
      <c r="L122" s="2">
        <f t="shared" si="8"/>
        <v>8</v>
      </c>
      <c r="M122" s="662">
        <v>3</v>
      </c>
      <c r="N122" s="663">
        <v>1</v>
      </c>
      <c r="O122" s="663">
        <v>3</v>
      </c>
      <c r="P122" s="662">
        <v>4</v>
      </c>
      <c r="Q122" s="662">
        <v>4</v>
      </c>
      <c r="R122" s="648">
        <f t="shared" si="9"/>
        <v>15</v>
      </c>
      <c r="S122" s="648">
        <f t="shared" si="10"/>
        <v>11</v>
      </c>
      <c r="T122" s="648">
        <f t="shared" si="11"/>
        <v>9</v>
      </c>
      <c r="U122" s="648">
        <f t="shared" si="12"/>
        <v>11</v>
      </c>
      <c r="V122" s="648">
        <f t="shared" si="13"/>
        <v>7</v>
      </c>
      <c r="W122" s="648">
        <f t="shared" si="14"/>
        <v>5</v>
      </c>
      <c r="X122" s="648">
        <f t="shared" si="15"/>
        <v>7</v>
      </c>
      <c r="Y122" s="21" t="str">
        <f>_xlfn.XLOOKUP(AA122,Combos!AU:AU,Combos!AT:AT,"",0,1)</f>
        <v/>
      </c>
      <c r="Z122" s="8" t="s">
        <v>1388</v>
      </c>
      <c r="AA122" s="8" t="s">
        <v>1388</v>
      </c>
      <c r="AB122" s="8" t="s">
        <v>1389</v>
      </c>
      <c r="AC122" s="8" t="s">
        <v>1390</v>
      </c>
      <c r="AD122" s="8" t="s">
        <v>1391</v>
      </c>
    </row>
    <row r="123" spans="2:30">
      <c r="B123" s="649">
        <v>1</v>
      </c>
      <c r="G123" s="658" t="s">
        <v>1392</v>
      </c>
      <c r="H123" s="10" t="s">
        <v>1393</v>
      </c>
      <c r="I123" s="670" t="s">
        <v>1059</v>
      </c>
      <c r="K123" s="2" t="s">
        <v>914</v>
      </c>
      <c r="L123" s="661">
        <f t="shared" si="8"/>
        <v>0</v>
      </c>
      <c r="M123" s="648">
        <v>0</v>
      </c>
      <c r="N123" s="648">
        <v>0</v>
      </c>
      <c r="O123" s="648">
        <v>0</v>
      </c>
      <c r="P123" s="648">
        <v>0</v>
      </c>
      <c r="Q123" s="648">
        <v>0</v>
      </c>
      <c r="R123" s="648">
        <f t="shared" si="9"/>
        <v>0</v>
      </c>
      <c r="S123" s="648">
        <f t="shared" si="10"/>
        <v>0</v>
      </c>
      <c r="T123" s="648">
        <f t="shared" si="11"/>
        <v>0</v>
      </c>
      <c r="U123" s="648">
        <f t="shared" si="12"/>
        <v>0</v>
      </c>
      <c r="V123" s="648">
        <f t="shared" si="13"/>
        <v>0</v>
      </c>
      <c r="W123" s="648">
        <f t="shared" si="14"/>
        <v>0</v>
      </c>
      <c r="X123" s="648">
        <f t="shared" si="15"/>
        <v>0</v>
      </c>
      <c r="Z123" s="670" t="s">
        <v>1059</v>
      </c>
      <c r="AA123" s="670" t="s">
        <v>1059</v>
      </c>
      <c r="AB123" s="670" t="s">
        <v>1394</v>
      </c>
      <c r="AC123" s="8" t="s">
        <v>1395</v>
      </c>
      <c r="AD123" s="8" t="s">
        <v>1395</v>
      </c>
    </row>
    <row r="124" spans="1:30">
      <c r="A124" s="21" t="s">
        <v>668</v>
      </c>
      <c r="B124" s="651"/>
      <c r="C124" s="21" t="s">
        <v>746</v>
      </c>
      <c r="D124" s="21" t="s">
        <v>748</v>
      </c>
      <c r="E124" s="21" t="str">
        <f>_xlfn.XLOOKUP(G124,Combos!AB:AB,Combos!AA:AA,"",0,1)</f>
        <v/>
      </c>
      <c r="F124" s="21" t="s">
        <v>748</v>
      </c>
      <c r="G124" s="652" t="s">
        <v>1396</v>
      </c>
      <c r="H124" s="8" t="s">
        <v>1397</v>
      </c>
      <c r="I124" s="8" t="s">
        <v>1087</v>
      </c>
      <c r="K124" s="660" t="s">
        <v>646</v>
      </c>
      <c r="L124" s="2">
        <f t="shared" si="8"/>
        <v>8</v>
      </c>
      <c r="M124" s="662">
        <v>1</v>
      </c>
      <c r="N124" s="663">
        <v>3</v>
      </c>
      <c r="O124" s="663">
        <v>3</v>
      </c>
      <c r="P124" s="663">
        <v>4</v>
      </c>
      <c r="Q124" s="663">
        <v>4</v>
      </c>
      <c r="R124" s="648">
        <f t="shared" si="9"/>
        <v>15</v>
      </c>
      <c r="S124" s="648">
        <f t="shared" si="10"/>
        <v>9</v>
      </c>
      <c r="T124" s="648">
        <f t="shared" si="11"/>
        <v>11</v>
      </c>
      <c r="U124" s="648">
        <f t="shared" si="12"/>
        <v>11</v>
      </c>
      <c r="V124" s="648">
        <f t="shared" si="13"/>
        <v>5</v>
      </c>
      <c r="W124" s="648">
        <f t="shared" si="14"/>
        <v>7</v>
      </c>
      <c r="X124" s="648">
        <f t="shared" si="15"/>
        <v>7</v>
      </c>
      <c r="Y124" s="21" t="str">
        <f>_xlfn.XLOOKUP(AA124,Combos!AU:AU,Combos!AT:AT,"",0,1)</f>
        <v/>
      </c>
      <c r="Z124" s="8" t="s">
        <v>1398</v>
      </c>
      <c r="AA124" s="8" t="s">
        <v>1398</v>
      </c>
      <c r="AB124" s="8" t="s">
        <v>1399</v>
      </c>
      <c r="AC124" s="8" t="s">
        <v>1168</v>
      </c>
      <c r="AD124" s="8" t="s">
        <v>1168</v>
      </c>
    </row>
    <row r="125" spans="1:30">
      <c r="A125" s="21" t="s">
        <v>748</v>
      </c>
      <c r="B125" s="651"/>
      <c r="D125" s="21" t="s">
        <v>748</v>
      </c>
      <c r="E125" s="21" t="str">
        <f>_xlfn.XLOOKUP(G125,Combos!AB:AB,Combos!AA:AA,"",0,1)</f>
        <v/>
      </c>
      <c r="F125" s="21" t="s">
        <v>748</v>
      </c>
      <c r="G125" s="652" t="s">
        <v>1400</v>
      </c>
      <c r="H125" s="8" t="s">
        <v>1401</v>
      </c>
      <c r="I125" s="8" t="s">
        <v>1198</v>
      </c>
      <c r="K125" s="660" t="s">
        <v>654</v>
      </c>
      <c r="L125" s="2">
        <f t="shared" si="8"/>
        <v>8</v>
      </c>
      <c r="M125" s="663">
        <v>1</v>
      </c>
      <c r="N125" s="663">
        <v>3</v>
      </c>
      <c r="O125" s="663">
        <v>3</v>
      </c>
      <c r="P125" s="663">
        <v>4</v>
      </c>
      <c r="Q125" s="663">
        <v>4</v>
      </c>
      <c r="R125" s="648">
        <f t="shared" si="9"/>
        <v>15</v>
      </c>
      <c r="S125" s="648">
        <f t="shared" si="10"/>
        <v>9</v>
      </c>
      <c r="T125" s="648">
        <f t="shared" si="11"/>
        <v>11</v>
      </c>
      <c r="U125" s="648">
        <f t="shared" si="12"/>
        <v>11</v>
      </c>
      <c r="V125" s="648">
        <f t="shared" si="13"/>
        <v>5</v>
      </c>
      <c r="W125" s="648">
        <f t="shared" si="14"/>
        <v>7</v>
      </c>
      <c r="X125" s="648">
        <f t="shared" si="15"/>
        <v>7</v>
      </c>
      <c r="Y125" s="21" t="str">
        <f>_xlfn.XLOOKUP(AA125,Combos!AU:AU,Combos!AT:AT,"",0,1)</f>
        <v/>
      </c>
      <c r="Z125" s="8" t="s">
        <v>1402</v>
      </c>
      <c r="AA125" s="8" t="s">
        <v>1402</v>
      </c>
      <c r="AB125" s="8" t="s">
        <v>1403</v>
      </c>
      <c r="AC125" s="659" t="s">
        <v>1179</v>
      </c>
      <c r="AD125" s="659" t="s">
        <v>1179</v>
      </c>
    </row>
    <row r="126" spans="1:30">
      <c r="A126" s="21" t="s">
        <v>668</v>
      </c>
      <c r="B126" s="651"/>
      <c r="C126" s="21" t="s">
        <v>746</v>
      </c>
      <c r="D126" s="21" t="s">
        <v>748</v>
      </c>
      <c r="E126" s="21" t="str">
        <f>_xlfn.XLOOKUP(G126,Combos!AB:AB,Combos!AA:AA,"",0,1)</f>
        <v/>
      </c>
      <c r="F126" s="21" t="s">
        <v>748</v>
      </c>
      <c r="G126" s="652" t="s">
        <v>1404</v>
      </c>
      <c r="H126" s="8" t="s">
        <v>1405</v>
      </c>
      <c r="I126" s="8" t="s">
        <v>1193</v>
      </c>
      <c r="K126" s="660" t="s">
        <v>1039</v>
      </c>
      <c r="L126" s="2">
        <f t="shared" si="8"/>
        <v>10</v>
      </c>
      <c r="M126" s="662">
        <v>1</v>
      </c>
      <c r="N126" s="662">
        <v>1</v>
      </c>
      <c r="O126" s="662">
        <v>3</v>
      </c>
      <c r="P126" s="662">
        <v>5</v>
      </c>
      <c r="Q126" s="662">
        <v>5</v>
      </c>
      <c r="R126" s="648">
        <f t="shared" si="9"/>
        <v>15</v>
      </c>
      <c r="S126" s="648">
        <f t="shared" si="10"/>
        <v>11</v>
      </c>
      <c r="T126" s="648">
        <f t="shared" si="11"/>
        <v>11</v>
      </c>
      <c r="U126" s="648">
        <f t="shared" si="12"/>
        <v>13</v>
      </c>
      <c r="V126" s="648">
        <f t="shared" si="13"/>
        <v>6</v>
      </c>
      <c r="W126" s="648">
        <f t="shared" si="14"/>
        <v>6</v>
      </c>
      <c r="X126" s="648">
        <f t="shared" si="15"/>
        <v>8</v>
      </c>
      <c r="Y126" s="21" t="str">
        <f>_xlfn.XLOOKUP(AA126,Combos!AU:AU,Combos!AT:AT,"",0,1)</f>
        <v/>
      </c>
      <c r="Z126" s="8" t="s">
        <v>1406</v>
      </c>
      <c r="AA126" s="8" t="s">
        <v>1406</v>
      </c>
      <c r="AB126" s="8" t="s">
        <v>1407</v>
      </c>
      <c r="AC126" s="8" t="s">
        <v>1408</v>
      </c>
      <c r="AD126" s="8" t="s">
        <v>1408</v>
      </c>
    </row>
    <row r="127" spans="1:30">
      <c r="A127" s="21" t="s">
        <v>668</v>
      </c>
      <c r="B127" s="651"/>
      <c r="C127" s="21">
        <v>2</v>
      </c>
      <c r="D127" s="653"/>
      <c r="E127" s="21" t="str">
        <f>_xlfn.XLOOKUP(G127,Combos!AB:AB,Combos!AA:AA,"",0,1)</f>
        <v/>
      </c>
      <c r="G127" s="650" t="s">
        <v>1409</v>
      </c>
      <c r="H127" s="656" t="s">
        <v>1410</v>
      </c>
      <c r="I127" s="676" t="s">
        <v>1411</v>
      </c>
      <c r="K127" s="667" t="s">
        <v>939</v>
      </c>
      <c r="L127" s="2">
        <f>P127+Q127</f>
        <v>7</v>
      </c>
      <c r="M127" s="663">
        <v>4</v>
      </c>
      <c r="N127" s="663">
        <v>3</v>
      </c>
      <c r="O127" s="663">
        <v>2</v>
      </c>
      <c r="P127" s="663">
        <v>4</v>
      </c>
      <c r="Q127" s="663">
        <v>3</v>
      </c>
      <c r="R127" s="654">
        <f>SUM(M127:Q127)</f>
        <v>16</v>
      </c>
      <c r="S127" s="648">
        <f>V127+Q127</f>
        <v>11</v>
      </c>
      <c r="T127" s="648">
        <f>W127+Q127</f>
        <v>10</v>
      </c>
      <c r="U127" s="648">
        <f>X127+Q127</f>
        <v>9</v>
      </c>
      <c r="V127" s="648">
        <f>M127+P127</f>
        <v>8</v>
      </c>
      <c r="W127" s="648">
        <f>N127+P127</f>
        <v>7</v>
      </c>
      <c r="X127" s="648">
        <f>O127+P127</f>
        <v>6</v>
      </c>
      <c r="Y127" s="21" t="str">
        <f>_xlfn.XLOOKUP(AA127,Combos!AU:AU,Combos!AT:AT,"",0,1)</f>
        <v/>
      </c>
      <c r="Z127" s="676" t="s">
        <v>1412</v>
      </c>
      <c r="AA127" s="676" t="s">
        <v>1412</v>
      </c>
      <c r="AB127" s="676" t="s">
        <v>1413</v>
      </c>
      <c r="AC127" s="8" t="s">
        <v>1414</v>
      </c>
      <c r="AD127" s="8" t="s">
        <v>1414</v>
      </c>
    </row>
    <row r="128" spans="1:30">
      <c r="A128" s="21" t="s">
        <v>668</v>
      </c>
      <c r="B128" s="651"/>
      <c r="C128" s="21" t="s">
        <v>746</v>
      </c>
      <c r="D128" s="21" t="s">
        <v>748</v>
      </c>
      <c r="E128" s="21" t="str">
        <f>_xlfn.XLOOKUP(G128,Combos!AB:AB,Combos!AA:AA,"",0,1)</f>
        <v/>
      </c>
      <c r="F128" s="21" t="s">
        <v>748</v>
      </c>
      <c r="G128" s="652" t="s">
        <v>1415</v>
      </c>
      <c r="H128" s="8" t="s">
        <v>1416</v>
      </c>
      <c r="I128" s="8" t="s">
        <v>1242</v>
      </c>
      <c r="K128" s="660" t="s">
        <v>1039</v>
      </c>
      <c r="L128" s="2">
        <f t="shared" si="8"/>
        <v>10</v>
      </c>
      <c r="M128" s="662">
        <v>1</v>
      </c>
      <c r="N128" s="662">
        <v>1</v>
      </c>
      <c r="O128" s="662">
        <v>3</v>
      </c>
      <c r="P128" s="662">
        <v>5</v>
      </c>
      <c r="Q128" s="662">
        <v>5</v>
      </c>
      <c r="R128" s="648">
        <f t="shared" si="9"/>
        <v>15</v>
      </c>
      <c r="S128" s="648">
        <f t="shared" si="10"/>
        <v>11</v>
      </c>
      <c r="T128" s="648">
        <f t="shared" si="11"/>
        <v>11</v>
      </c>
      <c r="U128" s="648">
        <f t="shared" si="12"/>
        <v>13</v>
      </c>
      <c r="V128" s="648">
        <f t="shared" si="13"/>
        <v>6</v>
      </c>
      <c r="W128" s="648">
        <f t="shared" si="14"/>
        <v>6</v>
      </c>
      <c r="X128" s="648">
        <f t="shared" si="15"/>
        <v>8</v>
      </c>
      <c r="Y128" s="21" t="str">
        <f>_xlfn.XLOOKUP(AA128,Combos!AU:AU,Combos!AT:AT,"",0,1)</f>
        <v/>
      </c>
      <c r="Z128" s="8" t="s">
        <v>1417</v>
      </c>
      <c r="AA128" s="8" t="s">
        <v>1417</v>
      </c>
      <c r="AB128" s="8" t="s">
        <v>1418</v>
      </c>
      <c r="AC128" s="8" t="s">
        <v>1245</v>
      </c>
      <c r="AD128" s="8" t="s">
        <v>1245</v>
      </c>
    </row>
    <row r="129" spans="1:30">
      <c r="A129" s="21" t="s">
        <v>668</v>
      </c>
      <c r="B129" s="651"/>
      <c r="C129" s="21" t="s">
        <v>746</v>
      </c>
      <c r="D129" s="21" t="s">
        <v>748</v>
      </c>
      <c r="E129" s="21" t="str">
        <f>_xlfn.XLOOKUP(G129,Combos!AB:AB,Combos!AA:AA,"",0,1)</f>
        <v/>
      </c>
      <c r="F129" s="21" t="s">
        <v>748</v>
      </c>
      <c r="G129" s="652" t="s">
        <v>1419</v>
      </c>
      <c r="H129" s="8" t="s">
        <v>1420</v>
      </c>
      <c r="I129" s="8" t="s">
        <v>722</v>
      </c>
      <c r="K129" s="660" t="s">
        <v>646</v>
      </c>
      <c r="L129" s="2">
        <f t="shared" si="8"/>
        <v>8</v>
      </c>
      <c r="M129" s="663">
        <v>1</v>
      </c>
      <c r="N129" s="663">
        <v>3</v>
      </c>
      <c r="O129" s="663">
        <v>3</v>
      </c>
      <c r="P129" s="663">
        <v>4</v>
      </c>
      <c r="Q129" s="663">
        <v>4</v>
      </c>
      <c r="R129" s="648">
        <f t="shared" si="9"/>
        <v>15</v>
      </c>
      <c r="S129" s="648">
        <f t="shared" si="10"/>
        <v>9</v>
      </c>
      <c r="T129" s="648">
        <f t="shared" si="11"/>
        <v>11</v>
      </c>
      <c r="U129" s="648">
        <f t="shared" si="12"/>
        <v>11</v>
      </c>
      <c r="V129" s="648">
        <f t="shared" si="13"/>
        <v>5</v>
      </c>
      <c r="W129" s="648">
        <f t="shared" si="14"/>
        <v>7</v>
      </c>
      <c r="X129" s="648">
        <f t="shared" si="15"/>
        <v>7</v>
      </c>
      <c r="Y129" s="21" t="str">
        <f>_xlfn.XLOOKUP(AA129,Combos!AU:AU,Combos!AT:AT,"",0,1)</f>
        <v/>
      </c>
      <c r="Z129" s="8" t="s">
        <v>1421</v>
      </c>
      <c r="AA129" s="8" t="s">
        <v>1421</v>
      </c>
      <c r="AB129" s="8" t="s">
        <v>1422</v>
      </c>
      <c r="AC129" s="8" t="s">
        <v>1423</v>
      </c>
      <c r="AD129" s="8" t="s">
        <v>1423</v>
      </c>
    </row>
    <row r="130" ht="27" spans="1:30">
      <c r="A130" s="21" t="s">
        <v>748</v>
      </c>
      <c r="B130" s="651"/>
      <c r="D130" s="21" t="s">
        <v>748</v>
      </c>
      <c r="E130" s="21" t="str">
        <f>_xlfn.XLOOKUP(G130,Combos!AB:AB,Combos!AA:AA,"",0,1)</f>
        <v/>
      </c>
      <c r="F130" s="21" t="s">
        <v>748</v>
      </c>
      <c r="G130" s="652" t="s">
        <v>1424</v>
      </c>
      <c r="H130" s="8" t="s">
        <v>1425</v>
      </c>
      <c r="I130" s="8" t="s">
        <v>1360</v>
      </c>
      <c r="K130" s="660" t="s">
        <v>654</v>
      </c>
      <c r="L130" s="2">
        <f t="shared" ref="L130:L193" si="16">P130+Q130</f>
        <v>8</v>
      </c>
      <c r="M130" s="663">
        <v>1</v>
      </c>
      <c r="N130" s="663">
        <v>3</v>
      </c>
      <c r="O130" s="663">
        <v>3</v>
      </c>
      <c r="P130" s="662">
        <v>4</v>
      </c>
      <c r="Q130" s="662">
        <v>4</v>
      </c>
      <c r="R130" s="648">
        <f t="shared" ref="R130:R193" si="17">SUM(M130:Q130)</f>
        <v>15</v>
      </c>
      <c r="S130" s="648">
        <f t="shared" ref="S130:S193" si="18">V130+Q130</f>
        <v>9</v>
      </c>
      <c r="T130" s="648">
        <f t="shared" ref="T130:T193" si="19">W130+Q130</f>
        <v>11</v>
      </c>
      <c r="U130" s="648">
        <f t="shared" ref="U130:U193" si="20">X130+Q130</f>
        <v>11</v>
      </c>
      <c r="V130" s="648">
        <f t="shared" ref="V130:V193" si="21">M130+P130</f>
        <v>5</v>
      </c>
      <c r="W130" s="648">
        <f t="shared" ref="W130:W193" si="22">N130+P130</f>
        <v>7</v>
      </c>
      <c r="X130" s="648">
        <f t="shared" ref="X130:X193" si="23">O130+P130</f>
        <v>7</v>
      </c>
      <c r="Y130" s="21" t="str">
        <f>_xlfn.XLOOKUP(AA130,Combos!AU:AU,Combos!AT:AT,"",0,1)</f>
        <v/>
      </c>
      <c r="Z130" s="8" t="s">
        <v>1426</v>
      </c>
      <c r="AA130" s="8" t="s">
        <v>1426</v>
      </c>
      <c r="AB130" s="8" t="s">
        <v>1427</v>
      </c>
      <c r="AC130" s="8" t="s">
        <v>1428</v>
      </c>
      <c r="AD130" s="8" t="s">
        <v>1429</v>
      </c>
    </row>
    <row r="131" spans="1:30">
      <c r="A131" s="21" t="s">
        <v>748</v>
      </c>
      <c r="B131" s="651"/>
      <c r="D131" s="21" t="s">
        <v>748</v>
      </c>
      <c r="E131" s="21" t="str">
        <f>_xlfn.XLOOKUP(G131,Combos!AB:AB,Combos!AA:AA,"",0,1)</f>
        <v/>
      </c>
      <c r="F131" s="21" t="s">
        <v>748</v>
      </c>
      <c r="G131" s="652" t="s">
        <v>1430</v>
      </c>
      <c r="H131" s="8" t="s">
        <v>1431</v>
      </c>
      <c r="I131" s="8" t="s">
        <v>1064</v>
      </c>
      <c r="K131" s="660" t="s">
        <v>914</v>
      </c>
      <c r="L131" s="2">
        <f t="shared" si="16"/>
        <v>10</v>
      </c>
      <c r="M131" s="662">
        <v>1</v>
      </c>
      <c r="N131" s="662">
        <v>1</v>
      </c>
      <c r="O131" s="662">
        <v>1</v>
      </c>
      <c r="P131" s="662">
        <v>5</v>
      </c>
      <c r="Q131" s="662">
        <v>5</v>
      </c>
      <c r="R131" s="648">
        <f t="shared" si="17"/>
        <v>13</v>
      </c>
      <c r="S131" s="648">
        <f t="shared" si="18"/>
        <v>11</v>
      </c>
      <c r="T131" s="648">
        <f t="shared" si="19"/>
        <v>11</v>
      </c>
      <c r="U131" s="648">
        <f t="shared" si="20"/>
        <v>11</v>
      </c>
      <c r="V131" s="648">
        <f t="shared" si="21"/>
        <v>6</v>
      </c>
      <c r="W131" s="648">
        <f t="shared" si="22"/>
        <v>6</v>
      </c>
      <c r="X131" s="648">
        <f t="shared" si="23"/>
        <v>6</v>
      </c>
      <c r="Y131" s="21" t="str">
        <f>_xlfn.XLOOKUP(AA131,Combos!AU:AU,Combos!AT:AT,"",0,1)</f>
        <v/>
      </c>
      <c r="Z131" s="8" t="s">
        <v>1064</v>
      </c>
      <c r="AA131" s="8" t="s">
        <v>1432</v>
      </c>
      <c r="AB131" s="8" t="s">
        <v>1433</v>
      </c>
      <c r="AC131" s="8" t="s">
        <v>1434</v>
      </c>
      <c r="AD131" s="8" t="s">
        <v>1434</v>
      </c>
    </row>
    <row r="132" spans="1:30">
      <c r="A132" s="21" t="s">
        <v>668</v>
      </c>
      <c r="B132" s="651"/>
      <c r="C132" s="21" t="s">
        <v>746</v>
      </c>
      <c r="D132" s="21" t="s">
        <v>748</v>
      </c>
      <c r="E132" s="21" t="str">
        <f>_xlfn.XLOOKUP(G132,Combos!AB:AB,Combos!AA:AA,"",0,1)</f>
        <v/>
      </c>
      <c r="F132" s="21" t="s">
        <v>748</v>
      </c>
      <c r="G132" s="652" t="s">
        <v>1435</v>
      </c>
      <c r="H132" s="8" t="s">
        <v>1436</v>
      </c>
      <c r="I132" s="8" t="s">
        <v>1092</v>
      </c>
      <c r="K132" s="667" t="s">
        <v>654</v>
      </c>
      <c r="L132" s="2">
        <f t="shared" si="16"/>
        <v>8</v>
      </c>
      <c r="M132" s="663">
        <v>1</v>
      </c>
      <c r="N132" s="663">
        <v>3</v>
      </c>
      <c r="O132" s="663">
        <v>3</v>
      </c>
      <c r="P132" s="663">
        <v>5</v>
      </c>
      <c r="Q132" s="663">
        <v>3</v>
      </c>
      <c r="R132" s="648">
        <f t="shared" si="17"/>
        <v>15</v>
      </c>
      <c r="S132" s="648">
        <f t="shared" si="18"/>
        <v>9</v>
      </c>
      <c r="T132" s="648">
        <f t="shared" si="19"/>
        <v>11</v>
      </c>
      <c r="U132" s="648">
        <f t="shared" si="20"/>
        <v>11</v>
      </c>
      <c r="V132" s="648">
        <f t="shared" si="21"/>
        <v>6</v>
      </c>
      <c r="W132" s="648">
        <f t="shared" si="22"/>
        <v>8</v>
      </c>
      <c r="X132" s="648">
        <f t="shared" si="23"/>
        <v>8</v>
      </c>
      <c r="Y132" s="21" t="str">
        <f>_xlfn.XLOOKUP(AA132,Combos!AU:AU,Combos!AT:AT,"",0,1)</f>
        <v/>
      </c>
      <c r="Z132" s="8" t="s">
        <v>1437</v>
      </c>
      <c r="AA132" s="8" t="s">
        <v>1438</v>
      </c>
      <c r="AB132" s="8" t="s">
        <v>1439</v>
      </c>
      <c r="AC132" s="8" t="s">
        <v>1440</v>
      </c>
      <c r="AD132" s="8" t="s">
        <v>1441</v>
      </c>
    </row>
    <row r="133" spans="1:30">
      <c r="A133" s="21" t="s">
        <v>668</v>
      </c>
      <c r="B133" s="651"/>
      <c r="C133" s="21" t="s">
        <v>746</v>
      </c>
      <c r="D133" s="21" t="s">
        <v>748</v>
      </c>
      <c r="E133" s="21" t="str">
        <f>_xlfn.XLOOKUP(G133,Combos!AB:AB,Combos!AA:AA,"",0,1)</f>
        <v/>
      </c>
      <c r="F133" s="21" t="s">
        <v>748</v>
      </c>
      <c r="G133" s="8" t="s">
        <v>1442</v>
      </c>
      <c r="H133" s="8" t="s">
        <v>1443</v>
      </c>
      <c r="I133" s="8" t="s">
        <v>1444</v>
      </c>
      <c r="K133" s="667" t="s">
        <v>654</v>
      </c>
      <c r="L133" s="2">
        <f t="shared" si="16"/>
        <v>7</v>
      </c>
      <c r="M133" s="663">
        <v>2</v>
      </c>
      <c r="N133" s="663">
        <v>3</v>
      </c>
      <c r="O133" s="663">
        <v>3</v>
      </c>
      <c r="P133" s="663">
        <v>4</v>
      </c>
      <c r="Q133" s="663">
        <v>3</v>
      </c>
      <c r="R133" s="648">
        <f t="shared" si="17"/>
        <v>15</v>
      </c>
      <c r="S133" s="648">
        <f t="shared" si="18"/>
        <v>9</v>
      </c>
      <c r="T133" s="648">
        <f t="shared" si="19"/>
        <v>10</v>
      </c>
      <c r="U133" s="648">
        <f t="shared" si="20"/>
        <v>10</v>
      </c>
      <c r="V133" s="648">
        <f t="shared" si="21"/>
        <v>6</v>
      </c>
      <c r="W133" s="648">
        <f t="shared" si="22"/>
        <v>7</v>
      </c>
      <c r="X133" s="648">
        <f t="shared" si="23"/>
        <v>7</v>
      </c>
      <c r="Y133" s="21" t="str">
        <f>_xlfn.XLOOKUP(AA133,Combos!AU:AU,Combos!AT:AT,"",0,1)</f>
        <v/>
      </c>
      <c r="Z133" s="8" t="s">
        <v>1445</v>
      </c>
      <c r="AA133" s="8" t="s">
        <v>1445</v>
      </c>
      <c r="AB133" s="8" t="s">
        <v>1446</v>
      </c>
      <c r="AC133" s="8" t="s">
        <v>1447</v>
      </c>
      <c r="AD133" s="8" t="s">
        <v>1447</v>
      </c>
    </row>
    <row r="134" spans="1:30">
      <c r="A134" s="21" t="s">
        <v>748</v>
      </c>
      <c r="B134" s="651"/>
      <c r="D134" s="21" t="s">
        <v>748</v>
      </c>
      <c r="E134" s="21" t="str">
        <f>_xlfn.XLOOKUP(G134,Combos!AB:AB,Combos!AA:AA,"",0,1)</f>
        <v/>
      </c>
      <c r="F134" s="21" t="s">
        <v>748</v>
      </c>
      <c r="G134" s="652" t="s">
        <v>1448</v>
      </c>
      <c r="H134" s="8" t="s">
        <v>1449</v>
      </c>
      <c r="I134" s="8" t="s">
        <v>1259</v>
      </c>
      <c r="K134" s="667" t="s">
        <v>1039</v>
      </c>
      <c r="L134" s="2">
        <f t="shared" si="16"/>
        <v>7</v>
      </c>
      <c r="M134" s="663">
        <v>3</v>
      </c>
      <c r="N134" s="663">
        <v>2</v>
      </c>
      <c r="O134" s="663">
        <v>3</v>
      </c>
      <c r="P134" s="663">
        <v>5</v>
      </c>
      <c r="Q134" s="663">
        <v>2</v>
      </c>
      <c r="R134" s="648">
        <f t="shared" si="17"/>
        <v>15</v>
      </c>
      <c r="S134" s="648">
        <f t="shared" si="18"/>
        <v>10</v>
      </c>
      <c r="T134" s="648">
        <f t="shared" si="19"/>
        <v>9</v>
      </c>
      <c r="U134" s="648">
        <f t="shared" si="20"/>
        <v>10</v>
      </c>
      <c r="V134" s="648">
        <f t="shared" si="21"/>
        <v>8</v>
      </c>
      <c r="W134" s="648">
        <f t="shared" si="22"/>
        <v>7</v>
      </c>
      <c r="X134" s="648">
        <f t="shared" si="23"/>
        <v>8</v>
      </c>
      <c r="Y134" s="21" t="str">
        <f>_xlfn.XLOOKUP(AA134,Combos!AU:AU,Combos!AT:AT,"",0,1)</f>
        <v/>
      </c>
      <c r="Z134" s="8" t="s">
        <v>1450</v>
      </c>
      <c r="AA134" s="8" t="s">
        <v>1450</v>
      </c>
      <c r="AB134" s="8" t="s">
        <v>1451</v>
      </c>
      <c r="AC134" s="8" t="s">
        <v>1452</v>
      </c>
      <c r="AD134" s="8" t="s">
        <v>1452</v>
      </c>
    </row>
    <row r="135" ht="27" spans="1:30">
      <c r="A135" s="21" t="s">
        <v>748</v>
      </c>
      <c r="B135" s="651"/>
      <c r="C135" s="657"/>
      <c r="D135" s="21" t="s">
        <v>748</v>
      </c>
      <c r="E135" s="21" t="str">
        <f>_xlfn.XLOOKUP(G135,Combos!AB:AB,Combos!AA:AA,"",0,1)</f>
        <v/>
      </c>
      <c r="F135" s="21" t="s">
        <v>748</v>
      </c>
      <c r="G135" s="652" t="s">
        <v>1453</v>
      </c>
      <c r="H135" s="8" t="s">
        <v>1454</v>
      </c>
      <c r="I135" s="8" t="s">
        <v>1455</v>
      </c>
      <c r="K135" s="675" t="s">
        <v>939</v>
      </c>
      <c r="L135" s="2">
        <f>P135+Q135</f>
        <v>7</v>
      </c>
      <c r="M135" s="662">
        <v>3</v>
      </c>
      <c r="N135" s="662">
        <v>1</v>
      </c>
      <c r="O135" s="662">
        <v>4</v>
      </c>
      <c r="P135" s="662">
        <v>3</v>
      </c>
      <c r="Q135" s="662">
        <v>4</v>
      </c>
      <c r="R135" s="648">
        <f>SUM(M135:Q135)</f>
        <v>15</v>
      </c>
      <c r="S135" s="648">
        <f>V135+Q135</f>
        <v>10</v>
      </c>
      <c r="T135" s="648">
        <f>W135+Q135</f>
        <v>8</v>
      </c>
      <c r="U135" s="648">
        <f>X135+Q135</f>
        <v>11</v>
      </c>
      <c r="V135" s="648">
        <f>M135+P135</f>
        <v>6</v>
      </c>
      <c r="W135" s="648">
        <f>N135+P135</f>
        <v>4</v>
      </c>
      <c r="X135" s="648">
        <f>O135+P135</f>
        <v>7</v>
      </c>
      <c r="Y135" s="21" t="str">
        <f>_xlfn.XLOOKUP(AA135,Combos!AU:AU,Combos!AT:AT,"",0,1)</f>
        <v/>
      </c>
      <c r="Z135" s="8" t="s">
        <v>1456</v>
      </c>
      <c r="AA135" s="8" t="s">
        <v>1456</v>
      </c>
      <c r="AB135" s="8" t="s">
        <v>1457</v>
      </c>
      <c r="AC135" s="8" t="s">
        <v>1458</v>
      </c>
      <c r="AD135" s="8" t="s">
        <v>1459</v>
      </c>
    </row>
    <row r="136" spans="1:30">
      <c r="A136" s="21" t="s">
        <v>748</v>
      </c>
      <c r="B136" s="651"/>
      <c r="D136" s="21" t="s">
        <v>748</v>
      </c>
      <c r="E136" s="21" t="str">
        <f>_xlfn.XLOOKUP(G136,Combos!AB:AB,Combos!AA:AA,"",0,1)</f>
        <v/>
      </c>
      <c r="F136" s="21" t="s">
        <v>748</v>
      </c>
      <c r="G136" s="652" t="s">
        <v>1460</v>
      </c>
      <c r="H136" s="8" t="s">
        <v>1461</v>
      </c>
      <c r="I136" s="8" t="s">
        <v>1462</v>
      </c>
      <c r="K136" s="667" t="s">
        <v>646</v>
      </c>
      <c r="L136" s="2">
        <f t="shared" si="16"/>
        <v>6</v>
      </c>
      <c r="M136" s="662">
        <v>3</v>
      </c>
      <c r="N136" s="663">
        <v>3</v>
      </c>
      <c r="O136" s="663">
        <v>3</v>
      </c>
      <c r="P136" s="663">
        <v>4</v>
      </c>
      <c r="Q136" s="663">
        <v>2</v>
      </c>
      <c r="R136" s="648">
        <f t="shared" si="17"/>
        <v>15</v>
      </c>
      <c r="S136" s="648">
        <f t="shared" si="18"/>
        <v>9</v>
      </c>
      <c r="T136" s="648">
        <f t="shared" si="19"/>
        <v>9</v>
      </c>
      <c r="U136" s="648">
        <f t="shared" si="20"/>
        <v>9</v>
      </c>
      <c r="V136" s="648">
        <f t="shared" si="21"/>
        <v>7</v>
      </c>
      <c r="W136" s="648">
        <f t="shared" si="22"/>
        <v>7</v>
      </c>
      <c r="X136" s="648">
        <f t="shared" si="23"/>
        <v>7</v>
      </c>
      <c r="Y136" s="21" t="str">
        <f>_xlfn.XLOOKUP(AA136,Combos!AU:AU,Combos!AT:AT,"",0,1)</f>
        <v/>
      </c>
      <c r="Z136" s="8" t="s">
        <v>1463</v>
      </c>
      <c r="AA136" s="8" t="s">
        <v>1463</v>
      </c>
      <c r="AB136" s="8" t="s">
        <v>1461</v>
      </c>
      <c r="AC136" s="8" t="s">
        <v>1326</v>
      </c>
      <c r="AD136" s="8" t="s">
        <v>1326</v>
      </c>
    </row>
    <row r="137" spans="1:30">
      <c r="A137" s="21" t="s">
        <v>668</v>
      </c>
      <c r="B137" s="651"/>
      <c r="C137" s="21" t="s">
        <v>746</v>
      </c>
      <c r="D137" s="21" t="s">
        <v>748</v>
      </c>
      <c r="E137" s="21" t="str">
        <f>_xlfn.XLOOKUP(G137,Combos!AB:AB,Combos!AA:AA,"",0,1)</f>
        <v/>
      </c>
      <c r="F137" s="21" t="s">
        <v>748</v>
      </c>
      <c r="G137" s="652" t="s">
        <v>1464</v>
      </c>
      <c r="H137" s="8" t="s">
        <v>1465</v>
      </c>
      <c r="I137" s="8" t="s">
        <v>1466</v>
      </c>
      <c r="K137" s="667" t="s">
        <v>1039</v>
      </c>
      <c r="L137" s="2">
        <f t="shared" si="16"/>
        <v>7</v>
      </c>
      <c r="M137" s="662">
        <v>3</v>
      </c>
      <c r="N137" s="662">
        <v>2</v>
      </c>
      <c r="O137" s="662">
        <v>3</v>
      </c>
      <c r="P137" s="662">
        <v>5</v>
      </c>
      <c r="Q137" s="662">
        <v>2</v>
      </c>
      <c r="R137" s="648">
        <f t="shared" si="17"/>
        <v>15</v>
      </c>
      <c r="S137" s="648">
        <f t="shared" si="18"/>
        <v>10</v>
      </c>
      <c r="T137" s="648">
        <f t="shared" si="19"/>
        <v>9</v>
      </c>
      <c r="U137" s="648">
        <f t="shared" si="20"/>
        <v>10</v>
      </c>
      <c r="V137" s="648">
        <f t="shared" si="21"/>
        <v>8</v>
      </c>
      <c r="W137" s="648">
        <f t="shared" si="22"/>
        <v>7</v>
      </c>
      <c r="X137" s="648">
        <f t="shared" si="23"/>
        <v>8</v>
      </c>
      <c r="Y137" s="21" t="str">
        <f>_xlfn.XLOOKUP(AA137,Combos!AU:AU,Combos!AT:AT,"",0,1)</f>
        <v/>
      </c>
      <c r="Z137" s="8" t="s">
        <v>1467</v>
      </c>
      <c r="AA137" s="8" t="s">
        <v>1467</v>
      </c>
      <c r="AB137" s="8" t="s">
        <v>1468</v>
      </c>
      <c r="AC137" s="8" t="s">
        <v>1357</v>
      </c>
      <c r="AD137" s="8" t="s">
        <v>1357</v>
      </c>
    </row>
    <row r="138" spans="1:30">
      <c r="A138" s="21" t="s">
        <v>748</v>
      </c>
      <c r="B138" s="651"/>
      <c r="D138" s="21" t="s">
        <v>748</v>
      </c>
      <c r="E138" s="21" t="str">
        <f>_xlfn.XLOOKUP(G138,Combos!AB:AB,Combos!AA:AA,"",0,1)</f>
        <v/>
      </c>
      <c r="F138" s="21" t="s">
        <v>748</v>
      </c>
      <c r="G138" s="8" t="s">
        <v>1469</v>
      </c>
      <c r="H138" s="8" t="s">
        <v>1470</v>
      </c>
      <c r="I138" s="8" t="s">
        <v>1006</v>
      </c>
      <c r="K138" s="667" t="s">
        <v>646</v>
      </c>
      <c r="L138" s="2">
        <f t="shared" si="16"/>
        <v>7</v>
      </c>
      <c r="M138" s="663">
        <v>2</v>
      </c>
      <c r="N138" s="663">
        <v>3</v>
      </c>
      <c r="O138" s="663">
        <v>3</v>
      </c>
      <c r="P138" s="663">
        <v>4</v>
      </c>
      <c r="Q138" s="663">
        <v>3</v>
      </c>
      <c r="R138" s="648">
        <f t="shared" si="17"/>
        <v>15</v>
      </c>
      <c r="S138" s="648">
        <f t="shared" si="18"/>
        <v>9</v>
      </c>
      <c r="T138" s="648">
        <f t="shared" si="19"/>
        <v>10</v>
      </c>
      <c r="U138" s="648">
        <f t="shared" si="20"/>
        <v>10</v>
      </c>
      <c r="V138" s="648">
        <f t="shared" si="21"/>
        <v>6</v>
      </c>
      <c r="W138" s="648">
        <f t="shared" si="22"/>
        <v>7</v>
      </c>
      <c r="X138" s="648">
        <f t="shared" si="23"/>
        <v>7</v>
      </c>
      <c r="Y138" s="21" t="str">
        <f>_xlfn.XLOOKUP(AA138,Combos!AU:AU,Combos!AT:AT,"",0,1)</f>
        <v/>
      </c>
      <c r="Z138" s="8" t="s">
        <v>1471</v>
      </c>
      <c r="AA138" s="8" t="s">
        <v>1471</v>
      </c>
      <c r="AB138" s="8" t="s">
        <v>1472</v>
      </c>
      <c r="AC138" s="8" t="s">
        <v>1362</v>
      </c>
      <c r="AD138" s="8" t="s">
        <v>1362</v>
      </c>
    </row>
    <row r="139" spans="2:30">
      <c r="B139" s="651"/>
      <c r="D139" s="21" t="s">
        <v>748</v>
      </c>
      <c r="E139" s="21" t="str">
        <f>_xlfn.XLOOKUP(G139,Combos!AB:AB,Combos!AA:AA,"",0,1)</f>
        <v/>
      </c>
      <c r="F139" s="21" t="s">
        <v>748</v>
      </c>
      <c r="G139" s="8" t="s">
        <v>1473</v>
      </c>
      <c r="H139" s="8" t="s">
        <v>1474</v>
      </c>
      <c r="I139" s="8" t="s">
        <v>1011</v>
      </c>
      <c r="K139" s="667" t="s">
        <v>654</v>
      </c>
      <c r="L139" s="2">
        <f t="shared" si="16"/>
        <v>7</v>
      </c>
      <c r="M139" s="663">
        <v>2</v>
      </c>
      <c r="N139" s="663">
        <v>3</v>
      </c>
      <c r="O139" s="663">
        <v>3</v>
      </c>
      <c r="P139" s="663">
        <v>5</v>
      </c>
      <c r="Q139" s="663">
        <v>2</v>
      </c>
      <c r="R139" s="648">
        <f t="shared" si="17"/>
        <v>15</v>
      </c>
      <c r="S139" s="648">
        <f t="shared" si="18"/>
        <v>9</v>
      </c>
      <c r="T139" s="648">
        <f t="shared" si="19"/>
        <v>10</v>
      </c>
      <c r="U139" s="648">
        <f t="shared" si="20"/>
        <v>10</v>
      </c>
      <c r="V139" s="648">
        <f t="shared" si="21"/>
        <v>7</v>
      </c>
      <c r="W139" s="648">
        <f t="shared" si="22"/>
        <v>8</v>
      </c>
      <c r="X139" s="648">
        <f t="shared" si="23"/>
        <v>8</v>
      </c>
      <c r="Y139" s="21" t="str">
        <f>_xlfn.XLOOKUP(AA139,Combos!AU:AU,Combos!AT:AT,"",0,1)</f>
        <v/>
      </c>
      <c r="Z139" s="8" t="s">
        <v>1475</v>
      </c>
      <c r="AA139" s="8" t="s">
        <v>1476</v>
      </c>
      <c r="AB139" s="8" t="s">
        <v>1477</v>
      </c>
      <c r="AC139" s="8" t="s">
        <v>1134</v>
      </c>
      <c r="AD139" s="8" t="s">
        <v>1134</v>
      </c>
    </row>
    <row r="140" ht="27" spans="1:30">
      <c r="A140" s="21" t="s">
        <v>668</v>
      </c>
      <c r="B140" s="651"/>
      <c r="C140" s="21" t="s">
        <v>746</v>
      </c>
      <c r="D140" s="21" t="s">
        <v>748</v>
      </c>
      <c r="E140" s="21" t="str">
        <f>_xlfn.XLOOKUP(G140,Combos!AB:AB,Combos!AA:AA,"",0,1)</f>
        <v/>
      </c>
      <c r="F140" s="21" t="s">
        <v>748</v>
      </c>
      <c r="G140" s="652" t="s">
        <v>1478</v>
      </c>
      <c r="H140" s="8" t="s">
        <v>1479</v>
      </c>
      <c r="I140" s="8" t="s">
        <v>1480</v>
      </c>
      <c r="K140" s="667" t="s">
        <v>1039</v>
      </c>
      <c r="L140" s="2">
        <f t="shared" si="16"/>
        <v>7</v>
      </c>
      <c r="M140" s="663">
        <v>2</v>
      </c>
      <c r="N140" s="663">
        <v>3</v>
      </c>
      <c r="O140" s="663">
        <v>3</v>
      </c>
      <c r="P140" s="663">
        <v>4</v>
      </c>
      <c r="Q140" s="663">
        <v>3</v>
      </c>
      <c r="R140" s="648">
        <f t="shared" si="17"/>
        <v>15</v>
      </c>
      <c r="S140" s="648">
        <f t="shared" si="18"/>
        <v>9</v>
      </c>
      <c r="T140" s="648">
        <f t="shared" si="19"/>
        <v>10</v>
      </c>
      <c r="U140" s="648">
        <f t="shared" si="20"/>
        <v>10</v>
      </c>
      <c r="V140" s="648">
        <f t="shared" si="21"/>
        <v>6</v>
      </c>
      <c r="W140" s="648">
        <f t="shared" si="22"/>
        <v>7</v>
      </c>
      <c r="X140" s="648">
        <f t="shared" si="23"/>
        <v>7</v>
      </c>
      <c r="Y140" s="21" t="str">
        <f>_xlfn.XLOOKUP(AA140,Combos!AU:AU,Combos!AT:AT,"",0,1)</f>
        <v/>
      </c>
      <c r="Z140" s="8" t="s">
        <v>1481</v>
      </c>
      <c r="AA140" s="8" t="s">
        <v>1481</v>
      </c>
      <c r="AB140" s="8" t="s">
        <v>1482</v>
      </c>
      <c r="AC140" s="659" t="s">
        <v>1483</v>
      </c>
      <c r="AD140" s="659" t="s">
        <v>1484</v>
      </c>
    </row>
    <row r="141" ht="27" spans="1:30">
      <c r="A141" s="21" t="s">
        <v>668</v>
      </c>
      <c r="B141" s="651"/>
      <c r="C141" s="21" t="s">
        <v>746</v>
      </c>
      <c r="D141" s="21" t="s">
        <v>748</v>
      </c>
      <c r="E141" s="21" t="str">
        <f>_xlfn.XLOOKUP(G141,Combos!AB:AB,Combos!AA:AA,"",0,1)</f>
        <v/>
      </c>
      <c r="F141" s="21" t="s">
        <v>748</v>
      </c>
      <c r="G141" s="8" t="s">
        <v>1485</v>
      </c>
      <c r="H141" s="8" t="s">
        <v>1486</v>
      </c>
      <c r="I141" s="8" t="s">
        <v>1487</v>
      </c>
      <c r="K141" s="667" t="s">
        <v>1039</v>
      </c>
      <c r="L141" s="2">
        <f t="shared" si="16"/>
        <v>7</v>
      </c>
      <c r="M141" s="663">
        <v>2</v>
      </c>
      <c r="N141" s="663">
        <v>3</v>
      </c>
      <c r="O141" s="663">
        <v>3</v>
      </c>
      <c r="P141" s="663">
        <v>4</v>
      </c>
      <c r="Q141" s="663">
        <v>3</v>
      </c>
      <c r="R141" s="648">
        <f t="shared" si="17"/>
        <v>15</v>
      </c>
      <c r="S141" s="648">
        <f t="shared" si="18"/>
        <v>9</v>
      </c>
      <c r="T141" s="648">
        <f t="shared" si="19"/>
        <v>10</v>
      </c>
      <c r="U141" s="648">
        <f t="shared" si="20"/>
        <v>10</v>
      </c>
      <c r="V141" s="648">
        <f t="shared" si="21"/>
        <v>6</v>
      </c>
      <c r="W141" s="648">
        <f t="shared" si="22"/>
        <v>7</v>
      </c>
      <c r="X141" s="648">
        <f t="shared" si="23"/>
        <v>7</v>
      </c>
      <c r="Y141" s="21" t="str">
        <f>_xlfn.XLOOKUP(AA141,Combos!AU:AU,Combos!AT:AT,"",0,1)</f>
        <v/>
      </c>
      <c r="Z141" s="8" t="s">
        <v>1488</v>
      </c>
      <c r="AA141" s="8" t="s">
        <v>1488</v>
      </c>
      <c r="AB141" s="8" t="s">
        <v>1489</v>
      </c>
      <c r="AC141" s="659" t="s">
        <v>1490</v>
      </c>
      <c r="AD141" s="659" t="s">
        <v>1491</v>
      </c>
    </row>
    <row r="142" spans="1:30">
      <c r="A142" s="21" t="s">
        <v>668</v>
      </c>
      <c r="B142" s="651"/>
      <c r="C142" s="21" t="s">
        <v>746</v>
      </c>
      <c r="D142" s="21" t="s">
        <v>748</v>
      </c>
      <c r="E142" s="21" t="str">
        <f>_xlfn.XLOOKUP(G142,Combos!AB:AB,Combos!AA:AA,"",0,1)</f>
        <v/>
      </c>
      <c r="F142" s="21" t="s">
        <v>748</v>
      </c>
      <c r="G142" s="652" t="s">
        <v>1492</v>
      </c>
      <c r="H142" s="8" t="s">
        <v>1493</v>
      </c>
      <c r="I142" s="8" t="s">
        <v>1377</v>
      </c>
      <c r="K142" s="667" t="s">
        <v>646</v>
      </c>
      <c r="L142" s="2">
        <f t="shared" si="16"/>
        <v>6</v>
      </c>
      <c r="M142" s="662">
        <v>2</v>
      </c>
      <c r="N142" s="663">
        <v>3</v>
      </c>
      <c r="O142" s="663">
        <v>3</v>
      </c>
      <c r="P142" s="663">
        <v>4</v>
      </c>
      <c r="Q142" s="663">
        <v>2</v>
      </c>
      <c r="R142" s="648">
        <f t="shared" si="17"/>
        <v>14</v>
      </c>
      <c r="S142" s="648">
        <f t="shared" si="18"/>
        <v>8</v>
      </c>
      <c r="T142" s="648">
        <f t="shared" si="19"/>
        <v>9</v>
      </c>
      <c r="U142" s="648">
        <f t="shared" si="20"/>
        <v>9</v>
      </c>
      <c r="V142" s="648">
        <f t="shared" si="21"/>
        <v>6</v>
      </c>
      <c r="W142" s="648">
        <f t="shared" si="22"/>
        <v>7</v>
      </c>
      <c r="X142" s="648">
        <f t="shared" si="23"/>
        <v>7</v>
      </c>
      <c r="Y142" s="21" t="str">
        <f>_xlfn.XLOOKUP(AA142,Combos!AU:AU,Combos!AT:AT,"",0,1)</f>
        <v/>
      </c>
      <c r="Z142" s="8" t="s">
        <v>1494</v>
      </c>
      <c r="AA142" s="8" t="s">
        <v>1494</v>
      </c>
      <c r="AB142" s="8" t="s">
        <v>1493</v>
      </c>
      <c r="AC142" s="8" t="s">
        <v>1279</v>
      </c>
      <c r="AD142" s="8" t="s">
        <v>1279</v>
      </c>
    </row>
    <row r="143" spans="2:30">
      <c r="B143" s="649">
        <v>1</v>
      </c>
      <c r="E143" s="21" t="str">
        <f>_xlfn.XLOOKUP(G143,Combos!AB:AB,Combos!AA:AA,"",0,1)</f>
        <v/>
      </c>
      <c r="F143" s="21">
        <v>1</v>
      </c>
      <c r="G143" s="8" t="s">
        <v>1495</v>
      </c>
      <c r="H143" s="8" t="s">
        <v>1496</v>
      </c>
      <c r="I143" s="659" t="s">
        <v>1103</v>
      </c>
      <c r="K143" s="667" t="s">
        <v>914</v>
      </c>
      <c r="L143" s="661">
        <f t="shared" si="16"/>
        <v>8</v>
      </c>
      <c r="M143" s="663">
        <v>1</v>
      </c>
      <c r="N143" s="663">
        <v>4</v>
      </c>
      <c r="O143" s="663">
        <v>2</v>
      </c>
      <c r="P143" s="663">
        <v>5</v>
      </c>
      <c r="Q143" s="663">
        <v>3</v>
      </c>
      <c r="R143" s="648">
        <f t="shared" si="17"/>
        <v>15</v>
      </c>
      <c r="S143" s="648">
        <f t="shared" si="18"/>
        <v>9</v>
      </c>
      <c r="T143" s="648">
        <f t="shared" si="19"/>
        <v>12</v>
      </c>
      <c r="U143" s="648">
        <f t="shared" si="20"/>
        <v>10</v>
      </c>
      <c r="V143" s="648">
        <f t="shared" si="21"/>
        <v>6</v>
      </c>
      <c r="W143" s="648">
        <f t="shared" si="22"/>
        <v>9</v>
      </c>
      <c r="X143" s="648">
        <f t="shared" si="23"/>
        <v>7</v>
      </c>
      <c r="Y143" s="21" t="str">
        <f>_xlfn.XLOOKUP(AA143,Combos!AU:AU,Combos!AT:AT,"",0,1)</f>
        <v/>
      </c>
      <c r="Z143" s="659" t="s">
        <v>1497</v>
      </c>
      <c r="AA143" s="659" t="s">
        <v>1498</v>
      </c>
      <c r="AB143" s="659" t="s">
        <v>1499</v>
      </c>
      <c r="AC143" s="676" t="s">
        <v>1500</v>
      </c>
      <c r="AD143" s="676" t="s">
        <v>1500</v>
      </c>
    </row>
    <row r="144" spans="1:30">
      <c r="A144" s="21" t="s">
        <v>668</v>
      </c>
      <c r="B144" s="651"/>
      <c r="C144" s="21">
        <v>2</v>
      </c>
      <c r="D144" s="653" t="s">
        <v>748</v>
      </c>
      <c r="E144" s="21" t="str">
        <f>_xlfn.XLOOKUP(G144,Combos!AB:AB,Combos!AA:AA,"",0,1)</f>
        <v/>
      </c>
      <c r="F144" s="21" t="s">
        <v>748</v>
      </c>
      <c r="G144" s="652" t="s">
        <v>1501</v>
      </c>
      <c r="H144" s="8" t="s">
        <v>1502</v>
      </c>
      <c r="I144" s="8" t="s">
        <v>1108</v>
      </c>
      <c r="K144" s="675" t="s">
        <v>914</v>
      </c>
      <c r="L144" s="2">
        <f t="shared" si="16"/>
        <v>7</v>
      </c>
      <c r="M144" s="662">
        <v>3</v>
      </c>
      <c r="N144" s="663">
        <v>1</v>
      </c>
      <c r="O144" s="663">
        <v>4</v>
      </c>
      <c r="P144" s="662">
        <v>3</v>
      </c>
      <c r="Q144" s="662">
        <v>4</v>
      </c>
      <c r="R144" s="648">
        <f t="shared" si="17"/>
        <v>15</v>
      </c>
      <c r="S144" s="648">
        <f t="shared" si="18"/>
        <v>10</v>
      </c>
      <c r="T144" s="648">
        <f t="shared" si="19"/>
        <v>8</v>
      </c>
      <c r="U144" s="648">
        <f t="shared" si="20"/>
        <v>11</v>
      </c>
      <c r="V144" s="648">
        <f t="shared" si="21"/>
        <v>6</v>
      </c>
      <c r="W144" s="648">
        <f t="shared" si="22"/>
        <v>4</v>
      </c>
      <c r="X144" s="648">
        <f t="shared" si="23"/>
        <v>7</v>
      </c>
      <c r="Y144" s="21" t="str">
        <f>_xlfn.XLOOKUP(AA144,Combos!AU:AU,Combos!AT:AT,"",0,1)</f>
        <v/>
      </c>
      <c r="Z144" s="8" t="s">
        <v>1503</v>
      </c>
      <c r="AA144" s="8" t="s">
        <v>1503</v>
      </c>
      <c r="AB144" s="8" t="s">
        <v>1504</v>
      </c>
      <c r="AC144" s="665" t="s">
        <v>1505</v>
      </c>
      <c r="AD144" s="665" t="s">
        <v>768</v>
      </c>
    </row>
    <row r="145" spans="1:30">
      <c r="A145" s="21" t="s">
        <v>748</v>
      </c>
      <c r="B145" s="651"/>
      <c r="D145" s="21" t="s">
        <v>748</v>
      </c>
      <c r="E145" s="21" t="str">
        <f>_xlfn.XLOOKUP(G145,Combos!AB:AB,Combos!AA:AA,"",0,1)</f>
        <v/>
      </c>
      <c r="F145" s="21" t="s">
        <v>748</v>
      </c>
      <c r="G145" s="8" t="s">
        <v>1506</v>
      </c>
      <c r="H145" s="8" t="s">
        <v>1507</v>
      </c>
      <c r="I145" s="8" t="s">
        <v>1508</v>
      </c>
      <c r="K145" s="668" t="s">
        <v>646</v>
      </c>
      <c r="L145" s="2">
        <f t="shared" si="16"/>
        <v>7</v>
      </c>
      <c r="M145" s="663">
        <v>2</v>
      </c>
      <c r="N145" s="663">
        <v>3</v>
      </c>
      <c r="O145" s="663">
        <v>3</v>
      </c>
      <c r="P145" s="663">
        <v>3</v>
      </c>
      <c r="Q145" s="663">
        <v>4</v>
      </c>
      <c r="R145" s="648">
        <f t="shared" si="17"/>
        <v>15</v>
      </c>
      <c r="S145" s="648">
        <f t="shared" si="18"/>
        <v>9</v>
      </c>
      <c r="T145" s="648">
        <f t="shared" si="19"/>
        <v>10</v>
      </c>
      <c r="U145" s="648">
        <f t="shared" si="20"/>
        <v>10</v>
      </c>
      <c r="V145" s="648">
        <f t="shared" si="21"/>
        <v>5</v>
      </c>
      <c r="W145" s="648">
        <f t="shared" si="22"/>
        <v>6</v>
      </c>
      <c r="X145" s="648">
        <f t="shared" si="23"/>
        <v>6</v>
      </c>
      <c r="Y145" s="21" t="str">
        <f>_xlfn.XLOOKUP(AA145,Combos!AU:AU,Combos!AT:AT,"",0,1)</f>
        <v/>
      </c>
      <c r="Z145" s="8" t="s">
        <v>1509</v>
      </c>
      <c r="AA145" s="8" t="s">
        <v>1509</v>
      </c>
      <c r="AB145" s="8" t="s">
        <v>1507</v>
      </c>
      <c r="AC145" s="8" t="s">
        <v>1038</v>
      </c>
      <c r="AD145" s="8" t="s">
        <v>1038</v>
      </c>
    </row>
    <row r="146" spans="1:30">
      <c r="A146" s="21" t="s">
        <v>668</v>
      </c>
      <c r="B146" s="651"/>
      <c r="C146" s="21" t="s">
        <v>746</v>
      </c>
      <c r="D146" s="21" t="s">
        <v>1510</v>
      </c>
      <c r="E146" s="21" t="str">
        <f>_xlfn.XLOOKUP(G146,Combos!AB:AB,Combos!AA:AA,"",0,1)</f>
        <v/>
      </c>
      <c r="F146" s="21" t="s">
        <v>748</v>
      </c>
      <c r="G146" s="652" t="s">
        <v>1511</v>
      </c>
      <c r="H146" s="8" t="s">
        <v>1512</v>
      </c>
      <c r="I146" s="8" t="s">
        <v>1118</v>
      </c>
      <c r="K146" s="668" t="s">
        <v>1039</v>
      </c>
      <c r="L146" s="2">
        <f t="shared" si="16"/>
        <v>7</v>
      </c>
      <c r="M146" s="663">
        <v>2</v>
      </c>
      <c r="N146" s="663">
        <v>3</v>
      </c>
      <c r="O146" s="663">
        <v>3</v>
      </c>
      <c r="P146" s="663">
        <v>3</v>
      </c>
      <c r="Q146" s="663">
        <v>4</v>
      </c>
      <c r="R146" s="648">
        <f t="shared" si="17"/>
        <v>15</v>
      </c>
      <c r="S146" s="648">
        <f t="shared" si="18"/>
        <v>9</v>
      </c>
      <c r="T146" s="648">
        <f t="shared" si="19"/>
        <v>10</v>
      </c>
      <c r="U146" s="648">
        <f t="shared" si="20"/>
        <v>10</v>
      </c>
      <c r="V146" s="648">
        <f t="shared" si="21"/>
        <v>5</v>
      </c>
      <c r="W146" s="648">
        <f t="shared" si="22"/>
        <v>6</v>
      </c>
      <c r="X146" s="648">
        <f t="shared" si="23"/>
        <v>6</v>
      </c>
      <c r="Y146" s="21" t="str">
        <f>_xlfn.XLOOKUP(AA146,Combos!AU:AU,Combos!AT:AT,"",0,1)</f>
        <v/>
      </c>
      <c r="Z146" s="8" t="s">
        <v>1513</v>
      </c>
      <c r="AA146" s="8" t="s">
        <v>1513</v>
      </c>
      <c r="AB146" s="8" t="s">
        <v>1514</v>
      </c>
      <c r="AC146" s="665" t="s">
        <v>1515</v>
      </c>
      <c r="AD146" s="665" t="s">
        <v>869</v>
      </c>
    </row>
    <row r="147" spans="1:30">
      <c r="A147" s="21" t="s">
        <v>668</v>
      </c>
      <c r="B147" s="651"/>
      <c r="C147" s="21" t="s">
        <v>746</v>
      </c>
      <c r="D147" s="21" t="s">
        <v>748</v>
      </c>
      <c r="E147" s="21" t="str">
        <f>_xlfn.XLOOKUP(G147,Combos!AB:AB,Combos!AA:AA,"",0,1)</f>
        <v/>
      </c>
      <c r="F147" s="21" t="s">
        <v>748</v>
      </c>
      <c r="G147" s="652" t="s">
        <v>1516</v>
      </c>
      <c r="H147" s="8" t="s">
        <v>1517</v>
      </c>
      <c r="I147" s="8" t="s">
        <v>1142</v>
      </c>
      <c r="K147" s="7" t="s">
        <v>914</v>
      </c>
      <c r="L147" s="2">
        <f t="shared" si="16"/>
        <v>6</v>
      </c>
      <c r="M147" s="663">
        <v>3</v>
      </c>
      <c r="N147" s="663">
        <v>3</v>
      </c>
      <c r="O147" s="663">
        <v>3</v>
      </c>
      <c r="P147" s="663">
        <v>3</v>
      </c>
      <c r="Q147" s="663">
        <v>3</v>
      </c>
      <c r="R147" s="648">
        <f t="shared" si="17"/>
        <v>15</v>
      </c>
      <c r="S147" s="648">
        <f t="shared" si="18"/>
        <v>9</v>
      </c>
      <c r="T147" s="648">
        <f t="shared" si="19"/>
        <v>9</v>
      </c>
      <c r="U147" s="648">
        <f t="shared" si="20"/>
        <v>9</v>
      </c>
      <c r="V147" s="648">
        <f t="shared" si="21"/>
        <v>6</v>
      </c>
      <c r="W147" s="648">
        <f t="shared" si="22"/>
        <v>6</v>
      </c>
      <c r="X147" s="648">
        <f t="shared" si="23"/>
        <v>6</v>
      </c>
      <c r="Y147" s="21" t="str">
        <f>_xlfn.XLOOKUP(AA147,Combos!AU:AU,Combos!AT:AT,"",0,1)</f>
        <v/>
      </c>
      <c r="Z147" s="8" t="s">
        <v>1518</v>
      </c>
      <c r="AA147" s="8" t="s">
        <v>1518</v>
      </c>
      <c r="AB147" s="8" t="s">
        <v>1519</v>
      </c>
      <c r="AC147" s="665" t="s">
        <v>1520</v>
      </c>
      <c r="AD147" s="665" t="s">
        <v>876</v>
      </c>
    </row>
    <row r="148" spans="1:30">
      <c r="A148" s="21" t="s">
        <v>748</v>
      </c>
      <c r="B148" s="651"/>
      <c r="D148" s="21" t="s">
        <v>748</v>
      </c>
      <c r="E148" s="21" t="str">
        <f>_xlfn.XLOOKUP(G148,Combos!AB:AB,Combos!AA:AA,"",0,1)</f>
        <v/>
      </c>
      <c r="F148" s="21" t="s">
        <v>748</v>
      </c>
      <c r="G148" s="652" t="s">
        <v>1521</v>
      </c>
      <c r="H148" s="8" t="s">
        <v>1522</v>
      </c>
      <c r="I148" s="8" t="s">
        <v>1350</v>
      </c>
      <c r="K148" s="668" t="s">
        <v>646</v>
      </c>
      <c r="L148" s="2">
        <f t="shared" si="16"/>
        <v>7</v>
      </c>
      <c r="M148" s="662">
        <v>2</v>
      </c>
      <c r="N148" s="663">
        <v>3</v>
      </c>
      <c r="O148" s="663">
        <v>3</v>
      </c>
      <c r="P148" s="662">
        <v>3</v>
      </c>
      <c r="Q148" s="662">
        <v>4</v>
      </c>
      <c r="R148" s="648">
        <f t="shared" si="17"/>
        <v>15</v>
      </c>
      <c r="S148" s="648">
        <f t="shared" si="18"/>
        <v>9</v>
      </c>
      <c r="T148" s="648">
        <f t="shared" si="19"/>
        <v>10</v>
      </c>
      <c r="U148" s="648">
        <f t="shared" si="20"/>
        <v>10</v>
      </c>
      <c r="V148" s="648">
        <f t="shared" si="21"/>
        <v>5</v>
      </c>
      <c r="W148" s="648">
        <f t="shared" si="22"/>
        <v>6</v>
      </c>
      <c r="X148" s="648">
        <f t="shared" si="23"/>
        <v>6</v>
      </c>
      <c r="Y148" s="21" t="str">
        <f>_xlfn.XLOOKUP(AA148,Combos!AU:AU,Combos!AT:AT,"",0,1)</f>
        <v/>
      </c>
      <c r="Z148" s="8" t="s">
        <v>1523</v>
      </c>
      <c r="AA148" s="8" t="s">
        <v>1523</v>
      </c>
      <c r="AB148" s="8" t="s">
        <v>1524</v>
      </c>
      <c r="AC148" s="659" t="s">
        <v>907</v>
      </c>
      <c r="AD148" s="659" t="s">
        <v>907</v>
      </c>
    </row>
    <row r="149" spans="1:30">
      <c r="A149" s="21" t="s">
        <v>748</v>
      </c>
      <c r="B149" s="651"/>
      <c r="D149" s="21" t="s">
        <v>748</v>
      </c>
      <c r="E149" s="21" t="str">
        <f>_xlfn.XLOOKUP(G149,Combos!AB:AB,Combos!AA:AA,"",0,1)</f>
        <v/>
      </c>
      <c r="F149" s="21" t="s">
        <v>748</v>
      </c>
      <c r="G149" s="650" t="s">
        <v>1525</v>
      </c>
      <c r="H149" s="8" t="s">
        <v>1526</v>
      </c>
      <c r="I149" s="8" t="s">
        <v>1148</v>
      </c>
      <c r="K149" s="7" t="s">
        <v>646</v>
      </c>
      <c r="L149" s="2">
        <f t="shared" si="16"/>
        <v>4</v>
      </c>
      <c r="M149" s="662">
        <v>4</v>
      </c>
      <c r="N149" s="662">
        <v>4</v>
      </c>
      <c r="O149" s="662">
        <v>3</v>
      </c>
      <c r="P149" s="662">
        <v>3</v>
      </c>
      <c r="Q149" s="662">
        <v>1</v>
      </c>
      <c r="R149" s="648">
        <f t="shared" si="17"/>
        <v>15</v>
      </c>
      <c r="S149" s="648">
        <f t="shared" si="18"/>
        <v>8</v>
      </c>
      <c r="T149" s="648">
        <f t="shared" si="19"/>
        <v>8</v>
      </c>
      <c r="U149" s="648">
        <f t="shared" si="20"/>
        <v>7</v>
      </c>
      <c r="V149" s="648">
        <f t="shared" si="21"/>
        <v>7</v>
      </c>
      <c r="W149" s="648">
        <f t="shared" si="22"/>
        <v>7</v>
      </c>
      <c r="X149" s="648">
        <f t="shared" si="23"/>
        <v>6</v>
      </c>
      <c r="Y149" s="21" t="str">
        <f>_xlfn.XLOOKUP(AA149,Combos!AU:AU,Combos!AT:AT,"",0,1)</f>
        <v/>
      </c>
      <c r="Z149" s="8" t="s">
        <v>1527</v>
      </c>
      <c r="AA149" s="8" t="s">
        <v>1527</v>
      </c>
      <c r="AB149" s="8" t="s">
        <v>1528</v>
      </c>
      <c r="AC149" s="659" t="s">
        <v>899</v>
      </c>
      <c r="AD149" s="659" t="s">
        <v>899</v>
      </c>
    </row>
    <row r="150" spans="1:30">
      <c r="A150" s="21" t="s">
        <v>668</v>
      </c>
      <c r="B150" s="651"/>
      <c r="C150" s="21" t="s">
        <v>746</v>
      </c>
      <c r="D150" s="21" t="s">
        <v>748</v>
      </c>
      <c r="E150" s="21" t="str">
        <f>_xlfn.XLOOKUP(G150,Combos!AB:AB,Combos!AA:AA,"",0,1)</f>
        <v/>
      </c>
      <c r="F150" s="21" t="s">
        <v>748</v>
      </c>
      <c r="G150" s="650" t="s">
        <v>1529</v>
      </c>
      <c r="H150" s="8" t="s">
        <v>1530</v>
      </c>
      <c r="I150" s="8" t="s">
        <v>1531</v>
      </c>
      <c r="K150" s="7" t="s">
        <v>646</v>
      </c>
      <c r="L150" s="2">
        <f t="shared" si="16"/>
        <v>4</v>
      </c>
      <c r="M150" s="662">
        <v>4</v>
      </c>
      <c r="N150" s="662">
        <v>4</v>
      </c>
      <c r="O150" s="662">
        <v>3</v>
      </c>
      <c r="P150" s="662">
        <v>2</v>
      </c>
      <c r="Q150" s="662">
        <v>2</v>
      </c>
      <c r="R150" s="648">
        <f t="shared" si="17"/>
        <v>15</v>
      </c>
      <c r="S150" s="648">
        <f t="shared" si="18"/>
        <v>8</v>
      </c>
      <c r="T150" s="648">
        <f t="shared" si="19"/>
        <v>8</v>
      </c>
      <c r="U150" s="648">
        <f t="shared" si="20"/>
        <v>7</v>
      </c>
      <c r="V150" s="648">
        <f t="shared" si="21"/>
        <v>6</v>
      </c>
      <c r="W150" s="648">
        <f t="shared" si="22"/>
        <v>6</v>
      </c>
      <c r="X150" s="648">
        <f t="shared" si="23"/>
        <v>5</v>
      </c>
      <c r="Y150" s="21" t="str">
        <f>_xlfn.XLOOKUP(AA150,Combos!AU:AU,Combos!AT:AT,"",0,1)</f>
        <v/>
      </c>
      <c r="Z150" s="8" t="s">
        <v>1532</v>
      </c>
      <c r="AA150" s="8" t="s">
        <v>1532</v>
      </c>
      <c r="AB150" s="8" t="s">
        <v>1533</v>
      </c>
      <c r="AC150" s="8" t="s">
        <v>1374</v>
      </c>
      <c r="AD150" s="8" t="s">
        <v>1374</v>
      </c>
    </row>
    <row r="151" spans="2:30">
      <c r="B151" s="649">
        <v>1</v>
      </c>
      <c r="E151" s="21" t="str">
        <f>_xlfn.XLOOKUP(G151,Combos!AB:AB,Combos!AA:AA,"",0,1)</f>
        <v/>
      </c>
      <c r="G151" s="650" t="s">
        <v>1534</v>
      </c>
      <c r="H151" s="8" t="s">
        <v>1535</v>
      </c>
      <c r="I151" s="659" t="s">
        <v>1536</v>
      </c>
      <c r="K151" s="667" t="s">
        <v>1039</v>
      </c>
      <c r="L151" s="661">
        <f t="shared" si="16"/>
        <v>7</v>
      </c>
      <c r="M151" s="662">
        <v>4</v>
      </c>
      <c r="N151" s="662">
        <v>1</v>
      </c>
      <c r="O151" s="662">
        <v>3</v>
      </c>
      <c r="P151" s="662">
        <v>4</v>
      </c>
      <c r="Q151" s="662">
        <v>3</v>
      </c>
      <c r="R151" s="648">
        <f t="shared" si="17"/>
        <v>15</v>
      </c>
      <c r="S151" s="648">
        <f t="shared" si="18"/>
        <v>11</v>
      </c>
      <c r="T151" s="648">
        <f t="shared" si="19"/>
        <v>8</v>
      </c>
      <c r="U151" s="648">
        <f t="shared" si="20"/>
        <v>10</v>
      </c>
      <c r="V151" s="648">
        <f t="shared" si="21"/>
        <v>8</v>
      </c>
      <c r="W151" s="648">
        <f t="shared" si="22"/>
        <v>5</v>
      </c>
      <c r="X151" s="648">
        <f t="shared" si="23"/>
        <v>7</v>
      </c>
      <c r="Y151" s="21" t="str">
        <f>_xlfn.XLOOKUP(AA151,Combos!AU:AU,Combos!AT:AT,"",0,1)</f>
        <v/>
      </c>
      <c r="Z151" s="659" t="s">
        <v>1537</v>
      </c>
      <c r="AA151" s="659" t="s">
        <v>1537</v>
      </c>
      <c r="AB151" s="659" t="s">
        <v>1538</v>
      </c>
      <c r="AC151" s="8" t="s">
        <v>1270</v>
      </c>
      <c r="AD151" s="8" t="s">
        <v>1270</v>
      </c>
    </row>
    <row r="152" spans="1:30">
      <c r="A152" s="21" t="s">
        <v>668</v>
      </c>
      <c r="B152" s="649">
        <v>1</v>
      </c>
      <c r="C152" s="657"/>
      <c r="D152" s="21" t="s">
        <v>748</v>
      </c>
      <c r="E152" s="21" t="str">
        <f>_xlfn.XLOOKUP(G152,Combos!AB:AB,Combos!AA:AA,"",0,1)</f>
        <v/>
      </c>
      <c r="F152" s="21" t="s">
        <v>748</v>
      </c>
      <c r="G152" s="650" t="s">
        <v>1539</v>
      </c>
      <c r="H152" s="8" t="s">
        <v>1540</v>
      </c>
      <c r="I152" s="659" t="s">
        <v>1541</v>
      </c>
      <c r="K152" s="7" t="s">
        <v>939</v>
      </c>
      <c r="L152" s="661">
        <f>P152+Q152</f>
        <v>6</v>
      </c>
      <c r="M152" s="662">
        <v>4</v>
      </c>
      <c r="N152" s="662">
        <v>4</v>
      </c>
      <c r="O152" s="662">
        <v>1</v>
      </c>
      <c r="P152" s="662">
        <v>3</v>
      </c>
      <c r="Q152" s="662">
        <v>3</v>
      </c>
      <c r="R152" s="648">
        <f>SUM(M152:Q152)</f>
        <v>15</v>
      </c>
      <c r="S152" s="648">
        <f>V152+Q152</f>
        <v>10</v>
      </c>
      <c r="T152" s="648">
        <f>W152+Q152</f>
        <v>10</v>
      </c>
      <c r="U152" s="648">
        <f>X152+Q152</f>
        <v>7</v>
      </c>
      <c r="V152" s="648">
        <f>M152+P152</f>
        <v>7</v>
      </c>
      <c r="W152" s="648">
        <f>N152+P152</f>
        <v>7</v>
      </c>
      <c r="X152" s="648">
        <f>O152+P152</f>
        <v>4</v>
      </c>
      <c r="Y152" s="21" t="str">
        <f>_xlfn.XLOOKUP(AA152,Combos!AU:AU,Combos!AT:AT,"",0,1)</f>
        <v/>
      </c>
      <c r="Z152" s="659" t="s">
        <v>1542</v>
      </c>
      <c r="AA152" s="659" t="s">
        <v>1542</v>
      </c>
      <c r="AB152" s="659" t="s">
        <v>1543</v>
      </c>
      <c r="AC152" s="8" t="s">
        <v>1544</v>
      </c>
      <c r="AD152" s="8" t="s">
        <v>1544</v>
      </c>
    </row>
    <row r="153" spans="1:30">
      <c r="A153" s="673" t="s">
        <v>668</v>
      </c>
      <c r="B153" s="651"/>
      <c r="C153" s="673">
        <v>1</v>
      </c>
      <c r="D153" s="655"/>
      <c r="E153" s="21" t="str">
        <f>_xlfn.XLOOKUP(G153,Combos!AB:AB,Combos!AA:AA,"",0,1)</f>
        <v/>
      </c>
      <c r="G153" s="650" t="s">
        <v>1545</v>
      </c>
      <c r="H153" s="8" t="s">
        <v>1546</v>
      </c>
      <c r="I153" s="8" t="s">
        <v>1547</v>
      </c>
      <c r="K153" s="667" t="s">
        <v>1039</v>
      </c>
      <c r="L153" s="2">
        <f t="shared" si="16"/>
        <v>7</v>
      </c>
      <c r="M153" s="662">
        <v>4</v>
      </c>
      <c r="N153" s="662">
        <v>1</v>
      </c>
      <c r="O153" s="662">
        <v>3</v>
      </c>
      <c r="P153" s="662">
        <v>4</v>
      </c>
      <c r="Q153" s="662">
        <v>3</v>
      </c>
      <c r="R153" s="648">
        <f t="shared" si="17"/>
        <v>15</v>
      </c>
      <c r="S153" s="648">
        <f t="shared" si="18"/>
        <v>11</v>
      </c>
      <c r="T153" s="648">
        <f t="shared" si="19"/>
        <v>8</v>
      </c>
      <c r="U153" s="648">
        <f t="shared" si="20"/>
        <v>10</v>
      </c>
      <c r="V153" s="648">
        <f t="shared" si="21"/>
        <v>8</v>
      </c>
      <c r="W153" s="648">
        <f t="shared" si="22"/>
        <v>5</v>
      </c>
      <c r="X153" s="648">
        <f t="shared" si="23"/>
        <v>7</v>
      </c>
      <c r="Y153" s="21" t="str">
        <f>_xlfn.XLOOKUP(AA153,Combos!AU:AU,Combos!AT:AT,"",0,1)</f>
        <v/>
      </c>
      <c r="Z153" s="8" t="s">
        <v>1548</v>
      </c>
      <c r="AA153" s="8" t="s">
        <v>1548</v>
      </c>
      <c r="AB153" s="8" t="s">
        <v>1549</v>
      </c>
      <c r="AC153" s="8" t="s">
        <v>1531</v>
      </c>
      <c r="AD153" s="8" t="s">
        <v>1531</v>
      </c>
    </row>
    <row r="154" spans="1:30">
      <c r="A154" s="673" t="s">
        <v>668</v>
      </c>
      <c r="B154" s="651"/>
      <c r="C154" s="673">
        <v>1</v>
      </c>
      <c r="D154" s="655" t="s">
        <v>1204</v>
      </c>
      <c r="E154" s="21" t="str">
        <f>_xlfn.XLOOKUP(G154,Combos!AB:AB,Combos!AA:AA,"",0,1)</f>
        <v/>
      </c>
      <c r="F154" s="21">
        <v>1</v>
      </c>
      <c r="G154" s="650" t="s">
        <v>1550</v>
      </c>
      <c r="H154" s="8" t="s">
        <v>1551</v>
      </c>
      <c r="I154" s="8" t="s">
        <v>959</v>
      </c>
      <c r="K154" s="667" t="s">
        <v>1039</v>
      </c>
      <c r="L154" s="2">
        <f t="shared" si="16"/>
        <v>7</v>
      </c>
      <c r="M154" s="663">
        <v>4</v>
      </c>
      <c r="N154" s="663">
        <v>1</v>
      </c>
      <c r="O154" s="663">
        <v>3</v>
      </c>
      <c r="P154" s="663">
        <v>5</v>
      </c>
      <c r="Q154" s="663">
        <v>2</v>
      </c>
      <c r="R154" s="648">
        <f t="shared" si="17"/>
        <v>15</v>
      </c>
      <c r="S154" s="648">
        <f t="shared" si="18"/>
        <v>11</v>
      </c>
      <c r="T154" s="648">
        <f t="shared" si="19"/>
        <v>8</v>
      </c>
      <c r="U154" s="648">
        <f t="shared" si="20"/>
        <v>10</v>
      </c>
      <c r="V154" s="648">
        <f t="shared" si="21"/>
        <v>9</v>
      </c>
      <c r="W154" s="648">
        <f t="shared" si="22"/>
        <v>6</v>
      </c>
      <c r="X154" s="648">
        <f t="shared" si="23"/>
        <v>8</v>
      </c>
      <c r="Y154" s="21" t="str">
        <f>_xlfn.XLOOKUP(AA154,Combos!AU:AU,Combos!AT:AT,"",0,1)</f>
        <v/>
      </c>
      <c r="Z154" s="8" t="s">
        <v>1552</v>
      </c>
      <c r="AA154" s="8" t="s">
        <v>1552</v>
      </c>
      <c r="AB154" s="8" t="s">
        <v>1553</v>
      </c>
      <c r="AC154" s="659" t="s">
        <v>1554</v>
      </c>
      <c r="AD154" s="659" t="s">
        <v>1554</v>
      </c>
    </row>
    <row r="155" spans="1:30">
      <c r="A155" s="21" t="s">
        <v>668</v>
      </c>
      <c r="B155" s="651"/>
      <c r="C155" s="21" t="s">
        <v>746</v>
      </c>
      <c r="D155" s="21" t="s">
        <v>748</v>
      </c>
      <c r="E155" s="21" t="str">
        <f>_xlfn.XLOOKUP(G155,Combos!AB:AB,Combos!AA:AA,"",0,1)</f>
        <v/>
      </c>
      <c r="F155" s="21" t="s">
        <v>748</v>
      </c>
      <c r="G155" s="652" t="s">
        <v>1555</v>
      </c>
      <c r="H155" s="8" t="s">
        <v>1556</v>
      </c>
      <c r="I155" s="8" t="s">
        <v>1557</v>
      </c>
      <c r="K155" s="667" t="s">
        <v>939</v>
      </c>
      <c r="L155" s="2">
        <f>P155+Q155</f>
        <v>7</v>
      </c>
      <c r="M155" s="663">
        <v>3</v>
      </c>
      <c r="N155" s="663">
        <v>2</v>
      </c>
      <c r="O155" s="663">
        <v>3</v>
      </c>
      <c r="P155" s="662">
        <v>4</v>
      </c>
      <c r="Q155" s="662">
        <v>3</v>
      </c>
      <c r="R155" s="648">
        <f>SUM(M155:Q155)</f>
        <v>15</v>
      </c>
      <c r="S155" s="648">
        <f>V155+Q155</f>
        <v>10</v>
      </c>
      <c r="T155" s="648">
        <f>W155+Q155</f>
        <v>9</v>
      </c>
      <c r="U155" s="648">
        <f>X155+Q155</f>
        <v>10</v>
      </c>
      <c r="V155" s="648">
        <f>M155+P155</f>
        <v>7</v>
      </c>
      <c r="W155" s="648">
        <f>N155+P155</f>
        <v>6</v>
      </c>
      <c r="X155" s="648">
        <f>O155+P155</f>
        <v>7</v>
      </c>
      <c r="Y155" s="21" t="str">
        <f>_xlfn.XLOOKUP(AA155,Combos!AU:AU,Combos!AT:AT,"",0,1)</f>
        <v/>
      </c>
      <c r="Z155" s="8" t="s">
        <v>1558</v>
      </c>
      <c r="AA155" s="8" t="s">
        <v>1558</v>
      </c>
      <c r="AB155" s="8" t="s">
        <v>1559</v>
      </c>
      <c r="AC155" s="659" t="s">
        <v>1560</v>
      </c>
      <c r="AD155" s="659" t="s">
        <v>1560</v>
      </c>
    </row>
    <row r="156" spans="1:30">
      <c r="A156" s="673" t="s">
        <v>668</v>
      </c>
      <c r="B156" s="651"/>
      <c r="C156" s="673">
        <v>1</v>
      </c>
      <c r="D156" s="655" t="s">
        <v>1561</v>
      </c>
      <c r="E156" s="21" t="str">
        <f>_xlfn.XLOOKUP(G156,Combos!AB:AB,Combos!AA:AA,"",0,1)</f>
        <v/>
      </c>
      <c r="G156" s="677" t="s">
        <v>1562</v>
      </c>
      <c r="H156" s="8" t="s">
        <v>1563</v>
      </c>
      <c r="I156" s="8" t="s">
        <v>1232</v>
      </c>
      <c r="K156" s="667" t="s">
        <v>1039</v>
      </c>
      <c r="L156" s="2">
        <f t="shared" si="16"/>
        <v>7</v>
      </c>
      <c r="M156" s="663">
        <v>4</v>
      </c>
      <c r="N156" s="663">
        <v>1</v>
      </c>
      <c r="O156" s="663">
        <v>3</v>
      </c>
      <c r="P156" s="663">
        <v>4</v>
      </c>
      <c r="Q156" s="663">
        <v>3</v>
      </c>
      <c r="R156" s="648">
        <f t="shared" si="17"/>
        <v>15</v>
      </c>
      <c r="S156" s="648">
        <f t="shared" si="18"/>
        <v>11</v>
      </c>
      <c r="T156" s="648">
        <f t="shared" si="19"/>
        <v>8</v>
      </c>
      <c r="U156" s="648">
        <f t="shared" si="20"/>
        <v>10</v>
      </c>
      <c r="V156" s="648">
        <f t="shared" si="21"/>
        <v>8</v>
      </c>
      <c r="W156" s="648">
        <f t="shared" si="22"/>
        <v>5</v>
      </c>
      <c r="X156" s="648">
        <f t="shared" si="23"/>
        <v>7</v>
      </c>
      <c r="Y156" s="21" t="str">
        <f>_xlfn.XLOOKUP(AA156,Combos!AU:AU,Combos!AT:AT,"",0,1)</f>
        <v/>
      </c>
      <c r="Z156" s="8" t="s">
        <v>1564</v>
      </c>
      <c r="AA156" s="8" t="s">
        <v>1564</v>
      </c>
      <c r="AB156" s="8" t="s">
        <v>1565</v>
      </c>
      <c r="AC156" s="8" t="s">
        <v>1566</v>
      </c>
      <c r="AD156" s="8" t="s">
        <v>1566</v>
      </c>
    </row>
    <row r="157" spans="1:30">
      <c r="A157" s="21" t="s">
        <v>748</v>
      </c>
      <c r="B157" s="649">
        <v>1</v>
      </c>
      <c r="D157" s="21" t="s">
        <v>748</v>
      </c>
      <c r="E157" s="21" t="str">
        <f>_xlfn.XLOOKUP(G157,Combos!AB:AB,Combos!AA:AA,"",0,1)</f>
        <v/>
      </c>
      <c r="F157" s="21" t="s">
        <v>748</v>
      </c>
      <c r="G157" s="650" t="s">
        <v>1567</v>
      </c>
      <c r="H157" s="8" t="s">
        <v>1568</v>
      </c>
      <c r="I157" s="659" t="s">
        <v>1569</v>
      </c>
      <c r="K157" s="668" t="s">
        <v>1039</v>
      </c>
      <c r="L157" s="661">
        <f t="shared" si="16"/>
        <v>6</v>
      </c>
      <c r="M157" s="662">
        <v>4</v>
      </c>
      <c r="N157" s="662">
        <v>2</v>
      </c>
      <c r="O157" s="662">
        <v>3</v>
      </c>
      <c r="P157" s="662">
        <v>2</v>
      </c>
      <c r="Q157" s="662">
        <v>4</v>
      </c>
      <c r="R157" s="648">
        <f t="shared" si="17"/>
        <v>15</v>
      </c>
      <c r="S157" s="648">
        <f t="shared" si="18"/>
        <v>10</v>
      </c>
      <c r="T157" s="648">
        <f t="shared" si="19"/>
        <v>8</v>
      </c>
      <c r="U157" s="648">
        <f t="shared" si="20"/>
        <v>9</v>
      </c>
      <c r="V157" s="648">
        <f t="shared" si="21"/>
        <v>6</v>
      </c>
      <c r="W157" s="648">
        <f t="shared" si="22"/>
        <v>4</v>
      </c>
      <c r="X157" s="648">
        <f t="shared" si="23"/>
        <v>5</v>
      </c>
      <c r="Y157" s="21" t="str">
        <f>_xlfn.XLOOKUP(AA157,Combos!AU:AU,Combos!AT:AT,"",0,1)</f>
        <v/>
      </c>
      <c r="Z157" s="659" t="s">
        <v>1570</v>
      </c>
      <c r="AA157" s="659" t="s">
        <v>1570</v>
      </c>
      <c r="AB157" s="659" t="s">
        <v>1571</v>
      </c>
      <c r="AC157" s="8" t="s">
        <v>1572</v>
      </c>
      <c r="AD157" s="8" t="s">
        <v>1572</v>
      </c>
    </row>
    <row r="158" spans="1:30">
      <c r="A158" s="21" t="s">
        <v>668</v>
      </c>
      <c r="B158" s="651"/>
      <c r="C158" s="21">
        <v>1</v>
      </c>
      <c r="D158" s="655" t="s">
        <v>748</v>
      </c>
      <c r="E158" s="21" t="str">
        <f>_xlfn.XLOOKUP(G158,Combos!AB:AB,Combos!AA:AA,"",0,1)</f>
        <v/>
      </c>
      <c r="F158" s="21" t="s">
        <v>748</v>
      </c>
      <c r="G158" s="650" t="s">
        <v>1573</v>
      </c>
      <c r="H158" s="8" t="s">
        <v>1574</v>
      </c>
      <c r="I158" s="8" t="s">
        <v>1188</v>
      </c>
      <c r="K158" s="668" t="s">
        <v>646</v>
      </c>
      <c r="L158" s="2">
        <f t="shared" si="16"/>
        <v>7</v>
      </c>
      <c r="M158" s="662">
        <v>4</v>
      </c>
      <c r="N158" s="663">
        <v>1</v>
      </c>
      <c r="O158" s="663">
        <v>3</v>
      </c>
      <c r="P158" s="663">
        <v>3</v>
      </c>
      <c r="Q158" s="663">
        <v>4</v>
      </c>
      <c r="R158" s="648">
        <f t="shared" si="17"/>
        <v>15</v>
      </c>
      <c r="S158" s="648">
        <f t="shared" si="18"/>
        <v>11</v>
      </c>
      <c r="T158" s="648">
        <f t="shared" si="19"/>
        <v>8</v>
      </c>
      <c r="U158" s="648">
        <f t="shared" si="20"/>
        <v>10</v>
      </c>
      <c r="V158" s="648">
        <f t="shared" si="21"/>
        <v>7</v>
      </c>
      <c r="W158" s="648">
        <f t="shared" si="22"/>
        <v>4</v>
      </c>
      <c r="X158" s="648">
        <f t="shared" si="23"/>
        <v>6</v>
      </c>
      <c r="Y158" s="21" t="str">
        <f>_xlfn.XLOOKUP(AA158,Combos!AU:AU,Combos!AT:AT,"",0,1)</f>
        <v/>
      </c>
      <c r="Z158" s="8" t="s">
        <v>1575</v>
      </c>
      <c r="AA158" s="8" t="s">
        <v>1575</v>
      </c>
      <c r="AB158" s="8" t="s">
        <v>1574</v>
      </c>
      <c r="AC158" s="659" t="s">
        <v>1576</v>
      </c>
      <c r="AD158" s="659" t="s">
        <v>1577</v>
      </c>
    </row>
    <row r="159" spans="1:30">
      <c r="A159" s="21" t="s">
        <v>748</v>
      </c>
      <c r="B159" s="649">
        <v>1</v>
      </c>
      <c r="D159" s="21" t="s">
        <v>748</v>
      </c>
      <c r="E159" s="21" t="str">
        <f>_xlfn.XLOOKUP(G159,Combos!AB:AB,Combos!AA:AA,"",0,1)</f>
        <v/>
      </c>
      <c r="F159" s="21" t="s">
        <v>748</v>
      </c>
      <c r="G159" s="650" t="s">
        <v>1578</v>
      </c>
      <c r="H159" s="8" t="s">
        <v>1579</v>
      </c>
      <c r="I159" s="659" t="s">
        <v>1580</v>
      </c>
      <c r="K159" s="668" t="s">
        <v>1039</v>
      </c>
      <c r="L159" s="661">
        <f t="shared" si="16"/>
        <v>7</v>
      </c>
      <c r="M159" s="662">
        <v>4</v>
      </c>
      <c r="N159" s="662">
        <v>1</v>
      </c>
      <c r="O159" s="662">
        <v>3</v>
      </c>
      <c r="P159" s="662">
        <v>3</v>
      </c>
      <c r="Q159" s="662">
        <v>4</v>
      </c>
      <c r="R159" s="648">
        <f t="shared" si="17"/>
        <v>15</v>
      </c>
      <c r="S159" s="648">
        <f t="shared" si="18"/>
        <v>11</v>
      </c>
      <c r="T159" s="648">
        <f t="shared" si="19"/>
        <v>8</v>
      </c>
      <c r="U159" s="648">
        <f t="shared" si="20"/>
        <v>10</v>
      </c>
      <c r="V159" s="648">
        <f t="shared" si="21"/>
        <v>7</v>
      </c>
      <c r="W159" s="648">
        <f t="shared" si="22"/>
        <v>4</v>
      </c>
      <c r="X159" s="648">
        <f t="shared" si="23"/>
        <v>6</v>
      </c>
      <c r="Y159" s="21" t="str">
        <f>_xlfn.XLOOKUP(AA159,Combos!AU:AU,Combos!AT:AT,"",0,1)</f>
        <v/>
      </c>
      <c r="Z159" s="659" t="s">
        <v>1581</v>
      </c>
      <c r="AA159" s="659" t="s">
        <v>1581</v>
      </c>
      <c r="AB159" s="659" t="s">
        <v>1582</v>
      </c>
      <c r="AC159" s="8" t="s">
        <v>1583</v>
      </c>
      <c r="AD159" s="8" t="s">
        <v>1583</v>
      </c>
    </row>
    <row r="160" spans="1:30">
      <c r="A160" s="21" t="s">
        <v>668</v>
      </c>
      <c r="B160" s="651"/>
      <c r="C160" s="21">
        <v>2</v>
      </c>
      <c r="D160" s="653" t="s">
        <v>748</v>
      </c>
      <c r="E160" s="21" t="str">
        <f>_xlfn.XLOOKUP(G160,Combos!AB:AB,Combos!AA:AA,"",0,1)</f>
        <v/>
      </c>
      <c r="F160" s="21" t="s">
        <v>748</v>
      </c>
      <c r="G160" s="650" t="s">
        <v>1584</v>
      </c>
      <c r="H160" s="8" t="s">
        <v>1585</v>
      </c>
      <c r="I160" s="8" t="s">
        <v>1069</v>
      </c>
      <c r="K160" s="668" t="s">
        <v>654</v>
      </c>
      <c r="L160" s="2">
        <f t="shared" si="16"/>
        <v>7</v>
      </c>
      <c r="M160" s="662">
        <v>4</v>
      </c>
      <c r="N160" s="662">
        <v>1</v>
      </c>
      <c r="O160" s="662">
        <v>3</v>
      </c>
      <c r="P160" s="662">
        <v>3</v>
      </c>
      <c r="Q160" s="662">
        <v>4</v>
      </c>
      <c r="R160" s="648">
        <f t="shared" si="17"/>
        <v>15</v>
      </c>
      <c r="S160" s="648">
        <f t="shared" si="18"/>
        <v>11</v>
      </c>
      <c r="T160" s="648">
        <f t="shared" si="19"/>
        <v>8</v>
      </c>
      <c r="U160" s="648">
        <f t="shared" si="20"/>
        <v>10</v>
      </c>
      <c r="V160" s="648">
        <f t="shared" si="21"/>
        <v>7</v>
      </c>
      <c r="W160" s="648">
        <f t="shared" si="22"/>
        <v>4</v>
      </c>
      <c r="X160" s="648">
        <f t="shared" si="23"/>
        <v>6</v>
      </c>
      <c r="Y160" s="21" t="str">
        <f>_xlfn.XLOOKUP(AA160,Combos!AU:AU,Combos!AT:AT,"",0,1)</f>
        <v/>
      </c>
      <c r="Z160" s="8" t="s">
        <v>1586</v>
      </c>
      <c r="AA160" s="8" t="s">
        <v>1586</v>
      </c>
      <c r="AB160" s="8" t="s">
        <v>1587</v>
      </c>
      <c r="AC160" s="8" t="s">
        <v>1588</v>
      </c>
      <c r="AD160" s="8" t="s">
        <v>1589</v>
      </c>
    </row>
    <row r="161" spans="1:30">
      <c r="A161" s="21" t="s">
        <v>748</v>
      </c>
      <c r="B161" s="649">
        <v>1</v>
      </c>
      <c r="D161" s="21" t="s">
        <v>748</v>
      </c>
      <c r="E161" s="21" t="str">
        <f>_xlfn.XLOOKUP(G161,Combos!AB:AB,Combos!AA:AA,"",0,1)</f>
        <v/>
      </c>
      <c r="F161" s="21" t="s">
        <v>748</v>
      </c>
      <c r="G161" s="677" t="s">
        <v>1590</v>
      </c>
      <c r="H161" s="8" t="s">
        <v>1591</v>
      </c>
      <c r="I161" s="659" t="s">
        <v>808</v>
      </c>
      <c r="K161" s="7" t="s">
        <v>1039</v>
      </c>
      <c r="L161" s="661">
        <f t="shared" si="16"/>
        <v>5</v>
      </c>
      <c r="M161" s="663">
        <v>4</v>
      </c>
      <c r="N161" s="663">
        <v>3</v>
      </c>
      <c r="O161" s="663">
        <v>3</v>
      </c>
      <c r="P161" s="662">
        <v>3</v>
      </c>
      <c r="Q161" s="662">
        <v>2</v>
      </c>
      <c r="R161" s="648">
        <f t="shared" si="17"/>
        <v>15</v>
      </c>
      <c r="S161" s="648">
        <f t="shared" si="18"/>
        <v>9</v>
      </c>
      <c r="T161" s="648">
        <f t="shared" si="19"/>
        <v>8</v>
      </c>
      <c r="U161" s="648">
        <f t="shared" si="20"/>
        <v>8</v>
      </c>
      <c r="V161" s="648">
        <f t="shared" si="21"/>
        <v>7</v>
      </c>
      <c r="W161" s="648">
        <f t="shared" si="22"/>
        <v>6</v>
      </c>
      <c r="X161" s="648">
        <f t="shared" si="23"/>
        <v>6</v>
      </c>
      <c r="Y161" s="21" t="str">
        <f>_xlfn.XLOOKUP(AA161,Combos!AU:AU,Combos!AT:AT,"",0,1)</f>
        <v/>
      </c>
      <c r="Z161" s="659" t="s">
        <v>1592</v>
      </c>
      <c r="AA161" s="659" t="s">
        <v>1592</v>
      </c>
      <c r="AB161" s="659" t="s">
        <v>1593</v>
      </c>
      <c r="AC161" s="8" t="s">
        <v>1084</v>
      </c>
      <c r="AD161" s="8" t="s">
        <v>1084</v>
      </c>
    </row>
    <row r="162" spans="1:30">
      <c r="A162" s="21" t="s">
        <v>668</v>
      </c>
      <c r="B162" s="651"/>
      <c r="C162" s="21" t="s">
        <v>746</v>
      </c>
      <c r="D162" s="21" t="s">
        <v>748</v>
      </c>
      <c r="E162" s="21" t="str">
        <f>_xlfn.XLOOKUP(G162,Combos!AB:AB,Combos!AA:AA,"",0,1)</f>
        <v/>
      </c>
      <c r="F162" s="21" t="s">
        <v>748</v>
      </c>
      <c r="G162" s="677" t="s">
        <v>1594</v>
      </c>
      <c r="H162" s="8" t="s">
        <v>1595</v>
      </c>
      <c r="I162" s="8" t="s">
        <v>1365</v>
      </c>
      <c r="K162" s="7" t="s">
        <v>654</v>
      </c>
      <c r="L162" s="2">
        <f t="shared" si="16"/>
        <v>6</v>
      </c>
      <c r="M162" s="663">
        <v>4</v>
      </c>
      <c r="N162" s="663">
        <v>2</v>
      </c>
      <c r="O162" s="663">
        <v>3</v>
      </c>
      <c r="P162" s="663">
        <v>3</v>
      </c>
      <c r="Q162" s="663">
        <v>3</v>
      </c>
      <c r="R162" s="648">
        <f t="shared" si="17"/>
        <v>15</v>
      </c>
      <c r="S162" s="648">
        <f t="shared" si="18"/>
        <v>10</v>
      </c>
      <c r="T162" s="648">
        <f t="shared" si="19"/>
        <v>8</v>
      </c>
      <c r="U162" s="648">
        <f t="shared" si="20"/>
        <v>9</v>
      </c>
      <c r="V162" s="648">
        <f t="shared" si="21"/>
        <v>7</v>
      </c>
      <c r="W162" s="648">
        <f t="shared" si="22"/>
        <v>5</v>
      </c>
      <c r="X162" s="648">
        <f t="shared" si="23"/>
        <v>6</v>
      </c>
      <c r="Y162" s="21" t="str">
        <f>_xlfn.XLOOKUP(AA162,Combos!AU:AU,Combos!AT:AT,"",0,1)</f>
        <v/>
      </c>
      <c r="Z162" s="8" t="s">
        <v>1596</v>
      </c>
      <c r="AA162" s="8" t="s">
        <v>1596</v>
      </c>
      <c r="AB162" s="8" t="s">
        <v>1595</v>
      </c>
      <c r="AC162" s="676" t="s">
        <v>1411</v>
      </c>
      <c r="AD162" s="676" t="s">
        <v>1411</v>
      </c>
    </row>
    <row r="163" spans="1:30">
      <c r="A163" s="21" t="s">
        <v>668</v>
      </c>
      <c r="B163" s="651"/>
      <c r="C163" s="21">
        <v>2</v>
      </c>
      <c r="D163" s="653" t="s">
        <v>748</v>
      </c>
      <c r="E163" s="21" t="str">
        <f>_xlfn.XLOOKUP(G163,Combos!AB:AB,Combos!AA:AA,"",0,1)</f>
        <v/>
      </c>
      <c r="F163" s="21" t="s">
        <v>748</v>
      </c>
      <c r="G163" s="677" t="s">
        <v>1597</v>
      </c>
      <c r="H163" s="8" t="s">
        <v>1598</v>
      </c>
      <c r="I163" s="8" t="s">
        <v>942</v>
      </c>
      <c r="K163" s="7" t="s">
        <v>1039</v>
      </c>
      <c r="L163" s="2">
        <f t="shared" si="16"/>
        <v>5</v>
      </c>
      <c r="M163" s="662">
        <v>4</v>
      </c>
      <c r="N163" s="662">
        <v>3</v>
      </c>
      <c r="O163" s="662">
        <v>3</v>
      </c>
      <c r="P163" s="662">
        <v>3</v>
      </c>
      <c r="Q163" s="662">
        <v>2</v>
      </c>
      <c r="R163" s="648">
        <f t="shared" si="17"/>
        <v>15</v>
      </c>
      <c r="S163" s="648">
        <f t="shared" si="18"/>
        <v>9</v>
      </c>
      <c r="T163" s="648">
        <f t="shared" si="19"/>
        <v>8</v>
      </c>
      <c r="U163" s="648">
        <f t="shared" si="20"/>
        <v>8</v>
      </c>
      <c r="V163" s="648">
        <f t="shared" si="21"/>
        <v>7</v>
      </c>
      <c r="W163" s="648">
        <f t="shared" si="22"/>
        <v>6</v>
      </c>
      <c r="X163" s="648">
        <f t="shared" si="23"/>
        <v>6</v>
      </c>
      <c r="Y163" s="21" t="str">
        <f>_xlfn.XLOOKUP(AA163,Combos!AU:AU,Combos!AT:AT,"",0,1)</f>
        <v/>
      </c>
      <c r="Z163" s="8" t="s">
        <v>1599</v>
      </c>
      <c r="AA163" s="8" t="s">
        <v>1599</v>
      </c>
      <c r="AB163" s="8" t="s">
        <v>1600</v>
      </c>
      <c r="AC163" s="659" t="s">
        <v>1601</v>
      </c>
      <c r="AD163" s="659" t="s">
        <v>1601</v>
      </c>
    </row>
    <row r="164" spans="1:30">
      <c r="A164" s="21" t="s">
        <v>738</v>
      </c>
      <c r="B164" s="651"/>
      <c r="C164" s="21" t="s">
        <v>746</v>
      </c>
      <c r="D164" s="21" t="s">
        <v>748</v>
      </c>
      <c r="E164" s="21" t="str">
        <f>_xlfn.XLOOKUP(G164,Combos!AB:AB,Combos!AA:AA,"",0,1)</f>
        <v/>
      </c>
      <c r="F164" s="21" t="s">
        <v>748</v>
      </c>
      <c r="G164" s="650" t="s">
        <v>1602</v>
      </c>
      <c r="H164" s="8" t="s">
        <v>1603</v>
      </c>
      <c r="I164" s="8" t="s">
        <v>1153</v>
      </c>
      <c r="K164" s="7" t="s">
        <v>654</v>
      </c>
      <c r="L164" s="2">
        <f t="shared" si="16"/>
        <v>5</v>
      </c>
      <c r="M164" s="662">
        <v>4</v>
      </c>
      <c r="N164" s="663">
        <v>3</v>
      </c>
      <c r="O164" s="663">
        <v>3</v>
      </c>
      <c r="P164" s="662">
        <v>3</v>
      </c>
      <c r="Q164" s="662">
        <v>2</v>
      </c>
      <c r="R164" s="648">
        <f t="shared" si="17"/>
        <v>15</v>
      </c>
      <c r="S164" s="648">
        <f t="shared" si="18"/>
        <v>9</v>
      </c>
      <c r="T164" s="648">
        <f t="shared" si="19"/>
        <v>8</v>
      </c>
      <c r="U164" s="648">
        <f t="shared" si="20"/>
        <v>8</v>
      </c>
      <c r="V164" s="648">
        <f t="shared" si="21"/>
        <v>7</v>
      </c>
      <c r="W164" s="648">
        <f t="shared" si="22"/>
        <v>6</v>
      </c>
      <c r="X164" s="648">
        <f t="shared" si="23"/>
        <v>6</v>
      </c>
      <c r="Y164" s="21" t="str">
        <f>_xlfn.XLOOKUP(AA164,Combos!AU:AU,Combos!AT:AT,"",0,1)</f>
        <v/>
      </c>
      <c r="Z164" s="8" t="s">
        <v>1604</v>
      </c>
      <c r="AA164" s="8" t="s">
        <v>1604</v>
      </c>
      <c r="AB164" s="8" t="s">
        <v>1603</v>
      </c>
      <c r="AC164" s="8" t="s">
        <v>1605</v>
      </c>
      <c r="AD164" s="8" t="s">
        <v>1605</v>
      </c>
    </row>
    <row r="165" spans="1:30">
      <c r="A165" s="673" t="s">
        <v>668</v>
      </c>
      <c r="B165" s="651"/>
      <c r="C165" s="673">
        <v>2</v>
      </c>
      <c r="D165" s="653" t="s">
        <v>748</v>
      </c>
      <c r="E165" s="21" t="str">
        <f>_xlfn.XLOOKUP(G165,Combos!AB:AB,Combos!AA:AA,"",0,1)</f>
        <v/>
      </c>
      <c r="F165" s="21" t="s">
        <v>748</v>
      </c>
      <c r="G165" s="650" t="s">
        <v>1606</v>
      </c>
      <c r="H165" s="8" t="s">
        <v>1607</v>
      </c>
      <c r="I165" s="8" t="s">
        <v>1583</v>
      </c>
      <c r="K165" s="7" t="s">
        <v>1039</v>
      </c>
      <c r="L165" s="2">
        <f t="shared" si="16"/>
        <v>5</v>
      </c>
      <c r="M165" s="662">
        <v>4</v>
      </c>
      <c r="N165" s="662">
        <v>3</v>
      </c>
      <c r="O165" s="662">
        <v>3</v>
      </c>
      <c r="P165" s="662">
        <v>2</v>
      </c>
      <c r="Q165" s="662">
        <v>3</v>
      </c>
      <c r="R165" s="648">
        <f t="shared" si="17"/>
        <v>15</v>
      </c>
      <c r="S165" s="648">
        <f t="shared" si="18"/>
        <v>9</v>
      </c>
      <c r="T165" s="648">
        <f t="shared" si="19"/>
        <v>8</v>
      </c>
      <c r="U165" s="648">
        <f t="shared" si="20"/>
        <v>8</v>
      </c>
      <c r="V165" s="648">
        <f t="shared" si="21"/>
        <v>6</v>
      </c>
      <c r="W165" s="648">
        <f t="shared" si="22"/>
        <v>5</v>
      </c>
      <c r="X165" s="648">
        <f t="shared" si="23"/>
        <v>5</v>
      </c>
      <c r="Y165" s="21" t="str">
        <f>_xlfn.XLOOKUP(AA165,Combos!AU:AU,Combos!AT:AT,"",0,1)</f>
        <v/>
      </c>
      <c r="Z165" s="8" t="s">
        <v>1608</v>
      </c>
      <c r="AA165" s="8" t="s">
        <v>1608</v>
      </c>
      <c r="AB165" s="8" t="s">
        <v>1609</v>
      </c>
      <c r="AC165" s="8" t="s">
        <v>1610</v>
      </c>
      <c r="AD165" s="8" t="s">
        <v>1610</v>
      </c>
    </row>
    <row r="166" spans="1:30">
      <c r="A166" s="21" t="s">
        <v>668</v>
      </c>
      <c r="B166" s="651"/>
      <c r="C166" s="21" t="s">
        <v>746</v>
      </c>
      <c r="D166" s="21" t="s">
        <v>748</v>
      </c>
      <c r="E166" s="21" t="str">
        <f>_xlfn.XLOOKUP(G166,Combos!AB:AB,Combos!AA:AA,"",0,1)</f>
        <v/>
      </c>
      <c r="F166" s="21" t="s">
        <v>748</v>
      </c>
      <c r="G166" s="650" t="s">
        <v>1611</v>
      </c>
      <c r="H166" s="8" t="s">
        <v>1612</v>
      </c>
      <c r="I166" s="8" t="s">
        <v>1324</v>
      </c>
      <c r="K166" s="7" t="s">
        <v>654</v>
      </c>
      <c r="L166" s="2">
        <f t="shared" si="16"/>
        <v>5</v>
      </c>
      <c r="M166" s="662">
        <v>4</v>
      </c>
      <c r="N166" s="662">
        <v>3</v>
      </c>
      <c r="O166" s="662">
        <v>3</v>
      </c>
      <c r="P166" s="662">
        <v>2</v>
      </c>
      <c r="Q166" s="662">
        <v>3</v>
      </c>
      <c r="R166" s="648">
        <f t="shared" si="17"/>
        <v>15</v>
      </c>
      <c r="S166" s="648">
        <f t="shared" si="18"/>
        <v>9</v>
      </c>
      <c r="T166" s="648">
        <f t="shared" si="19"/>
        <v>8</v>
      </c>
      <c r="U166" s="648">
        <f t="shared" si="20"/>
        <v>8</v>
      </c>
      <c r="V166" s="648">
        <f t="shared" si="21"/>
        <v>6</v>
      </c>
      <c r="W166" s="648">
        <f t="shared" si="22"/>
        <v>5</v>
      </c>
      <c r="X166" s="648">
        <f t="shared" si="23"/>
        <v>5</v>
      </c>
      <c r="Y166" s="21" t="str">
        <f>_xlfn.XLOOKUP(AA166,Combos!AU:AU,Combos!AT:AT,"",0,1)</f>
        <v/>
      </c>
      <c r="Z166" s="8" t="s">
        <v>1613</v>
      </c>
      <c r="AA166" s="8" t="s">
        <v>1613</v>
      </c>
      <c r="AB166" s="8" t="s">
        <v>1612</v>
      </c>
      <c r="AC166" s="8" t="s">
        <v>1332</v>
      </c>
      <c r="AD166" s="8" t="s">
        <v>1332</v>
      </c>
    </row>
    <row r="167" spans="1:30">
      <c r="A167" s="21" t="s">
        <v>668</v>
      </c>
      <c r="B167" s="651"/>
      <c r="C167" s="21">
        <v>2</v>
      </c>
      <c r="D167" s="653" t="s">
        <v>748</v>
      </c>
      <c r="E167" s="21" t="str">
        <f>_xlfn.XLOOKUP(G167,Combos!AB:AB,Combos!AA:AA,"",0,1)</f>
        <v/>
      </c>
      <c r="F167" s="21" t="s">
        <v>748</v>
      </c>
      <c r="G167" s="650" t="s">
        <v>1614</v>
      </c>
      <c r="H167" s="8" t="s">
        <v>1615</v>
      </c>
      <c r="I167" s="8" t="s">
        <v>823</v>
      </c>
      <c r="K167" s="7" t="s">
        <v>646</v>
      </c>
      <c r="L167" s="2">
        <f t="shared" si="16"/>
        <v>6</v>
      </c>
      <c r="M167" s="663">
        <v>4</v>
      </c>
      <c r="N167" s="663">
        <v>2</v>
      </c>
      <c r="O167" s="663">
        <v>3</v>
      </c>
      <c r="P167" s="662">
        <v>3</v>
      </c>
      <c r="Q167" s="662">
        <v>3</v>
      </c>
      <c r="R167" s="648">
        <f t="shared" si="17"/>
        <v>15</v>
      </c>
      <c r="S167" s="648">
        <f t="shared" si="18"/>
        <v>10</v>
      </c>
      <c r="T167" s="648">
        <f t="shared" si="19"/>
        <v>8</v>
      </c>
      <c r="U167" s="648">
        <f t="shared" si="20"/>
        <v>9</v>
      </c>
      <c r="V167" s="648">
        <f t="shared" si="21"/>
        <v>7</v>
      </c>
      <c r="W167" s="648">
        <f t="shared" si="22"/>
        <v>5</v>
      </c>
      <c r="X167" s="648">
        <f t="shared" si="23"/>
        <v>6</v>
      </c>
      <c r="Y167" s="21" t="str">
        <f>_xlfn.XLOOKUP(AA167,Combos!AU:AU,Combos!AT:AT,"",0,1)</f>
        <v/>
      </c>
      <c r="Z167" s="8" t="s">
        <v>1616</v>
      </c>
      <c r="AA167" s="8" t="s">
        <v>1616</v>
      </c>
      <c r="AB167" s="8" t="s">
        <v>1617</v>
      </c>
      <c r="AC167" s="8" t="s">
        <v>1618</v>
      </c>
      <c r="AD167" s="8" t="s">
        <v>1618</v>
      </c>
    </row>
    <row r="168" spans="1:30">
      <c r="A168" s="673" t="s">
        <v>668</v>
      </c>
      <c r="B168" s="651"/>
      <c r="C168" s="673">
        <v>2</v>
      </c>
      <c r="D168" s="653" t="s">
        <v>748</v>
      </c>
      <c r="E168" s="21" t="str">
        <f>_xlfn.XLOOKUP(G168,Combos!AB:AB,Combos!AA:AA,"",0,1)</f>
        <v/>
      </c>
      <c r="F168" s="21" t="s">
        <v>748</v>
      </c>
      <c r="G168" s="650" t="s">
        <v>1619</v>
      </c>
      <c r="H168" s="8" t="s">
        <v>1620</v>
      </c>
      <c r="I168" s="8" t="s">
        <v>1544</v>
      </c>
      <c r="K168" s="7" t="s">
        <v>1039</v>
      </c>
      <c r="L168" s="2">
        <f t="shared" si="16"/>
        <v>5</v>
      </c>
      <c r="M168" s="662">
        <v>4</v>
      </c>
      <c r="N168" s="663">
        <v>3</v>
      </c>
      <c r="O168" s="663">
        <v>3</v>
      </c>
      <c r="P168" s="662">
        <v>3</v>
      </c>
      <c r="Q168" s="662">
        <v>2</v>
      </c>
      <c r="R168" s="648">
        <f t="shared" si="17"/>
        <v>15</v>
      </c>
      <c r="S168" s="648">
        <f t="shared" si="18"/>
        <v>9</v>
      </c>
      <c r="T168" s="648">
        <f t="shared" si="19"/>
        <v>8</v>
      </c>
      <c r="U168" s="648">
        <f t="shared" si="20"/>
        <v>8</v>
      </c>
      <c r="V168" s="648">
        <f t="shared" si="21"/>
        <v>7</v>
      </c>
      <c r="W168" s="648">
        <f t="shared" si="22"/>
        <v>6</v>
      </c>
      <c r="X168" s="648">
        <f t="shared" si="23"/>
        <v>6</v>
      </c>
      <c r="Y168" s="21" t="str">
        <f>_xlfn.XLOOKUP(AA168,Combos!AU:AU,Combos!AT:AT,"",0,1)</f>
        <v/>
      </c>
      <c r="Z168" s="8" t="s">
        <v>1621</v>
      </c>
      <c r="AA168" s="8" t="s">
        <v>1621</v>
      </c>
      <c r="AB168" s="8" t="s">
        <v>1622</v>
      </c>
      <c r="AC168" s="665" t="s">
        <v>1623</v>
      </c>
      <c r="AD168" s="665" t="s">
        <v>1624</v>
      </c>
    </row>
    <row r="169" ht="27" spans="1:30">
      <c r="A169" s="21" t="s">
        <v>748</v>
      </c>
      <c r="B169" s="651"/>
      <c r="D169" s="21" t="s">
        <v>748</v>
      </c>
      <c r="E169" s="21" t="str">
        <f>_xlfn.XLOOKUP(G169,Combos!AB:AB,Combos!AA:AA,"",0,1)</f>
        <v/>
      </c>
      <c r="F169" s="21" t="s">
        <v>748</v>
      </c>
      <c r="G169" s="650" t="s">
        <v>1625</v>
      </c>
      <c r="H169" s="8" t="s">
        <v>1626</v>
      </c>
      <c r="I169" s="8" t="s">
        <v>1211</v>
      </c>
      <c r="K169" s="7" t="s">
        <v>654</v>
      </c>
      <c r="L169" s="2">
        <f t="shared" si="16"/>
        <v>6</v>
      </c>
      <c r="M169" s="662">
        <v>5</v>
      </c>
      <c r="N169" s="663">
        <v>1</v>
      </c>
      <c r="O169" s="663">
        <v>3</v>
      </c>
      <c r="P169" s="662">
        <v>3</v>
      </c>
      <c r="Q169" s="662">
        <v>3</v>
      </c>
      <c r="R169" s="648">
        <f t="shared" si="17"/>
        <v>15</v>
      </c>
      <c r="S169" s="648">
        <f t="shared" si="18"/>
        <v>11</v>
      </c>
      <c r="T169" s="648">
        <f t="shared" si="19"/>
        <v>7</v>
      </c>
      <c r="U169" s="648">
        <f t="shared" si="20"/>
        <v>9</v>
      </c>
      <c r="V169" s="648">
        <f t="shared" si="21"/>
        <v>8</v>
      </c>
      <c r="W169" s="648">
        <f t="shared" si="22"/>
        <v>4</v>
      </c>
      <c r="X169" s="648">
        <f t="shared" si="23"/>
        <v>6</v>
      </c>
      <c r="Y169" s="21" t="str">
        <f>_xlfn.XLOOKUP(AA169,Combos!AU:AU,Combos!AT:AT,"",0,1)</f>
        <v/>
      </c>
      <c r="Z169" s="8" t="s">
        <v>1627</v>
      </c>
      <c r="AA169" s="8" t="s">
        <v>1627</v>
      </c>
      <c r="AB169" s="8" t="s">
        <v>1628</v>
      </c>
      <c r="AC169" s="659" t="s">
        <v>1629</v>
      </c>
      <c r="AD169" s="659" t="s">
        <v>1630</v>
      </c>
    </row>
    <row r="170" ht="27" spans="1:30">
      <c r="A170" s="21" t="s">
        <v>668</v>
      </c>
      <c r="B170" s="651"/>
      <c r="C170" s="21">
        <v>2</v>
      </c>
      <c r="D170" s="653" t="s">
        <v>748</v>
      </c>
      <c r="E170" s="21" t="str">
        <f>_xlfn.XLOOKUP(G170,Combos!AB:AB,Combos!AA:AA,"",0,1)</f>
        <v/>
      </c>
      <c r="F170" s="21" t="s">
        <v>748</v>
      </c>
      <c r="G170" s="650" t="s">
        <v>1631</v>
      </c>
      <c r="H170" s="8" t="s">
        <v>1632</v>
      </c>
      <c r="I170" s="8" t="s">
        <v>1203</v>
      </c>
      <c r="K170" s="7" t="s">
        <v>646</v>
      </c>
      <c r="L170" s="2">
        <f t="shared" si="16"/>
        <v>6</v>
      </c>
      <c r="M170" s="663">
        <v>4</v>
      </c>
      <c r="N170" s="663">
        <v>2</v>
      </c>
      <c r="O170" s="663">
        <v>3</v>
      </c>
      <c r="P170" s="663">
        <v>3</v>
      </c>
      <c r="Q170" s="663">
        <v>3</v>
      </c>
      <c r="R170" s="648">
        <f t="shared" si="17"/>
        <v>15</v>
      </c>
      <c r="S170" s="648">
        <f t="shared" si="18"/>
        <v>10</v>
      </c>
      <c r="T170" s="648">
        <f t="shared" si="19"/>
        <v>8</v>
      </c>
      <c r="U170" s="648">
        <f t="shared" si="20"/>
        <v>9</v>
      </c>
      <c r="V170" s="648">
        <f t="shared" si="21"/>
        <v>7</v>
      </c>
      <c r="W170" s="648">
        <f t="shared" si="22"/>
        <v>5</v>
      </c>
      <c r="X170" s="648">
        <f t="shared" si="23"/>
        <v>6</v>
      </c>
      <c r="Y170" s="21" t="str">
        <f>_xlfn.XLOOKUP(AA170,Combos!AU:AU,Combos!AT:AT,"",0,1)</f>
        <v/>
      </c>
      <c r="Z170" s="8" t="s">
        <v>1633</v>
      </c>
      <c r="AA170" s="8" t="s">
        <v>1633</v>
      </c>
      <c r="AB170" s="8" t="s">
        <v>1634</v>
      </c>
      <c r="AC170" s="659" t="s">
        <v>1635</v>
      </c>
      <c r="AD170" s="659" t="s">
        <v>1636</v>
      </c>
    </row>
    <row r="171" spans="1:30">
      <c r="A171" s="651" t="s">
        <v>668</v>
      </c>
      <c r="B171" s="651"/>
      <c r="C171" s="651">
        <v>1</v>
      </c>
      <c r="D171" s="655" t="s">
        <v>1204</v>
      </c>
      <c r="E171" s="21" t="str">
        <f>_xlfn.XLOOKUP(G171,Combos!AB:AB,Combos!AA:AA,"",0,1)</f>
        <v/>
      </c>
      <c r="F171" s="21">
        <v>1</v>
      </c>
      <c r="G171" s="650" t="s">
        <v>1637</v>
      </c>
      <c r="H171" s="8" t="s">
        <v>1638</v>
      </c>
      <c r="I171" s="8" t="s">
        <v>1160</v>
      </c>
      <c r="K171" s="667" t="s">
        <v>914</v>
      </c>
      <c r="L171" s="2">
        <f t="shared" si="16"/>
        <v>8</v>
      </c>
      <c r="M171" s="662">
        <v>5</v>
      </c>
      <c r="N171" s="662">
        <v>1</v>
      </c>
      <c r="O171" s="662">
        <v>1</v>
      </c>
      <c r="P171" s="662">
        <v>5</v>
      </c>
      <c r="Q171" s="662">
        <v>3</v>
      </c>
      <c r="R171" s="648">
        <f t="shared" si="17"/>
        <v>15</v>
      </c>
      <c r="S171" s="648">
        <f t="shared" si="18"/>
        <v>13</v>
      </c>
      <c r="T171" s="648">
        <f t="shared" si="19"/>
        <v>9</v>
      </c>
      <c r="U171" s="648">
        <f t="shared" si="20"/>
        <v>9</v>
      </c>
      <c r="V171" s="648">
        <f t="shared" si="21"/>
        <v>10</v>
      </c>
      <c r="W171" s="648">
        <f t="shared" si="22"/>
        <v>6</v>
      </c>
      <c r="X171" s="648">
        <f t="shared" si="23"/>
        <v>6</v>
      </c>
      <c r="Y171" s="21" t="str">
        <f>_xlfn.XLOOKUP(AA171,Combos!AU:AU,Combos!AT:AT,"",0,1)</f>
        <v/>
      </c>
      <c r="Z171" s="8" t="s">
        <v>1639</v>
      </c>
      <c r="AA171" s="8" t="s">
        <v>1640</v>
      </c>
      <c r="AB171" s="8" t="s">
        <v>1641</v>
      </c>
      <c r="AC171" s="8" t="s">
        <v>1508</v>
      </c>
      <c r="AD171" s="8" t="s">
        <v>1508</v>
      </c>
    </row>
    <row r="172" spans="1:30">
      <c r="A172" s="21" t="s">
        <v>668</v>
      </c>
      <c r="B172" s="651"/>
      <c r="C172" s="21" t="s">
        <v>746</v>
      </c>
      <c r="D172" s="21" t="s">
        <v>748</v>
      </c>
      <c r="E172" s="21" t="str">
        <f>_xlfn.XLOOKUP(G172,Combos!AB:AB,Combos!AA:AA,"",0,1)</f>
        <v/>
      </c>
      <c r="F172" s="21" t="s">
        <v>748</v>
      </c>
      <c r="G172" s="652" t="s">
        <v>1642</v>
      </c>
      <c r="H172" s="8" t="s">
        <v>1643</v>
      </c>
      <c r="I172" s="8" t="s">
        <v>1081</v>
      </c>
      <c r="K172" s="7" t="s">
        <v>1039</v>
      </c>
      <c r="L172" s="2">
        <f t="shared" si="16"/>
        <v>6</v>
      </c>
      <c r="M172" s="663">
        <v>3</v>
      </c>
      <c r="N172" s="663">
        <v>3</v>
      </c>
      <c r="O172" s="663">
        <v>3</v>
      </c>
      <c r="P172" s="663">
        <v>3</v>
      </c>
      <c r="Q172" s="663">
        <v>3</v>
      </c>
      <c r="R172" s="648">
        <f t="shared" si="17"/>
        <v>15</v>
      </c>
      <c r="S172" s="648">
        <f t="shared" si="18"/>
        <v>9</v>
      </c>
      <c r="T172" s="648">
        <f t="shared" si="19"/>
        <v>9</v>
      </c>
      <c r="U172" s="648">
        <f t="shared" si="20"/>
        <v>9</v>
      </c>
      <c r="V172" s="648">
        <f t="shared" si="21"/>
        <v>6</v>
      </c>
      <c r="W172" s="648">
        <f t="shared" si="22"/>
        <v>6</v>
      </c>
      <c r="X172" s="648">
        <f t="shared" si="23"/>
        <v>6</v>
      </c>
      <c r="Y172" s="21" t="str">
        <f>_xlfn.XLOOKUP(AA172,Combos!AU:AU,Combos!AT:AT,"",0,1)</f>
        <v/>
      </c>
      <c r="Z172" s="8" t="s">
        <v>1081</v>
      </c>
      <c r="AA172" s="8" t="s">
        <v>1081</v>
      </c>
      <c r="AB172" s="8" t="s">
        <v>1643</v>
      </c>
      <c r="AC172" s="8" t="s">
        <v>1444</v>
      </c>
      <c r="AD172" s="8" t="s">
        <v>1444</v>
      </c>
    </row>
    <row r="173" spans="1:30">
      <c r="A173" s="673" t="s">
        <v>668</v>
      </c>
      <c r="B173" s="651"/>
      <c r="C173" s="673" t="s">
        <v>746</v>
      </c>
      <c r="D173" s="21" t="s">
        <v>748</v>
      </c>
      <c r="E173" s="21" t="str">
        <f>_xlfn.XLOOKUP(G173,Combos!AB:AB,Combos!AA:AA,"",0,1)</f>
        <v/>
      </c>
      <c r="F173" s="21" t="s">
        <v>748</v>
      </c>
      <c r="G173" s="652" t="s">
        <v>1644</v>
      </c>
      <c r="H173" s="8" t="s">
        <v>1645</v>
      </c>
      <c r="I173" s="8" t="s">
        <v>1414</v>
      </c>
      <c r="K173" s="7" t="s">
        <v>1039</v>
      </c>
      <c r="L173" s="2">
        <f t="shared" si="16"/>
        <v>6</v>
      </c>
      <c r="M173" s="663">
        <v>3</v>
      </c>
      <c r="N173" s="663">
        <v>3</v>
      </c>
      <c r="O173" s="663">
        <v>3</v>
      </c>
      <c r="P173" s="663">
        <v>3</v>
      </c>
      <c r="Q173" s="663">
        <v>3</v>
      </c>
      <c r="R173" s="648">
        <f t="shared" si="17"/>
        <v>15</v>
      </c>
      <c r="S173" s="648">
        <f t="shared" si="18"/>
        <v>9</v>
      </c>
      <c r="T173" s="648">
        <f t="shared" si="19"/>
        <v>9</v>
      </c>
      <c r="U173" s="648">
        <f t="shared" si="20"/>
        <v>9</v>
      </c>
      <c r="V173" s="648">
        <f t="shared" si="21"/>
        <v>6</v>
      </c>
      <c r="W173" s="648">
        <f t="shared" si="22"/>
        <v>6</v>
      </c>
      <c r="X173" s="648">
        <f t="shared" si="23"/>
        <v>6</v>
      </c>
      <c r="Y173" s="21" t="str">
        <f>_xlfn.XLOOKUP(AA173,Combos!AU:AU,Combos!AT:AT,"",0,1)</f>
        <v/>
      </c>
      <c r="Z173" s="8" t="s">
        <v>1414</v>
      </c>
      <c r="AA173" s="8" t="s">
        <v>1414</v>
      </c>
      <c r="AB173" s="8" t="s">
        <v>1645</v>
      </c>
      <c r="AC173" s="659" t="s">
        <v>1646</v>
      </c>
      <c r="AD173" s="659" t="s">
        <v>1646</v>
      </c>
    </row>
    <row r="174" spans="1:30">
      <c r="A174" s="21" t="s">
        <v>668</v>
      </c>
      <c r="B174" s="651"/>
      <c r="C174" s="21" t="s">
        <v>746</v>
      </c>
      <c r="D174" s="21" t="s">
        <v>748</v>
      </c>
      <c r="E174" s="21" t="str">
        <f>_xlfn.XLOOKUP(G174,Combos!AB:AB,Combos!AA:AA,"",0,1)</f>
        <v/>
      </c>
      <c r="F174" s="21" t="s">
        <v>748</v>
      </c>
      <c r="G174" s="652" t="s">
        <v>1647</v>
      </c>
      <c r="H174" s="8" t="s">
        <v>1648</v>
      </c>
      <c r="I174" s="8" t="s">
        <v>1649</v>
      </c>
      <c r="K174" s="7" t="s">
        <v>1039</v>
      </c>
      <c r="L174" s="2">
        <f t="shared" si="16"/>
        <v>6</v>
      </c>
      <c r="M174" s="663">
        <v>3</v>
      </c>
      <c r="N174" s="663">
        <v>3</v>
      </c>
      <c r="O174" s="663">
        <v>3</v>
      </c>
      <c r="P174" s="663">
        <v>3</v>
      </c>
      <c r="Q174" s="663">
        <v>3</v>
      </c>
      <c r="R174" s="648">
        <f t="shared" si="17"/>
        <v>15</v>
      </c>
      <c r="S174" s="648">
        <f t="shared" si="18"/>
        <v>9</v>
      </c>
      <c r="T174" s="648">
        <f t="shared" si="19"/>
        <v>9</v>
      </c>
      <c r="U174" s="648">
        <f t="shared" si="20"/>
        <v>9</v>
      </c>
      <c r="V174" s="648">
        <f t="shared" si="21"/>
        <v>6</v>
      </c>
      <c r="W174" s="648">
        <f t="shared" si="22"/>
        <v>6</v>
      </c>
      <c r="X174" s="648">
        <f t="shared" si="23"/>
        <v>6</v>
      </c>
      <c r="Y174" s="21" t="str">
        <f>_xlfn.XLOOKUP(AA174,Combos!AU:AU,Combos!AT:AT,"",0,1)</f>
        <v/>
      </c>
      <c r="Z174" s="8" t="s">
        <v>1649</v>
      </c>
      <c r="AA174" s="8" t="s">
        <v>1649</v>
      </c>
      <c r="AB174" s="8" t="s">
        <v>1648</v>
      </c>
      <c r="AC174" s="8" t="s">
        <v>1302</v>
      </c>
      <c r="AD174" s="8" t="s">
        <v>1302</v>
      </c>
    </row>
    <row r="175" spans="1:30">
      <c r="A175" s="21" t="s">
        <v>668</v>
      </c>
      <c r="B175" s="651"/>
      <c r="C175" s="21" t="s">
        <v>746</v>
      </c>
      <c r="D175" s="21" t="s">
        <v>748</v>
      </c>
      <c r="E175" s="21" t="str">
        <f>_xlfn.XLOOKUP(G175,Combos!AB:AB,Combos!AA:AA,"",0,1)</f>
        <v/>
      </c>
      <c r="F175" s="21" t="s">
        <v>748</v>
      </c>
      <c r="G175" s="652" t="s">
        <v>1650</v>
      </c>
      <c r="H175" s="8" t="s">
        <v>1651</v>
      </c>
      <c r="I175" s="8" t="s">
        <v>1170</v>
      </c>
      <c r="K175" s="660" t="s">
        <v>914</v>
      </c>
      <c r="L175" s="2">
        <f t="shared" si="16"/>
        <v>9</v>
      </c>
      <c r="M175" s="663">
        <v>1</v>
      </c>
      <c r="N175" s="663">
        <v>3</v>
      </c>
      <c r="O175" s="663">
        <v>2</v>
      </c>
      <c r="P175" s="663">
        <v>5</v>
      </c>
      <c r="Q175" s="663">
        <v>4</v>
      </c>
      <c r="R175" s="648">
        <f t="shared" si="17"/>
        <v>15</v>
      </c>
      <c r="S175" s="648">
        <f t="shared" si="18"/>
        <v>10</v>
      </c>
      <c r="T175" s="648">
        <f t="shared" si="19"/>
        <v>12</v>
      </c>
      <c r="U175" s="648">
        <f t="shared" si="20"/>
        <v>11</v>
      </c>
      <c r="V175" s="648">
        <f t="shared" si="21"/>
        <v>6</v>
      </c>
      <c r="W175" s="648">
        <f t="shared" si="22"/>
        <v>8</v>
      </c>
      <c r="X175" s="648">
        <f t="shared" si="23"/>
        <v>7</v>
      </c>
      <c r="Y175" s="21" t="str">
        <f>_xlfn.XLOOKUP(AA175,Combos!AU:AU,Combos!AT:AT,"",0,1)</f>
        <v/>
      </c>
      <c r="Z175" s="8" t="s">
        <v>1652</v>
      </c>
      <c r="AA175" s="8" t="s">
        <v>1653</v>
      </c>
      <c r="AB175" s="8" t="s">
        <v>1654</v>
      </c>
      <c r="AC175" s="8" t="s">
        <v>1256</v>
      </c>
      <c r="AD175" s="8" t="s">
        <v>1256</v>
      </c>
    </row>
    <row r="176" spans="1:30">
      <c r="A176" s="21" t="s">
        <v>748</v>
      </c>
      <c r="B176" s="651"/>
      <c r="D176" s="21" t="s">
        <v>748</v>
      </c>
      <c r="E176" s="21" t="str">
        <f>_xlfn.XLOOKUP(G176,Combos!AB:AB,Combos!AA:AA,"",0,1)</f>
        <v/>
      </c>
      <c r="F176" s="21" t="s">
        <v>748</v>
      </c>
      <c r="G176" s="652" t="s">
        <v>1655</v>
      </c>
      <c r="H176" s="8" t="s">
        <v>1656</v>
      </c>
      <c r="I176" s="8" t="s">
        <v>1447</v>
      </c>
      <c r="K176" s="7" t="s">
        <v>1039</v>
      </c>
      <c r="L176" s="2">
        <f t="shared" si="16"/>
        <v>6</v>
      </c>
      <c r="M176" s="663">
        <v>3</v>
      </c>
      <c r="N176" s="663">
        <v>3</v>
      </c>
      <c r="O176" s="663">
        <v>3</v>
      </c>
      <c r="P176" s="663">
        <v>3</v>
      </c>
      <c r="Q176" s="663">
        <v>3</v>
      </c>
      <c r="R176" s="648">
        <f t="shared" si="17"/>
        <v>15</v>
      </c>
      <c r="S176" s="648">
        <f t="shared" si="18"/>
        <v>9</v>
      </c>
      <c r="T176" s="648">
        <f t="shared" si="19"/>
        <v>9</v>
      </c>
      <c r="U176" s="648">
        <f t="shared" si="20"/>
        <v>9</v>
      </c>
      <c r="V176" s="648">
        <f t="shared" si="21"/>
        <v>6</v>
      </c>
      <c r="W176" s="648">
        <f t="shared" si="22"/>
        <v>6</v>
      </c>
      <c r="X176" s="648">
        <f t="shared" si="23"/>
        <v>6</v>
      </c>
      <c r="Y176" s="21" t="str">
        <f>_xlfn.XLOOKUP(AA176,Combos!AU:AU,Combos!AT:AT,"",0,1)</f>
        <v/>
      </c>
      <c r="Z176" s="8" t="s">
        <v>1447</v>
      </c>
      <c r="AA176" s="8" t="s">
        <v>1447</v>
      </c>
      <c r="AB176" s="8" t="s">
        <v>1657</v>
      </c>
      <c r="AC176" s="8" t="s">
        <v>1262</v>
      </c>
      <c r="AD176" s="8" t="s">
        <v>1262</v>
      </c>
    </row>
    <row r="177" spans="1:30">
      <c r="A177" s="21" t="s">
        <v>748</v>
      </c>
      <c r="B177" s="649">
        <v>1</v>
      </c>
      <c r="D177" s="21" t="s">
        <v>748</v>
      </c>
      <c r="E177" s="21" t="str">
        <f>_xlfn.XLOOKUP(G177,Combos!AB:AB,Combos!AA:AA,"",0,1)</f>
        <v/>
      </c>
      <c r="F177" s="21" t="s">
        <v>748</v>
      </c>
      <c r="G177" s="650" t="s">
        <v>1658</v>
      </c>
      <c r="H177" s="656" t="s">
        <v>1659</v>
      </c>
      <c r="I177" s="665" t="s">
        <v>1226</v>
      </c>
      <c r="K177" s="666" t="s">
        <v>914</v>
      </c>
      <c r="L177" s="661">
        <f t="shared" si="16"/>
        <v>2</v>
      </c>
      <c r="M177" s="662">
        <v>5</v>
      </c>
      <c r="N177" s="663">
        <v>4</v>
      </c>
      <c r="O177" s="663">
        <v>5</v>
      </c>
      <c r="P177" s="663">
        <v>1</v>
      </c>
      <c r="Q177" s="663">
        <v>1</v>
      </c>
      <c r="R177" s="654">
        <f t="shared" si="17"/>
        <v>16</v>
      </c>
      <c r="S177" s="648">
        <f t="shared" si="18"/>
        <v>7</v>
      </c>
      <c r="T177" s="648">
        <f t="shared" si="19"/>
        <v>6</v>
      </c>
      <c r="U177" s="648">
        <f t="shared" si="20"/>
        <v>7</v>
      </c>
      <c r="V177" s="648">
        <f t="shared" si="21"/>
        <v>6</v>
      </c>
      <c r="W177" s="648">
        <f t="shared" si="22"/>
        <v>5</v>
      </c>
      <c r="X177" s="648">
        <f t="shared" si="23"/>
        <v>6</v>
      </c>
      <c r="Y177" s="21" t="str">
        <f>_xlfn.XLOOKUP(AA177,Combos!AU:AU,Combos!AT:AT,"",0,1)</f>
        <v/>
      </c>
      <c r="Z177" s="665" t="s">
        <v>1660</v>
      </c>
      <c r="AA177" s="665" t="s">
        <v>1661</v>
      </c>
      <c r="AB177" s="665" t="s">
        <v>1662</v>
      </c>
      <c r="AC177" s="8" t="s">
        <v>1455</v>
      </c>
      <c r="AD177" s="8" t="s">
        <v>1455</v>
      </c>
    </row>
    <row r="178" spans="1:30">
      <c r="A178" s="21" t="s">
        <v>668</v>
      </c>
      <c r="B178" s="651"/>
      <c r="C178" s="21">
        <v>2</v>
      </c>
      <c r="D178" s="653"/>
      <c r="E178" s="21" t="str">
        <f>_xlfn.XLOOKUP(G178,Combos!AB:AB,Combos!AA:AA,"",0,1)</f>
        <v/>
      </c>
      <c r="G178" s="650" t="s">
        <v>1663</v>
      </c>
      <c r="H178" s="8" t="s">
        <v>1664</v>
      </c>
      <c r="I178" s="8" t="s">
        <v>1266</v>
      </c>
      <c r="K178" s="667" t="s">
        <v>914</v>
      </c>
      <c r="L178" s="2">
        <f t="shared" si="16"/>
        <v>7</v>
      </c>
      <c r="M178" s="663">
        <v>4</v>
      </c>
      <c r="N178" s="663">
        <v>1</v>
      </c>
      <c r="O178" s="663">
        <v>3</v>
      </c>
      <c r="P178" s="663">
        <v>4</v>
      </c>
      <c r="Q178" s="663">
        <v>3</v>
      </c>
      <c r="R178" s="648">
        <f t="shared" si="17"/>
        <v>15</v>
      </c>
      <c r="S178" s="648">
        <f t="shared" si="18"/>
        <v>11</v>
      </c>
      <c r="T178" s="648">
        <f t="shared" si="19"/>
        <v>8</v>
      </c>
      <c r="U178" s="648">
        <f t="shared" si="20"/>
        <v>10</v>
      </c>
      <c r="V178" s="648">
        <f t="shared" si="21"/>
        <v>8</v>
      </c>
      <c r="W178" s="648">
        <f t="shared" si="22"/>
        <v>5</v>
      </c>
      <c r="X178" s="648">
        <f t="shared" si="23"/>
        <v>7</v>
      </c>
      <c r="Y178" s="21" t="str">
        <f>_xlfn.XLOOKUP(AA178,Combos!AU:AU,Combos!AT:AT,"",0,1)</f>
        <v/>
      </c>
      <c r="Z178" s="8" t="s">
        <v>1665</v>
      </c>
      <c r="AA178" s="8" t="s">
        <v>1666</v>
      </c>
      <c r="AB178" s="8" t="s">
        <v>1667</v>
      </c>
      <c r="AC178" s="8" t="s">
        <v>1668</v>
      </c>
      <c r="AD178" s="8" t="s">
        <v>1207</v>
      </c>
    </row>
    <row r="179" spans="1:30">
      <c r="A179" s="21" t="s">
        <v>668</v>
      </c>
      <c r="B179" s="651"/>
      <c r="C179" s="21">
        <v>1</v>
      </c>
      <c r="D179" s="655"/>
      <c r="E179" s="21" t="str">
        <f>_xlfn.XLOOKUP(G179,Combos!AB:AB,Combos!AA:AA,"",0,1)</f>
        <v/>
      </c>
      <c r="F179" s="21">
        <v>1</v>
      </c>
      <c r="G179" s="650" t="s">
        <v>1669</v>
      </c>
      <c r="H179" s="8" t="s">
        <v>1670</v>
      </c>
      <c r="I179" s="8" t="s">
        <v>1441</v>
      </c>
      <c r="K179" s="667" t="s">
        <v>654</v>
      </c>
      <c r="L179" s="2">
        <f t="shared" si="16"/>
        <v>7</v>
      </c>
      <c r="M179" s="662">
        <v>5</v>
      </c>
      <c r="N179" s="662">
        <v>1</v>
      </c>
      <c r="O179" s="662">
        <v>2</v>
      </c>
      <c r="P179" s="662">
        <v>4</v>
      </c>
      <c r="Q179" s="662">
        <v>3</v>
      </c>
      <c r="R179" s="648">
        <f t="shared" si="17"/>
        <v>15</v>
      </c>
      <c r="S179" s="648">
        <f t="shared" si="18"/>
        <v>12</v>
      </c>
      <c r="T179" s="648">
        <f t="shared" si="19"/>
        <v>8</v>
      </c>
      <c r="U179" s="648">
        <f t="shared" si="20"/>
        <v>9</v>
      </c>
      <c r="V179" s="648">
        <f t="shared" si="21"/>
        <v>9</v>
      </c>
      <c r="W179" s="648">
        <f t="shared" si="22"/>
        <v>5</v>
      </c>
      <c r="X179" s="648">
        <f t="shared" si="23"/>
        <v>6</v>
      </c>
      <c r="Y179" s="21" t="str">
        <f>_xlfn.XLOOKUP(AA179,Combos!AU:AU,Combos!AT:AT,"",0,1)</f>
        <v/>
      </c>
      <c r="Z179" s="8" t="s">
        <v>1671</v>
      </c>
      <c r="AA179" s="8" t="s">
        <v>1672</v>
      </c>
      <c r="AB179" s="8" t="s">
        <v>1673</v>
      </c>
      <c r="AC179" s="659" t="s">
        <v>1674</v>
      </c>
      <c r="AD179" s="659" t="s">
        <v>1674</v>
      </c>
    </row>
    <row r="180" spans="1:30">
      <c r="A180" s="21" t="s">
        <v>748</v>
      </c>
      <c r="B180" s="649">
        <v>1</v>
      </c>
      <c r="D180" s="21" t="s">
        <v>748</v>
      </c>
      <c r="E180" s="21" t="str">
        <f>_xlfn.XLOOKUP(G180,Combos!AB:AB,Combos!AA:AA,"",0,1)</f>
        <v/>
      </c>
      <c r="F180" s="21" t="s">
        <v>748</v>
      </c>
      <c r="G180" s="652" t="s">
        <v>1675</v>
      </c>
      <c r="H180" s="8" t="s">
        <v>1676</v>
      </c>
      <c r="I180" s="659" t="s">
        <v>1282</v>
      </c>
      <c r="K180" s="7" t="s">
        <v>914</v>
      </c>
      <c r="L180" s="661">
        <f t="shared" si="16"/>
        <v>0</v>
      </c>
      <c r="M180" s="662">
        <v>0</v>
      </c>
      <c r="N180" s="662">
        <v>0</v>
      </c>
      <c r="O180" s="662">
        <v>0</v>
      </c>
      <c r="P180" s="662">
        <v>0</v>
      </c>
      <c r="Q180" s="662">
        <v>0</v>
      </c>
      <c r="R180" s="648">
        <f t="shared" si="17"/>
        <v>0</v>
      </c>
      <c r="S180" s="648">
        <f t="shared" si="18"/>
        <v>0</v>
      </c>
      <c r="T180" s="648">
        <f t="shared" si="19"/>
        <v>0</v>
      </c>
      <c r="U180" s="648">
        <f t="shared" si="20"/>
        <v>0</v>
      </c>
      <c r="V180" s="648">
        <f t="shared" si="21"/>
        <v>0</v>
      </c>
      <c r="W180" s="648">
        <f t="shared" si="22"/>
        <v>0</v>
      </c>
      <c r="X180" s="648">
        <f t="shared" si="23"/>
        <v>0</v>
      </c>
      <c r="Y180" s="21" t="str">
        <f>_xlfn.XLOOKUP(AA180,Combos!AU:AU,Combos!AT:AT,"",0,1)</f>
        <v/>
      </c>
      <c r="Z180" s="659" t="s">
        <v>1282</v>
      </c>
      <c r="AA180" s="659" t="s">
        <v>1282</v>
      </c>
      <c r="AB180" s="659" t="s">
        <v>1677</v>
      </c>
      <c r="AC180" s="8" t="s">
        <v>1678</v>
      </c>
      <c r="AD180" s="8" t="s">
        <v>1678</v>
      </c>
    </row>
    <row r="181" spans="1:30">
      <c r="A181" s="21" t="s">
        <v>668</v>
      </c>
      <c r="B181" s="651"/>
      <c r="C181" s="21">
        <v>2</v>
      </c>
      <c r="D181" s="653" t="s">
        <v>1204</v>
      </c>
      <c r="E181" s="21" t="str">
        <f>_xlfn.XLOOKUP(G181,Combos!AB:AB,Combos!AA:AA,"",0,1)</f>
        <v/>
      </c>
      <c r="G181" s="650" t="s">
        <v>1679</v>
      </c>
      <c r="H181" s="8" t="s">
        <v>1680</v>
      </c>
      <c r="I181" s="8" t="s">
        <v>1288</v>
      </c>
      <c r="K181" s="667" t="s">
        <v>914</v>
      </c>
      <c r="L181" s="2">
        <f t="shared" si="16"/>
        <v>6</v>
      </c>
      <c r="M181" s="663">
        <v>4</v>
      </c>
      <c r="N181" s="663">
        <v>2</v>
      </c>
      <c r="O181" s="663">
        <v>3</v>
      </c>
      <c r="P181" s="663">
        <v>4</v>
      </c>
      <c r="Q181" s="663">
        <v>2</v>
      </c>
      <c r="R181" s="648">
        <f t="shared" si="17"/>
        <v>15</v>
      </c>
      <c r="S181" s="648">
        <f t="shared" si="18"/>
        <v>10</v>
      </c>
      <c r="T181" s="648">
        <f t="shared" si="19"/>
        <v>8</v>
      </c>
      <c r="U181" s="648">
        <f t="shared" si="20"/>
        <v>9</v>
      </c>
      <c r="V181" s="648">
        <f t="shared" si="21"/>
        <v>8</v>
      </c>
      <c r="W181" s="648">
        <f t="shared" si="22"/>
        <v>6</v>
      </c>
      <c r="X181" s="648">
        <f t="shared" si="23"/>
        <v>7</v>
      </c>
      <c r="Y181" s="21" t="str">
        <f>_xlfn.XLOOKUP(AA181,Combos!AU:AU,Combos!AT:AT,"",0,1)</f>
        <v/>
      </c>
      <c r="Z181" s="8" t="s">
        <v>1681</v>
      </c>
      <c r="AA181" s="8" t="s">
        <v>1682</v>
      </c>
      <c r="AB181" s="8" t="s">
        <v>1683</v>
      </c>
      <c r="AC181" s="8" t="s">
        <v>1387</v>
      </c>
      <c r="AD181" s="8" t="s">
        <v>1387</v>
      </c>
    </row>
    <row r="182" spans="2:30">
      <c r="B182" s="651"/>
      <c r="E182" s="21" t="str">
        <f>_xlfn.XLOOKUP(G182,Combos!AB:AB,Combos!AA:AA,"",0,1)</f>
        <v/>
      </c>
      <c r="F182" s="21">
        <v>3</v>
      </c>
      <c r="G182" s="650" t="s">
        <v>1684</v>
      </c>
      <c r="H182" s="8" t="s">
        <v>1685</v>
      </c>
      <c r="I182" s="8" t="s">
        <v>1686</v>
      </c>
      <c r="K182" s="660" t="s">
        <v>654</v>
      </c>
      <c r="L182" s="2">
        <f t="shared" si="16"/>
        <v>8</v>
      </c>
      <c r="M182" s="662">
        <v>4</v>
      </c>
      <c r="N182" s="662">
        <v>1</v>
      </c>
      <c r="O182" s="662">
        <v>2</v>
      </c>
      <c r="P182" s="662">
        <v>4</v>
      </c>
      <c r="Q182" s="662">
        <v>4</v>
      </c>
      <c r="R182" s="648">
        <f t="shared" si="17"/>
        <v>15</v>
      </c>
      <c r="S182" s="648">
        <f t="shared" si="18"/>
        <v>12</v>
      </c>
      <c r="T182" s="648">
        <f t="shared" si="19"/>
        <v>9</v>
      </c>
      <c r="U182" s="648">
        <f t="shared" si="20"/>
        <v>10</v>
      </c>
      <c r="V182" s="648">
        <f t="shared" si="21"/>
        <v>8</v>
      </c>
      <c r="W182" s="648">
        <f t="shared" si="22"/>
        <v>5</v>
      </c>
      <c r="X182" s="648">
        <f t="shared" si="23"/>
        <v>6</v>
      </c>
      <c r="Y182" s="21" t="str">
        <f>_xlfn.XLOOKUP(AA182,Combos!AU:AU,Combos!AT:AT,"",0,1)</f>
        <v/>
      </c>
      <c r="Z182" s="8" t="s">
        <v>1687</v>
      </c>
      <c r="AA182" s="8" t="s">
        <v>1688</v>
      </c>
      <c r="AB182" s="8" t="s">
        <v>1685</v>
      </c>
      <c r="AC182" s="8" t="s">
        <v>1466</v>
      </c>
      <c r="AD182" s="8" t="s">
        <v>1466</v>
      </c>
    </row>
    <row r="183" spans="1:30">
      <c r="A183" s="21" t="s">
        <v>668</v>
      </c>
      <c r="B183" s="651"/>
      <c r="C183" s="21" t="s">
        <v>746</v>
      </c>
      <c r="D183" s="21" t="s">
        <v>748</v>
      </c>
      <c r="E183" s="21" t="str">
        <f>_xlfn.XLOOKUP(G183,Combos!AB:AB,Combos!AA:AA,"",0,1)</f>
        <v/>
      </c>
      <c r="F183" s="21" t="s">
        <v>748</v>
      </c>
      <c r="G183" s="8" t="s">
        <v>1689</v>
      </c>
      <c r="H183" s="8" t="s">
        <v>1690</v>
      </c>
      <c r="I183" s="8" t="s">
        <v>1294</v>
      </c>
      <c r="K183" s="7" t="s">
        <v>914</v>
      </c>
      <c r="L183" s="2">
        <f t="shared" si="16"/>
        <v>6</v>
      </c>
      <c r="M183" s="663">
        <v>3</v>
      </c>
      <c r="N183" s="663">
        <v>3</v>
      </c>
      <c r="O183" s="663">
        <v>3</v>
      </c>
      <c r="P183" s="663">
        <v>3</v>
      </c>
      <c r="Q183" s="663">
        <v>3</v>
      </c>
      <c r="R183" s="648">
        <f t="shared" si="17"/>
        <v>15</v>
      </c>
      <c r="S183" s="648">
        <f t="shared" si="18"/>
        <v>9</v>
      </c>
      <c r="T183" s="648">
        <f t="shared" si="19"/>
        <v>9</v>
      </c>
      <c r="U183" s="648">
        <f t="shared" si="20"/>
        <v>9</v>
      </c>
      <c r="V183" s="648">
        <f t="shared" si="21"/>
        <v>6</v>
      </c>
      <c r="W183" s="648">
        <f t="shared" si="22"/>
        <v>6</v>
      </c>
      <c r="X183" s="648">
        <f t="shared" si="23"/>
        <v>6</v>
      </c>
      <c r="Y183" s="21" t="str">
        <f>_xlfn.XLOOKUP(AA183,Combos!AU:AU,Combos!AT:AT,"",0,1)</f>
        <v/>
      </c>
      <c r="Z183" s="8" t="s">
        <v>1294</v>
      </c>
      <c r="AA183" s="8" t="s">
        <v>1294</v>
      </c>
      <c r="AB183" s="8" t="s">
        <v>1690</v>
      </c>
      <c r="AC183" s="670" t="s">
        <v>1691</v>
      </c>
      <c r="AD183" s="670" t="s">
        <v>1691</v>
      </c>
    </row>
    <row r="184" spans="1:30">
      <c r="A184" s="673" t="s">
        <v>668</v>
      </c>
      <c r="B184" s="651"/>
      <c r="C184" s="673">
        <v>1</v>
      </c>
      <c r="D184" s="655" t="s">
        <v>461</v>
      </c>
      <c r="E184" s="21" t="str">
        <f>_xlfn.XLOOKUP(G184,Combos!AB:AB,Combos!AA:AA,"",0,1)</f>
        <v/>
      </c>
      <c r="F184" s="21">
        <v>3</v>
      </c>
      <c r="G184" s="8" t="s">
        <v>1692</v>
      </c>
      <c r="H184" s="8" t="s">
        <v>1693</v>
      </c>
      <c r="I184" s="8" t="s">
        <v>858</v>
      </c>
      <c r="K184" s="660" t="s">
        <v>1039</v>
      </c>
      <c r="L184" s="2">
        <f t="shared" si="16"/>
        <v>8</v>
      </c>
      <c r="M184" s="663">
        <v>1</v>
      </c>
      <c r="N184" s="663">
        <v>4</v>
      </c>
      <c r="O184" s="663">
        <v>2</v>
      </c>
      <c r="P184" s="662">
        <v>4</v>
      </c>
      <c r="Q184" s="662">
        <v>4</v>
      </c>
      <c r="R184" s="648">
        <f t="shared" si="17"/>
        <v>15</v>
      </c>
      <c r="S184" s="648">
        <f t="shared" si="18"/>
        <v>9</v>
      </c>
      <c r="T184" s="648">
        <f t="shared" si="19"/>
        <v>12</v>
      </c>
      <c r="U184" s="648">
        <f t="shared" si="20"/>
        <v>10</v>
      </c>
      <c r="V184" s="648">
        <f t="shared" si="21"/>
        <v>5</v>
      </c>
      <c r="W184" s="648">
        <f t="shared" si="22"/>
        <v>8</v>
      </c>
      <c r="X184" s="648">
        <f t="shared" si="23"/>
        <v>6</v>
      </c>
      <c r="Y184" s="21" t="str">
        <f>_xlfn.XLOOKUP(AA184,Combos!AU:AU,Combos!AT:AT,"",0,1)</f>
        <v/>
      </c>
      <c r="Z184" s="8" t="s">
        <v>1694</v>
      </c>
      <c r="AA184" s="8" t="s">
        <v>1694</v>
      </c>
      <c r="AB184" s="8" t="s">
        <v>1695</v>
      </c>
      <c r="AC184" s="659" t="s">
        <v>1696</v>
      </c>
      <c r="AD184" s="659" t="s">
        <v>1696</v>
      </c>
    </row>
    <row r="185" spans="2:30">
      <c r="B185" s="651"/>
      <c r="E185" s="21" t="str">
        <f>_xlfn.XLOOKUP(G185,Combos!AB:AB,Combos!AA:AA,"",0,1)</f>
        <v/>
      </c>
      <c r="F185" s="21">
        <v>3</v>
      </c>
      <c r="G185" s="652" t="s">
        <v>1697</v>
      </c>
      <c r="H185" s="8" t="s">
        <v>1698</v>
      </c>
      <c r="I185" s="8" t="s">
        <v>1618</v>
      </c>
      <c r="K185" s="660" t="s">
        <v>1039</v>
      </c>
      <c r="L185" s="2">
        <f t="shared" si="16"/>
        <v>8</v>
      </c>
      <c r="M185" s="663">
        <v>1</v>
      </c>
      <c r="N185" s="663">
        <v>4</v>
      </c>
      <c r="O185" s="663">
        <v>2</v>
      </c>
      <c r="P185" s="662">
        <v>4</v>
      </c>
      <c r="Q185" s="662">
        <v>4</v>
      </c>
      <c r="R185" s="648">
        <f t="shared" si="17"/>
        <v>15</v>
      </c>
      <c r="S185" s="648">
        <f t="shared" si="18"/>
        <v>9</v>
      </c>
      <c r="T185" s="648">
        <f t="shared" si="19"/>
        <v>12</v>
      </c>
      <c r="U185" s="648">
        <f t="shared" si="20"/>
        <v>10</v>
      </c>
      <c r="V185" s="648">
        <f t="shared" si="21"/>
        <v>5</v>
      </c>
      <c r="W185" s="648">
        <f t="shared" si="22"/>
        <v>8</v>
      </c>
      <c r="X185" s="648">
        <f t="shared" si="23"/>
        <v>6</v>
      </c>
      <c r="Y185" s="21" t="str">
        <f>_xlfn.XLOOKUP(AA185,Combos!AU:AU,Combos!AT:AT,"",0,1)</f>
        <v/>
      </c>
      <c r="Z185" s="8" t="s">
        <v>1699</v>
      </c>
      <c r="AA185" s="8" t="s">
        <v>1699</v>
      </c>
      <c r="AB185" s="8" t="s">
        <v>1700</v>
      </c>
      <c r="AC185" s="8" t="s">
        <v>1139</v>
      </c>
      <c r="AD185" s="8" t="s">
        <v>1139</v>
      </c>
    </row>
    <row r="186" spans="2:30">
      <c r="B186" s="649">
        <v>1</v>
      </c>
      <c r="E186" s="21" t="str">
        <f>_xlfn.XLOOKUP(G186,Combos!AB:AB,Combos!AA:AA,"",0,1)</f>
        <v/>
      </c>
      <c r="F186" s="21">
        <v>3</v>
      </c>
      <c r="G186" s="652" t="s">
        <v>1701</v>
      </c>
      <c r="H186" s="8" t="s">
        <v>1702</v>
      </c>
      <c r="I186" s="659" t="s">
        <v>1703</v>
      </c>
      <c r="K186" s="660" t="s">
        <v>1039</v>
      </c>
      <c r="L186" s="661">
        <f t="shared" si="16"/>
        <v>8</v>
      </c>
      <c r="M186" s="663">
        <v>1</v>
      </c>
      <c r="N186" s="663">
        <v>4</v>
      </c>
      <c r="O186" s="663">
        <v>2</v>
      </c>
      <c r="P186" s="662">
        <v>4</v>
      </c>
      <c r="Q186" s="662">
        <v>4</v>
      </c>
      <c r="R186" s="648">
        <f t="shared" si="17"/>
        <v>15</v>
      </c>
      <c r="S186" s="648">
        <f t="shared" si="18"/>
        <v>9</v>
      </c>
      <c r="T186" s="648">
        <f t="shared" si="19"/>
        <v>12</v>
      </c>
      <c r="U186" s="648">
        <f t="shared" si="20"/>
        <v>10</v>
      </c>
      <c r="V186" s="648">
        <f t="shared" si="21"/>
        <v>5</v>
      </c>
      <c r="W186" s="648">
        <f t="shared" si="22"/>
        <v>8</v>
      </c>
      <c r="X186" s="648">
        <f t="shared" si="23"/>
        <v>6</v>
      </c>
      <c r="Y186" s="21" t="str">
        <f>_xlfn.XLOOKUP(AA186,Combos!AU:AU,Combos!AT:AT,"",0,1)</f>
        <v/>
      </c>
      <c r="Z186" s="659" t="s">
        <v>1704</v>
      </c>
      <c r="AA186" s="659" t="s">
        <v>1704</v>
      </c>
      <c r="AB186" s="659" t="s">
        <v>1705</v>
      </c>
      <c r="AC186" s="8" t="s">
        <v>1547</v>
      </c>
      <c r="AD186" s="8" t="s">
        <v>1547</v>
      </c>
    </row>
    <row r="187" spans="1:30">
      <c r="A187" s="673" t="s">
        <v>668</v>
      </c>
      <c r="B187" s="651"/>
      <c r="C187" s="673">
        <v>1</v>
      </c>
      <c r="D187" s="655" t="s">
        <v>1706</v>
      </c>
      <c r="E187" s="21" t="str">
        <f>_xlfn.XLOOKUP(G187,Combos!AB:AB,Combos!AA:AA,"",0,1)</f>
        <v/>
      </c>
      <c r="F187" s="21">
        <v>3</v>
      </c>
      <c r="G187" s="8" t="s">
        <v>1707</v>
      </c>
      <c r="H187" s="8" t="s">
        <v>1708</v>
      </c>
      <c r="I187" s="8" t="s">
        <v>1237</v>
      </c>
      <c r="K187" s="660" t="s">
        <v>1039</v>
      </c>
      <c r="L187" s="2">
        <f t="shared" si="16"/>
        <v>8</v>
      </c>
      <c r="M187" s="663">
        <v>1</v>
      </c>
      <c r="N187" s="663">
        <v>4</v>
      </c>
      <c r="O187" s="663">
        <v>2</v>
      </c>
      <c r="P187" s="663">
        <v>4</v>
      </c>
      <c r="Q187" s="663">
        <v>4</v>
      </c>
      <c r="R187" s="648">
        <f t="shared" si="17"/>
        <v>15</v>
      </c>
      <c r="S187" s="648">
        <f t="shared" si="18"/>
        <v>9</v>
      </c>
      <c r="T187" s="648">
        <f t="shared" si="19"/>
        <v>12</v>
      </c>
      <c r="U187" s="648">
        <f t="shared" si="20"/>
        <v>10</v>
      </c>
      <c r="V187" s="648">
        <f t="shared" si="21"/>
        <v>5</v>
      </c>
      <c r="W187" s="648">
        <f t="shared" si="22"/>
        <v>8</v>
      </c>
      <c r="X187" s="648">
        <f t="shared" si="23"/>
        <v>6</v>
      </c>
      <c r="Y187" s="21" t="str">
        <f>_xlfn.XLOOKUP(AA187,Combos!AU:AU,Combos!AT:AT,"",0,1)</f>
        <v/>
      </c>
      <c r="Z187" s="8" t="s">
        <v>1709</v>
      </c>
      <c r="AA187" s="8" t="s">
        <v>1709</v>
      </c>
      <c r="AB187" s="8" t="s">
        <v>1710</v>
      </c>
      <c r="AC187" s="8" t="s">
        <v>1649</v>
      </c>
      <c r="AD187" s="8" t="s">
        <v>1649</v>
      </c>
    </row>
    <row r="188" spans="2:30">
      <c r="B188" s="651"/>
      <c r="E188" s="21" t="str">
        <f>_xlfn.XLOOKUP(G188,Combos!AB:AB,Combos!AA:AA,"",0,1)</f>
        <v/>
      </c>
      <c r="F188" s="21">
        <v>1</v>
      </c>
      <c r="G188" s="8" t="s">
        <v>1711</v>
      </c>
      <c r="H188" s="8" t="s">
        <v>1712</v>
      </c>
      <c r="I188" s="8" t="s">
        <v>1329</v>
      </c>
      <c r="K188" s="667" t="s">
        <v>1039</v>
      </c>
      <c r="L188" s="2">
        <f t="shared" si="16"/>
        <v>7</v>
      </c>
      <c r="M188" s="663">
        <v>2</v>
      </c>
      <c r="N188" s="663">
        <v>4</v>
      </c>
      <c r="O188" s="663">
        <v>2</v>
      </c>
      <c r="P188" s="663">
        <v>5</v>
      </c>
      <c r="Q188" s="663">
        <v>2</v>
      </c>
      <c r="R188" s="648">
        <f t="shared" si="17"/>
        <v>15</v>
      </c>
      <c r="S188" s="648">
        <f t="shared" si="18"/>
        <v>9</v>
      </c>
      <c r="T188" s="648">
        <f t="shared" si="19"/>
        <v>11</v>
      </c>
      <c r="U188" s="648">
        <f t="shared" si="20"/>
        <v>9</v>
      </c>
      <c r="V188" s="648">
        <f t="shared" si="21"/>
        <v>7</v>
      </c>
      <c r="W188" s="648">
        <f t="shared" si="22"/>
        <v>9</v>
      </c>
      <c r="X188" s="648">
        <f t="shared" si="23"/>
        <v>7</v>
      </c>
      <c r="Y188" s="21" t="str">
        <f>_xlfn.XLOOKUP(AA188,Combos!AU:AU,Combos!AT:AT,"",0,1)</f>
        <v/>
      </c>
      <c r="Z188" s="8" t="s">
        <v>1713</v>
      </c>
      <c r="AA188" s="8" t="s">
        <v>1713</v>
      </c>
      <c r="AB188" s="8" t="s">
        <v>1714</v>
      </c>
      <c r="AC188" s="659" t="s">
        <v>1580</v>
      </c>
      <c r="AD188" s="659" t="s">
        <v>1580</v>
      </c>
    </row>
    <row r="189" spans="1:30">
      <c r="A189" s="21" t="s">
        <v>668</v>
      </c>
      <c r="B189" s="651"/>
      <c r="C189" s="21">
        <v>2</v>
      </c>
      <c r="D189" s="653"/>
      <c r="E189" s="21" t="str">
        <f>_xlfn.XLOOKUP(G189,Combos!AB:AB,Combos!AA:AA,"",0,1)</f>
        <v/>
      </c>
      <c r="F189" s="21">
        <v>1</v>
      </c>
      <c r="G189" s="8" t="s">
        <v>1715</v>
      </c>
      <c r="H189" s="8" t="s">
        <v>1716</v>
      </c>
      <c r="I189" s="8" t="s">
        <v>1395</v>
      </c>
      <c r="K189" s="667" t="s">
        <v>646</v>
      </c>
      <c r="L189" s="2">
        <f t="shared" si="16"/>
        <v>8</v>
      </c>
      <c r="M189" s="663">
        <v>1</v>
      </c>
      <c r="N189" s="663">
        <v>4</v>
      </c>
      <c r="O189" s="663">
        <v>2</v>
      </c>
      <c r="P189" s="662">
        <v>5</v>
      </c>
      <c r="Q189" s="662">
        <v>3</v>
      </c>
      <c r="R189" s="648">
        <f t="shared" si="17"/>
        <v>15</v>
      </c>
      <c r="S189" s="648">
        <f t="shared" si="18"/>
        <v>9</v>
      </c>
      <c r="T189" s="648">
        <f t="shared" si="19"/>
        <v>12</v>
      </c>
      <c r="U189" s="648">
        <f t="shared" si="20"/>
        <v>10</v>
      </c>
      <c r="V189" s="648">
        <f t="shared" si="21"/>
        <v>6</v>
      </c>
      <c r="W189" s="648">
        <f t="shared" si="22"/>
        <v>9</v>
      </c>
      <c r="X189" s="648">
        <f t="shared" si="23"/>
        <v>7</v>
      </c>
      <c r="Y189" s="21" t="str">
        <f>_xlfn.XLOOKUP(AA189,Combos!AU:AU,Combos!AT:AT,"",0,1)</f>
        <v/>
      </c>
      <c r="Z189" s="8" t="s">
        <v>1717</v>
      </c>
      <c r="AA189" s="8" t="s">
        <v>1718</v>
      </c>
      <c r="AB189" s="8" t="s">
        <v>1719</v>
      </c>
      <c r="AC189" s="8" t="s">
        <v>1720</v>
      </c>
      <c r="AD189" s="8" t="s">
        <v>1721</v>
      </c>
    </row>
    <row r="190" spans="1:30">
      <c r="A190" s="673" t="s">
        <v>668</v>
      </c>
      <c r="B190" s="651"/>
      <c r="C190" s="673">
        <v>2</v>
      </c>
      <c r="D190" s="653"/>
      <c r="E190" s="21" t="str">
        <f>_xlfn.XLOOKUP(G190,Combos!AB:AB,Combos!AA:AA,"",0,1)</f>
        <v/>
      </c>
      <c r="G190" s="8" t="s">
        <v>1722</v>
      </c>
      <c r="H190" s="8" t="s">
        <v>1723</v>
      </c>
      <c r="I190" s="8" t="s">
        <v>936</v>
      </c>
      <c r="K190" s="667" t="s">
        <v>1039</v>
      </c>
      <c r="L190" s="2">
        <f t="shared" si="16"/>
        <v>7</v>
      </c>
      <c r="M190" s="663">
        <v>2</v>
      </c>
      <c r="N190" s="663">
        <v>4</v>
      </c>
      <c r="O190" s="663">
        <v>2</v>
      </c>
      <c r="P190" s="662">
        <v>4</v>
      </c>
      <c r="Q190" s="662">
        <v>3</v>
      </c>
      <c r="R190" s="648">
        <f t="shared" si="17"/>
        <v>15</v>
      </c>
      <c r="S190" s="648">
        <f t="shared" si="18"/>
        <v>9</v>
      </c>
      <c r="T190" s="648">
        <f t="shared" si="19"/>
        <v>11</v>
      </c>
      <c r="U190" s="648">
        <f t="shared" si="20"/>
        <v>9</v>
      </c>
      <c r="V190" s="648">
        <f t="shared" si="21"/>
        <v>6</v>
      </c>
      <c r="W190" s="648">
        <f t="shared" si="22"/>
        <v>8</v>
      </c>
      <c r="X190" s="648">
        <f t="shared" si="23"/>
        <v>6</v>
      </c>
      <c r="Y190" s="21" t="str">
        <f>_xlfn.XLOOKUP(AA190,Combos!AU:AU,Combos!AT:AT,"",0,1)</f>
        <v/>
      </c>
      <c r="Z190" s="8" t="s">
        <v>1724</v>
      </c>
      <c r="AA190" s="8" t="s">
        <v>1724</v>
      </c>
      <c r="AB190" s="8" t="s">
        <v>1725</v>
      </c>
      <c r="AC190" s="8" t="s">
        <v>1726</v>
      </c>
      <c r="AD190" s="8" t="s">
        <v>1726</v>
      </c>
    </row>
    <row r="191" spans="1:30">
      <c r="A191" s="21" t="s">
        <v>668</v>
      </c>
      <c r="B191" s="651"/>
      <c r="C191" s="21">
        <v>2</v>
      </c>
      <c r="D191" s="653" t="s">
        <v>748</v>
      </c>
      <c r="E191" s="21" t="str">
        <f>_xlfn.XLOOKUP(G191,Combos!AB:AB,Combos!AA:AA,"",0,1)</f>
        <v/>
      </c>
      <c r="F191" s="21" t="s">
        <v>748</v>
      </c>
      <c r="G191" s="652" t="s">
        <v>1727</v>
      </c>
      <c r="H191" s="8" t="s">
        <v>1728</v>
      </c>
      <c r="I191" s="8" t="s">
        <v>1304</v>
      </c>
      <c r="K191" s="668" t="s">
        <v>914</v>
      </c>
      <c r="L191" s="2">
        <f t="shared" si="16"/>
        <v>6</v>
      </c>
      <c r="M191" s="662">
        <v>2</v>
      </c>
      <c r="N191" s="662">
        <v>4</v>
      </c>
      <c r="O191" s="662">
        <v>3</v>
      </c>
      <c r="P191" s="662">
        <v>2</v>
      </c>
      <c r="Q191" s="662">
        <v>4</v>
      </c>
      <c r="R191" s="648">
        <f t="shared" si="17"/>
        <v>15</v>
      </c>
      <c r="S191" s="648">
        <f t="shared" si="18"/>
        <v>8</v>
      </c>
      <c r="T191" s="648">
        <f t="shared" si="19"/>
        <v>10</v>
      </c>
      <c r="U191" s="648">
        <f t="shared" si="20"/>
        <v>9</v>
      </c>
      <c r="V191" s="648">
        <f t="shared" si="21"/>
        <v>4</v>
      </c>
      <c r="W191" s="648">
        <f t="shared" si="22"/>
        <v>6</v>
      </c>
      <c r="X191" s="648">
        <f t="shared" si="23"/>
        <v>5</v>
      </c>
      <c r="Y191" s="21" t="str">
        <f>_xlfn.XLOOKUP(AA191,Combos!AU:AU,Combos!AT:AT,"",0,1)</f>
        <v/>
      </c>
      <c r="Z191" s="8" t="s">
        <v>1729</v>
      </c>
      <c r="AA191" s="8" t="s">
        <v>1729</v>
      </c>
      <c r="AB191" s="8" t="s">
        <v>1730</v>
      </c>
      <c r="AC191" s="659" t="s">
        <v>1536</v>
      </c>
      <c r="AD191" s="659" t="s">
        <v>1536</v>
      </c>
    </row>
    <row r="192" spans="1:30">
      <c r="A192" s="21" t="s">
        <v>668</v>
      </c>
      <c r="B192" s="651"/>
      <c r="C192" s="21">
        <v>1</v>
      </c>
      <c r="D192" s="655"/>
      <c r="E192" s="21" t="str">
        <f>_xlfn.XLOOKUP(G192,Combos!AB:AB,Combos!AA:AA,"",0,1)</f>
        <v/>
      </c>
      <c r="F192" s="21">
        <v>3</v>
      </c>
      <c r="G192" s="8" t="s">
        <v>1731</v>
      </c>
      <c r="H192" s="8" t="s">
        <v>1732</v>
      </c>
      <c r="I192" s="8" t="s">
        <v>1310</v>
      </c>
      <c r="K192" s="664" t="s">
        <v>914</v>
      </c>
      <c r="L192" s="2">
        <f t="shared" si="16"/>
        <v>8</v>
      </c>
      <c r="M192" s="663">
        <v>1</v>
      </c>
      <c r="N192" s="663">
        <v>2</v>
      </c>
      <c r="O192" s="663">
        <v>4</v>
      </c>
      <c r="P192" s="663">
        <v>4</v>
      </c>
      <c r="Q192" s="663">
        <v>4</v>
      </c>
      <c r="R192" s="648">
        <f t="shared" si="17"/>
        <v>15</v>
      </c>
      <c r="S192" s="648">
        <f t="shared" si="18"/>
        <v>9</v>
      </c>
      <c r="T192" s="648">
        <f t="shared" si="19"/>
        <v>10</v>
      </c>
      <c r="U192" s="648">
        <f t="shared" si="20"/>
        <v>12</v>
      </c>
      <c r="V192" s="648">
        <f t="shared" si="21"/>
        <v>5</v>
      </c>
      <c r="W192" s="648">
        <f t="shared" si="22"/>
        <v>6</v>
      </c>
      <c r="X192" s="648">
        <f t="shared" si="23"/>
        <v>8</v>
      </c>
      <c r="Y192" s="21" t="str">
        <f>_xlfn.XLOOKUP(AA192,Combos!AU:AU,Combos!AT:AT,"",0,1)</f>
        <v/>
      </c>
      <c r="Z192" s="8" t="s">
        <v>1733</v>
      </c>
      <c r="AA192" s="8" t="s">
        <v>1734</v>
      </c>
      <c r="AB192" s="8" t="s">
        <v>1735</v>
      </c>
      <c r="AC192" s="659" t="s">
        <v>1541</v>
      </c>
      <c r="AD192" s="659" t="s">
        <v>1541</v>
      </c>
    </row>
    <row r="193" spans="1:30">
      <c r="A193" s="21" t="s">
        <v>668</v>
      </c>
      <c r="B193" s="651"/>
      <c r="C193" s="21">
        <v>1</v>
      </c>
      <c r="D193" s="655"/>
      <c r="E193" s="21" t="str">
        <f>_xlfn.XLOOKUP(G193,Combos!AB:AB,Combos!AA:AA,"",0,1)</f>
        <v/>
      </c>
      <c r="F193" s="21">
        <v>3</v>
      </c>
      <c r="G193" s="652" t="s">
        <v>1736</v>
      </c>
      <c r="H193" s="8" t="s">
        <v>1737</v>
      </c>
      <c r="I193" s="8" t="s">
        <v>1340</v>
      </c>
      <c r="K193" s="664" t="s">
        <v>914</v>
      </c>
      <c r="L193" s="2">
        <f t="shared" si="16"/>
        <v>8</v>
      </c>
      <c r="M193" s="663">
        <v>1</v>
      </c>
      <c r="N193" s="663">
        <v>2</v>
      </c>
      <c r="O193" s="663">
        <v>4</v>
      </c>
      <c r="P193" s="662">
        <v>4</v>
      </c>
      <c r="Q193" s="662">
        <v>4</v>
      </c>
      <c r="R193" s="648">
        <f t="shared" si="17"/>
        <v>15</v>
      </c>
      <c r="S193" s="648">
        <f t="shared" si="18"/>
        <v>9</v>
      </c>
      <c r="T193" s="648">
        <f t="shared" si="19"/>
        <v>10</v>
      </c>
      <c r="U193" s="648">
        <f t="shared" si="20"/>
        <v>12</v>
      </c>
      <c r="V193" s="648">
        <f t="shared" si="21"/>
        <v>5</v>
      </c>
      <c r="W193" s="648">
        <f t="shared" si="22"/>
        <v>6</v>
      </c>
      <c r="X193" s="648">
        <f t="shared" si="23"/>
        <v>8</v>
      </c>
      <c r="Y193" s="21" t="str">
        <f>_xlfn.XLOOKUP(AA193,Combos!AU:AU,Combos!AT:AT,"",0,1)</f>
        <v/>
      </c>
      <c r="Z193" s="8" t="s">
        <v>1738</v>
      </c>
      <c r="AA193" s="8" t="s">
        <v>1739</v>
      </c>
      <c r="AB193" s="8" t="s">
        <v>1740</v>
      </c>
      <c r="AC193" s="659" t="s">
        <v>1703</v>
      </c>
      <c r="AD193" s="659" t="s">
        <v>1703</v>
      </c>
    </row>
    <row r="194" spans="1:30">
      <c r="A194" s="21" t="s">
        <v>668</v>
      </c>
      <c r="B194" s="651"/>
      <c r="C194" s="21" t="s">
        <v>746</v>
      </c>
      <c r="D194" s="21" t="s">
        <v>1741</v>
      </c>
      <c r="E194" s="21" t="str">
        <f>_xlfn.XLOOKUP(G194,Combos!AB:AB,Combos!AA:AA,"",0,1)</f>
        <v/>
      </c>
      <c r="F194" s="21" t="s">
        <v>748</v>
      </c>
      <c r="G194" s="8" t="s">
        <v>1742</v>
      </c>
      <c r="H194" s="8" t="s">
        <v>1743</v>
      </c>
      <c r="I194" s="8" t="s">
        <v>1726</v>
      </c>
      <c r="K194" s="7" t="s">
        <v>654</v>
      </c>
      <c r="L194" s="2">
        <f t="shared" ref="L194:L231" si="24">P194+Q194</f>
        <v>6</v>
      </c>
      <c r="M194" s="663">
        <v>3</v>
      </c>
      <c r="N194" s="663">
        <v>4</v>
      </c>
      <c r="O194" s="663">
        <v>2</v>
      </c>
      <c r="P194" s="663">
        <v>3</v>
      </c>
      <c r="Q194" s="663">
        <v>3</v>
      </c>
      <c r="R194" s="648">
        <f t="shared" ref="R194:R231" si="25">SUM(M194:Q194)</f>
        <v>15</v>
      </c>
      <c r="S194" s="648">
        <f t="shared" ref="S194:S231" si="26">V194+Q194</f>
        <v>9</v>
      </c>
      <c r="T194" s="648">
        <f t="shared" ref="T194:T231" si="27">W194+Q194</f>
        <v>10</v>
      </c>
      <c r="U194" s="648">
        <f t="shared" ref="U194:U231" si="28">X194+Q194</f>
        <v>8</v>
      </c>
      <c r="V194" s="648">
        <f t="shared" ref="V194:V231" si="29">M194+P194</f>
        <v>6</v>
      </c>
      <c r="W194" s="648">
        <f t="shared" ref="W194:W231" si="30">N194+P194</f>
        <v>7</v>
      </c>
      <c r="X194" s="648">
        <f t="shared" ref="X194:X231" si="31">O194+P194</f>
        <v>5</v>
      </c>
      <c r="Y194" s="21" t="str">
        <f>_xlfn.XLOOKUP(AA194,Combos!AU:AU,Combos!AT:AT,"",0,1)</f>
        <v/>
      </c>
      <c r="Z194" s="8" t="s">
        <v>1744</v>
      </c>
      <c r="AA194" s="8" t="s">
        <v>1744</v>
      </c>
      <c r="AB194" s="8" t="s">
        <v>1745</v>
      </c>
      <c r="AC194" s="8" t="s">
        <v>1480</v>
      </c>
      <c r="AD194" s="8" t="s">
        <v>1480</v>
      </c>
    </row>
    <row r="195" spans="1:30">
      <c r="A195" s="21" t="s">
        <v>668</v>
      </c>
      <c r="B195" s="651"/>
      <c r="C195" s="21" t="s">
        <v>746</v>
      </c>
      <c r="D195" s="21" t="s">
        <v>748</v>
      </c>
      <c r="E195" s="21" t="str">
        <f>_xlfn.XLOOKUP(G195,Combos!AB:AB,Combos!AA:AA,"",0,1)</f>
        <v/>
      </c>
      <c r="F195" s="21" t="s">
        <v>748</v>
      </c>
      <c r="G195" s="652" t="s">
        <v>1746</v>
      </c>
      <c r="H195" s="8" t="s">
        <v>1747</v>
      </c>
      <c r="I195" s="8" t="s">
        <v>1748</v>
      </c>
      <c r="K195" s="7" t="s">
        <v>654</v>
      </c>
      <c r="L195" s="2">
        <f t="shared" si="24"/>
        <v>6</v>
      </c>
      <c r="M195" s="662">
        <v>3</v>
      </c>
      <c r="N195" s="662">
        <v>4</v>
      </c>
      <c r="O195" s="662">
        <v>2</v>
      </c>
      <c r="P195" s="662">
        <v>3</v>
      </c>
      <c r="Q195" s="662">
        <v>3</v>
      </c>
      <c r="R195" s="648">
        <f t="shared" si="25"/>
        <v>15</v>
      </c>
      <c r="S195" s="648">
        <f t="shared" si="26"/>
        <v>9</v>
      </c>
      <c r="T195" s="648">
        <f t="shared" si="27"/>
        <v>10</v>
      </c>
      <c r="U195" s="648">
        <f t="shared" si="28"/>
        <v>8</v>
      </c>
      <c r="V195" s="648">
        <f t="shared" si="29"/>
        <v>6</v>
      </c>
      <c r="W195" s="648">
        <f t="shared" si="30"/>
        <v>7</v>
      </c>
      <c r="X195" s="648">
        <f t="shared" si="31"/>
        <v>5</v>
      </c>
      <c r="Y195" s="21" t="str">
        <f>_xlfn.XLOOKUP(AA195,Combos!AU:AU,Combos!AT:AT,"",0,1)</f>
        <v/>
      </c>
      <c r="Z195" s="8" t="s">
        <v>1749</v>
      </c>
      <c r="AA195" s="8" t="s">
        <v>1749</v>
      </c>
      <c r="AB195" s="8" t="s">
        <v>1747</v>
      </c>
      <c r="AC195" s="8" t="s">
        <v>1297</v>
      </c>
      <c r="AD195" s="8" t="s">
        <v>1297</v>
      </c>
    </row>
    <row r="196" spans="1:30">
      <c r="A196" s="21" t="s">
        <v>668</v>
      </c>
      <c r="B196" s="651"/>
      <c r="C196" s="21" t="s">
        <v>746</v>
      </c>
      <c r="D196" s="648" t="s">
        <v>1750</v>
      </c>
      <c r="E196" s="21" t="str">
        <f>_xlfn.XLOOKUP(G196,Combos!AB:AB,Combos!AA:AA,"",0,1)</f>
        <v/>
      </c>
      <c r="F196" s="21" t="s">
        <v>748</v>
      </c>
      <c r="G196" s="652" t="s">
        <v>1751</v>
      </c>
      <c r="H196" s="8" t="s">
        <v>1752</v>
      </c>
      <c r="I196" s="8" t="s">
        <v>1678</v>
      </c>
      <c r="K196" s="7" t="s">
        <v>1039</v>
      </c>
      <c r="L196" s="2">
        <f t="shared" si="24"/>
        <v>6</v>
      </c>
      <c r="M196" s="663">
        <v>3</v>
      </c>
      <c r="N196" s="663">
        <v>4</v>
      </c>
      <c r="O196" s="663">
        <v>2</v>
      </c>
      <c r="P196" s="663">
        <v>3</v>
      </c>
      <c r="Q196" s="663">
        <v>3</v>
      </c>
      <c r="R196" s="648">
        <f t="shared" si="25"/>
        <v>15</v>
      </c>
      <c r="S196" s="648">
        <f t="shared" si="26"/>
        <v>9</v>
      </c>
      <c r="T196" s="648">
        <f t="shared" si="27"/>
        <v>10</v>
      </c>
      <c r="U196" s="648">
        <f t="shared" si="28"/>
        <v>8</v>
      </c>
      <c r="V196" s="648">
        <f t="shared" si="29"/>
        <v>6</v>
      </c>
      <c r="W196" s="648">
        <f t="shared" si="30"/>
        <v>7</v>
      </c>
      <c r="X196" s="648">
        <f t="shared" si="31"/>
        <v>5</v>
      </c>
      <c r="Y196" s="21" t="str">
        <f>_xlfn.XLOOKUP(AA196,Combos!AU:AU,Combos!AT:AT,"",0,1)</f>
        <v/>
      </c>
      <c r="Z196" s="8" t="s">
        <v>1753</v>
      </c>
      <c r="AA196" s="8" t="s">
        <v>1753</v>
      </c>
      <c r="AB196" s="8" t="s">
        <v>1754</v>
      </c>
      <c r="AC196" s="8" t="s">
        <v>1748</v>
      </c>
      <c r="AD196" s="8" t="s">
        <v>1748</v>
      </c>
    </row>
    <row r="197" spans="2:30">
      <c r="B197" s="649">
        <v>1</v>
      </c>
      <c r="E197" s="21" t="str">
        <f>_xlfn.XLOOKUP(G197,Combos!AB:AB,Combos!AA:AA,"",0,1)</f>
        <v/>
      </c>
      <c r="F197" s="21">
        <v>3</v>
      </c>
      <c r="G197" s="652" t="s">
        <v>1755</v>
      </c>
      <c r="H197" s="13" t="s">
        <v>1756</v>
      </c>
      <c r="I197" s="659" t="s">
        <v>1371</v>
      </c>
      <c r="K197" s="667" t="s">
        <v>914</v>
      </c>
      <c r="L197" s="661">
        <f t="shared" si="24"/>
        <v>7</v>
      </c>
      <c r="M197" s="662">
        <v>1</v>
      </c>
      <c r="N197" s="663">
        <v>5</v>
      </c>
      <c r="O197" s="663">
        <v>2</v>
      </c>
      <c r="P197" s="663">
        <v>4</v>
      </c>
      <c r="Q197" s="663">
        <v>3</v>
      </c>
      <c r="R197" s="648">
        <f t="shared" si="25"/>
        <v>15</v>
      </c>
      <c r="S197" s="648">
        <f t="shared" si="26"/>
        <v>8</v>
      </c>
      <c r="T197" s="648">
        <f t="shared" si="27"/>
        <v>12</v>
      </c>
      <c r="U197" s="648">
        <f t="shared" si="28"/>
        <v>9</v>
      </c>
      <c r="V197" s="648">
        <f t="shared" si="29"/>
        <v>5</v>
      </c>
      <c r="W197" s="648">
        <f t="shared" si="30"/>
        <v>9</v>
      </c>
      <c r="X197" s="648">
        <f t="shared" si="31"/>
        <v>6</v>
      </c>
      <c r="Y197" s="21" t="str">
        <f>_xlfn.XLOOKUP(AA197,Combos!AU:AU,Combos!AT:AT,"",0,1)</f>
        <v/>
      </c>
      <c r="Z197" s="659" t="s">
        <v>1757</v>
      </c>
      <c r="AA197" s="659" t="s">
        <v>1758</v>
      </c>
      <c r="AB197" s="659" t="s">
        <v>1759</v>
      </c>
      <c r="AC197" s="8" t="s">
        <v>1250</v>
      </c>
      <c r="AD197" s="8" t="s">
        <v>1250</v>
      </c>
    </row>
    <row r="198" spans="1:30">
      <c r="A198" s="21" t="s">
        <v>748</v>
      </c>
      <c r="B198" s="651"/>
      <c r="D198" s="21" t="s">
        <v>748</v>
      </c>
      <c r="E198" s="21" t="str">
        <f>_xlfn.XLOOKUP(G198,Combos!AB:AB,Combos!AA:AA,"",0,1)</f>
        <v/>
      </c>
      <c r="F198" s="21" t="s">
        <v>748</v>
      </c>
      <c r="G198" s="8" t="s">
        <v>1760</v>
      </c>
      <c r="H198" s="8" t="s">
        <v>1761</v>
      </c>
      <c r="I198" s="8" t="s">
        <v>1176</v>
      </c>
      <c r="K198" s="660" t="s">
        <v>654</v>
      </c>
      <c r="L198" s="2">
        <f t="shared" si="24"/>
        <v>9</v>
      </c>
      <c r="M198" s="663">
        <v>1</v>
      </c>
      <c r="N198" s="663">
        <v>3</v>
      </c>
      <c r="O198" s="663">
        <v>2</v>
      </c>
      <c r="P198" s="663">
        <v>5</v>
      </c>
      <c r="Q198" s="663">
        <v>4</v>
      </c>
      <c r="R198" s="648">
        <f t="shared" si="25"/>
        <v>15</v>
      </c>
      <c r="S198" s="648">
        <f t="shared" si="26"/>
        <v>10</v>
      </c>
      <c r="T198" s="648">
        <f t="shared" si="27"/>
        <v>12</v>
      </c>
      <c r="U198" s="648">
        <f t="shared" si="28"/>
        <v>11</v>
      </c>
      <c r="V198" s="648">
        <f t="shared" si="29"/>
        <v>6</v>
      </c>
      <c r="W198" s="648">
        <f t="shared" si="30"/>
        <v>8</v>
      </c>
      <c r="X198" s="648">
        <f t="shared" si="31"/>
        <v>7</v>
      </c>
      <c r="Y198" s="21" t="str">
        <f>_xlfn.XLOOKUP(AA198,Combos!AU:AU,Combos!AT:AT,"",0,1)</f>
        <v/>
      </c>
      <c r="Z198" s="8" t="s">
        <v>1176</v>
      </c>
      <c r="AA198" s="8" t="s">
        <v>1762</v>
      </c>
      <c r="AB198" s="8" t="s">
        <v>1763</v>
      </c>
      <c r="AC198" s="8" t="s">
        <v>1307</v>
      </c>
      <c r="AD198" s="8" t="s">
        <v>1307</v>
      </c>
    </row>
    <row r="199" spans="1:30">
      <c r="A199" s="21" t="s">
        <v>668</v>
      </c>
      <c r="B199" s="651"/>
      <c r="C199" s="21" t="s">
        <v>746</v>
      </c>
      <c r="D199" s="21" t="s">
        <v>748</v>
      </c>
      <c r="E199" s="21" t="str">
        <f>_xlfn.XLOOKUP(G199,Combos!AB:AB,Combos!AA:AA,"",0,1)</f>
        <v/>
      </c>
      <c r="F199" s="21" t="s">
        <v>748</v>
      </c>
      <c r="G199" s="652" t="s">
        <v>1764</v>
      </c>
      <c r="H199" s="8" t="s">
        <v>1765</v>
      </c>
      <c r="I199" s="8" t="s">
        <v>1566</v>
      </c>
      <c r="K199" s="660" t="s">
        <v>646</v>
      </c>
      <c r="L199" s="2">
        <f t="shared" si="24"/>
        <v>8</v>
      </c>
      <c r="M199" s="663">
        <v>2</v>
      </c>
      <c r="N199" s="663">
        <v>3</v>
      </c>
      <c r="O199" s="663">
        <v>2</v>
      </c>
      <c r="P199" s="663">
        <v>4</v>
      </c>
      <c r="Q199" s="663">
        <v>4</v>
      </c>
      <c r="R199" s="648">
        <f t="shared" si="25"/>
        <v>15</v>
      </c>
      <c r="S199" s="648">
        <f t="shared" si="26"/>
        <v>10</v>
      </c>
      <c r="T199" s="648">
        <f t="shared" si="27"/>
        <v>11</v>
      </c>
      <c r="U199" s="648">
        <f t="shared" si="28"/>
        <v>10</v>
      </c>
      <c r="V199" s="648">
        <f t="shared" si="29"/>
        <v>6</v>
      </c>
      <c r="W199" s="648">
        <f t="shared" si="30"/>
        <v>7</v>
      </c>
      <c r="X199" s="648">
        <f t="shared" si="31"/>
        <v>6</v>
      </c>
      <c r="Y199" s="21" t="str">
        <f>_xlfn.XLOOKUP(AA199,Combos!AU:AU,Combos!AT:AT,"",0,1)</f>
        <v/>
      </c>
      <c r="Z199" s="8" t="s">
        <v>1766</v>
      </c>
      <c r="AA199" s="8" t="s">
        <v>1766</v>
      </c>
      <c r="AB199" s="8" t="s">
        <v>1767</v>
      </c>
      <c r="AC199" s="10" t="s">
        <v>1768</v>
      </c>
      <c r="AD199" s="10" t="s">
        <v>1768</v>
      </c>
    </row>
    <row r="200" spans="1:30">
      <c r="A200" s="21" t="s">
        <v>668</v>
      </c>
      <c r="B200" s="651"/>
      <c r="C200" s="21">
        <v>1</v>
      </c>
      <c r="D200" s="655"/>
      <c r="E200" s="21" t="str">
        <f>_xlfn.XLOOKUP(G200,Combos!AB:AB,Combos!AA:AA,"",0,1)</f>
        <v/>
      </c>
      <c r="F200" s="21">
        <v>1</v>
      </c>
      <c r="G200" s="652" t="s">
        <v>1769</v>
      </c>
      <c r="H200" s="8" t="s">
        <v>1770</v>
      </c>
      <c r="I200" s="8" t="s">
        <v>1384</v>
      </c>
      <c r="K200" s="667" t="s">
        <v>914</v>
      </c>
      <c r="L200" s="2">
        <f t="shared" si="24"/>
        <v>8</v>
      </c>
      <c r="M200" s="663">
        <v>1</v>
      </c>
      <c r="N200" s="663">
        <v>4</v>
      </c>
      <c r="O200" s="663">
        <v>2</v>
      </c>
      <c r="P200" s="663">
        <v>5</v>
      </c>
      <c r="Q200" s="663">
        <v>3</v>
      </c>
      <c r="R200" s="648">
        <f t="shared" si="25"/>
        <v>15</v>
      </c>
      <c r="S200" s="648">
        <f t="shared" si="26"/>
        <v>9</v>
      </c>
      <c r="T200" s="648">
        <f t="shared" si="27"/>
        <v>12</v>
      </c>
      <c r="U200" s="648">
        <f t="shared" si="28"/>
        <v>10</v>
      </c>
      <c r="V200" s="648">
        <f t="shared" si="29"/>
        <v>6</v>
      </c>
      <c r="W200" s="648">
        <f t="shared" si="30"/>
        <v>9</v>
      </c>
      <c r="X200" s="648">
        <f t="shared" si="31"/>
        <v>7</v>
      </c>
      <c r="Y200" s="21" t="str">
        <f>_xlfn.XLOOKUP(AA200,Combos!AU:AU,Combos!AT:AT,"",0,1)</f>
        <v/>
      </c>
      <c r="Z200" s="8" t="s">
        <v>1771</v>
      </c>
      <c r="AA200" s="8" t="s">
        <v>1772</v>
      </c>
      <c r="AB200" s="8" t="s">
        <v>1773</v>
      </c>
      <c r="AC200" s="8" t="s">
        <v>1557</v>
      </c>
      <c r="AD200" s="8" t="s">
        <v>1557</v>
      </c>
    </row>
    <row r="201" spans="1:30">
      <c r="A201" s="21" t="s">
        <v>738</v>
      </c>
      <c r="B201" s="649">
        <v>1</v>
      </c>
      <c r="D201" s="21" t="s">
        <v>1510</v>
      </c>
      <c r="E201" s="21" t="str">
        <f>_xlfn.XLOOKUP(G201,Combos!AB:AB,Combos!AA:AA,"",0,1)</f>
        <v/>
      </c>
      <c r="F201" s="21" t="s">
        <v>748</v>
      </c>
      <c r="G201" s="652" t="s">
        <v>1774</v>
      </c>
      <c r="H201" s="8" t="s">
        <v>1775</v>
      </c>
      <c r="I201" s="659" t="s">
        <v>1646</v>
      </c>
      <c r="K201" s="660" t="s">
        <v>1039</v>
      </c>
      <c r="L201" s="661">
        <f t="shared" si="24"/>
        <v>8</v>
      </c>
      <c r="M201" s="662">
        <v>3</v>
      </c>
      <c r="N201" s="663">
        <v>2</v>
      </c>
      <c r="O201" s="663">
        <v>2</v>
      </c>
      <c r="P201" s="663">
        <v>4</v>
      </c>
      <c r="Q201" s="663">
        <v>4</v>
      </c>
      <c r="R201" s="648">
        <f t="shared" si="25"/>
        <v>15</v>
      </c>
      <c r="S201" s="648">
        <f t="shared" si="26"/>
        <v>11</v>
      </c>
      <c r="T201" s="648">
        <f t="shared" si="27"/>
        <v>10</v>
      </c>
      <c r="U201" s="648">
        <f t="shared" si="28"/>
        <v>10</v>
      </c>
      <c r="V201" s="648">
        <f t="shared" si="29"/>
        <v>7</v>
      </c>
      <c r="W201" s="648">
        <f t="shared" si="30"/>
        <v>6</v>
      </c>
      <c r="X201" s="648">
        <f t="shared" si="31"/>
        <v>6</v>
      </c>
      <c r="Y201" s="21" t="str">
        <f>_xlfn.XLOOKUP(AA201,Combos!AU:AU,Combos!AT:AT,"",0,1)</f>
        <v/>
      </c>
      <c r="Z201" s="659" t="s">
        <v>1776</v>
      </c>
      <c r="AA201" s="659" t="s">
        <v>1776</v>
      </c>
      <c r="AB201" s="659" t="s">
        <v>1777</v>
      </c>
      <c r="AC201" s="8" t="s">
        <v>1778</v>
      </c>
      <c r="AD201" s="8" t="s">
        <v>1686</v>
      </c>
    </row>
    <row r="202" ht="27" spans="2:30">
      <c r="B202" s="651"/>
      <c r="D202" s="21" t="s">
        <v>748</v>
      </c>
      <c r="E202" s="21" t="str">
        <f>_xlfn.XLOOKUP(G202,Combos!AB:AB,Combos!AA:AA,"",0,1)</f>
        <v/>
      </c>
      <c r="F202" s="21" t="s">
        <v>748</v>
      </c>
      <c r="G202" s="652" t="s">
        <v>1779</v>
      </c>
      <c r="H202" s="8" t="s">
        <v>1780</v>
      </c>
      <c r="I202" s="8" t="s">
        <v>1355</v>
      </c>
      <c r="K202" s="660" t="s">
        <v>654</v>
      </c>
      <c r="L202" s="2">
        <f t="shared" si="24"/>
        <v>9</v>
      </c>
      <c r="M202" s="663">
        <v>1</v>
      </c>
      <c r="N202" s="663">
        <v>3</v>
      </c>
      <c r="O202" s="663">
        <v>2</v>
      </c>
      <c r="P202" s="662">
        <v>5</v>
      </c>
      <c r="Q202" s="662">
        <v>4</v>
      </c>
      <c r="R202" s="648">
        <f t="shared" si="25"/>
        <v>15</v>
      </c>
      <c r="S202" s="648">
        <f t="shared" si="26"/>
        <v>10</v>
      </c>
      <c r="T202" s="648">
        <f t="shared" si="27"/>
        <v>12</v>
      </c>
      <c r="U202" s="648">
        <f t="shared" si="28"/>
        <v>11</v>
      </c>
      <c r="V202" s="648">
        <f t="shared" si="29"/>
        <v>6</v>
      </c>
      <c r="W202" s="648">
        <f t="shared" si="30"/>
        <v>8</v>
      </c>
      <c r="X202" s="648">
        <f t="shared" si="31"/>
        <v>7</v>
      </c>
      <c r="Y202" s="21" t="str">
        <f>_xlfn.XLOOKUP(AA202,Combos!AU:AU,Combos!AT:AT,"",0,1)</f>
        <v/>
      </c>
      <c r="Z202" s="8" t="s">
        <v>1355</v>
      </c>
      <c r="AA202" s="8" t="s">
        <v>1781</v>
      </c>
      <c r="AB202" s="8" t="s">
        <v>1782</v>
      </c>
      <c r="AC202" s="8" t="s">
        <v>1196</v>
      </c>
      <c r="AD202" s="8" t="s">
        <v>1196</v>
      </c>
    </row>
    <row r="203" spans="1:30">
      <c r="A203" s="21" t="s">
        <v>748</v>
      </c>
      <c r="B203" s="651"/>
      <c r="C203" s="21"/>
      <c r="D203" s="21" t="s">
        <v>748</v>
      </c>
      <c r="E203" s="21" t="str">
        <f>_xlfn.XLOOKUP(G203,Combos!AB:AB,Combos!AA:AA,"",0,1)</f>
        <v/>
      </c>
      <c r="F203" s="21" t="s">
        <v>748</v>
      </c>
      <c r="G203" s="652" t="s">
        <v>1783</v>
      </c>
      <c r="H203" s="13" t="s">
        <v>1784</v>
      </c>
      <c r="I203" s="8" t="s">
        <v>1785</v>
      </c>
      <c r="K203" s="666" t="s">
        <v>939</v>
      </c>
      <c r="L203" s="2">
        <f>P203+Q203</f>
        <v>4</v>
      </c>
      <c r="M203" s="662">
        <v>2</v>
      </c>
      <c r="N203" s="662">
        <v>5</v>
      </c>
      <c r="O203" s="662">
        <v>4</v>
      </c>
      <c r="P203" s="662">
        <v>1</v>
      </c>
      <c r="Q203" s="662">
        <v>3</v>
      </c>
      <c r="R203" s="648">
        <f>SUM(M203:Q203)</f>
        <v>15</v>
      </c>
      <c r="S203" s="648">
        <f>V203+Q203</f>
        <v>6</v>
      </c>
      <c r="T203" s="648">
        <f>W203+Q203</f>
        <v>9</v>
      </c>
      <c r="U203" s="648">
        <f>X203+Q203</f>
        <v>8</v>
      </c>
      <c r="V203" s="648">
        <f>M203+P203</f>
        <v>3</v>
      </c>
      <c r="W203" s="648">
        <f>N203+P203</f>
        <v>6</v>
      </c>
      <c r="X203" s="648">
        <f>O203+P203</f>
        <v>5</v>
      </c>
      <c r="Y203" s="21" t="str">
        <f>_xlfn.XLOOKUP(AA203,Combos!AU:AU,Combos!AT:AT,"",0,1)</f>
        <v/>
      </c>
      <c r="Z203" s="8" t="s">
        <v>1786</v>
      </c>
      <c r="AA203" s="8" t="s">
        <v>1786</v>
      </c>
      <c r="AB203" s="8" t="s">
        <v>1787</v>
      </c>
      <c r="AC203" s="8" t="s">
        <v>950</v>
      </c>
      <c r="AD203" s="8" t="s">
        <v>950</v>
      </c>
    </row>
    <row r="204" spans="1:30">
      <c r="A204" s="21" t="s">
        <v>748</v>
      </c>
      <c r="B204" s="651"/>
      <c r="C204" s="21"/>
      <c r="D204" s="21" t="s">
        <v>748</v>
      </c>
      <c r="E204" s="21" t="str">
        <f>_xlfn.XLOOKUP(G204,Combos!AB:AB,Combos!AA:AA,"",0,1)</f>
        <v/>
      </c>
      <c r="F204" s="21" t="s">
        <v>748</v>
      </c>
      <c r="G204" s="652" t="s">
        <v>1788</v>
      </c>
      <c r="H204" s="13" t="s">
        <v>1789</v>
      </c>
      <c r="I204" s="8" t="s">
        <v>1790</v>
      </c>
      <c r="K204" s="666" t="s">
        <v>939</v>
      </c>
      <c r="L204" s="2">
        <f>P204+Q204</f>
        <v>4</v>
      </c>
      <c r="M204" s="662">
        <v>3</v>
      </c>
      <c r="N204" s="662">
        <v>4</v>
      </c>
      <c r="O204" s="662">
        <v>4</v>
      </c>
      <c r="P204" s="662">
        <v>1</v>
      </c>
      <c r="Q204" s="662">
        <v>3</v>
      </c>
      <c r="R204" s="648">
        <f>SUM(M204:Q204)</f>
        <v>15</v>
      </c>
      <c r="S204" s="648">
        <f>V204+Q204</f>
        <v>7</v>
      </c>
      <c r="T204" s="648">
        <f>W204+Q204</f>
        <v>8</v>
      </c>
      <c r="U204" s="648">
        <f>X204+Q204</f>
        <v>8</v>
      </c>
      <c r="V204" s="648">
        <f>M204+P204</f>
        <v>4</v>
      </c>
      <c r="W204" s="648">
        <f>N204+P204</f>
        <v>5</v>
      </c>
      <c r="X204" s="648">
        <f>O204+P204</f>
        <v>5</v>
      </c>
      <c r="Y204" s="21" t="str">
        <f>_xlfn.XLOOKUP(AA204,Combos!AU:AU,Combos!AT:AT,"",0,1)</f>
        <v/>
      </c>
      <c r="Z204" s="8" t="s">
        <v>1791</v>
      </c>
      <c r="AA204" s="8" t="s">
        <v>1791</v>
      </c>
      <c r="AB204" s="8" t="s">
        <v>1792</v>
      </c>
      <c r="AC204" s="8" t="s">
        <v>1785</v>
      </c>
      <c r="AD204" s="8" t="s">
        <v>1785</v>
      </c>
    </row>
    <row r="205" spans="1:30">
      <c r="A205" s="21" t="s">
        <v>668</v>
      </c>
      <c r="B205" s="651"/>
      <c r="C205" s="21" t="s">
        <v>746</v>
      </c>
      <c r="D205" s="21" t="s">
        <v>748</v>
      </c>
      <c r="E205" s="21" t="str">
        <f>_xlfn.XLOOKUP(G205,Combos!AB:AB,Combos!AA:AA,"",0,1)</f>
        <v/>
      </c>
      <c r="F205" s="21" t="s">
        <v>748</v>
      </c>
      <c r="G205" s="652" t="s">
        <v>1793</v>
      </c>
      <c r="H205" s="8" t="s">
        <v>1794</v>
      </c>
      <c r="I205" s="8" t="s">
        <v>1315</v>
      </c>
      <c r="K205" s="660" t="s">
        <v>646</v>
      </c>
      <c r="L205" s="2">
        <f t="shared" si="24"/>
        <v>9</v>
      </c>
      <c r="M205" s="662">
        <v>1</v>
      </c>
      <c r="N205" s="663">
        <v>2</v>
      </c>
      <c r="O205" s="663">
        <v>2</v>
      </c>
      <c r="P205" s="663">
        <v>4</v>
      </c>
      <c r="Q205" s="663">
        <v>5</v>
      </c>
      <c r="R205" s="648">
        <f t="shared" si="25"/>
        <v>14</v>
      </c>
      <c r="S205" s="648">
        <f t="shared" si="26"/>
        <v>10</v>
      </c>
      <c r="T205" s="648">
        <f t="shared" si="27"/>
        <v>11</v>
      </c>
      <c r="U205" s="648">
        <f t="shared" si="28"/>
        <v>11</v>
      </c>
      <c r="V205" s="648">
        <f t="shared" si="29"/>
        <v>5</v>
      </c>
      <c r="W205" s="648">
        <f t="shared" si="30"/>
        <v>6</v>
      </c>
      <c r="X205" s="648">
        <f t="shared" si="31"/>
        <v>6</v>
      </c>
      <c r="Y205" s="21" t="str">
        <f>_xlfn.XLOOKUP(AA205,Combos!AU:AU,Combos!AT:AT,"",0,1)</f>
        <v/>
      </c>
      <c r="Z205" s="8" t="s">
        <v>1795</v>
      </c>
      <c r="AA205" s="8" t="s">
        <v>1796</v>
      </c>
      <c r="AB205" s="8" t="s">
        <v>1797</v>
      </c>
      <c r="AC205" s="8" t="s">
        <v>1798</v>
      </c>
      <c r="AD205" s="8" t="s">
        <v>1798</v>
      </c>
    </row>
    <row r="206" spans="1:30">
      <c r="A206" s="21" t="s">
        <v>668</v>
      </c>
      <c r="B206" s="651"/>
      <c r="D206" s="21" t="s">
        <v>748</v>
      </c>
      <c r="E206" s="21" t="str">
        <f>_xlfn.XLOOKUP(G206,Combos!AB:AB,Combos!AA:AA,"",0,1)</f>
        <v/>
      </c>
      <c r="F206" s="21" t="s">
        <v>748</v>
      </c>
      <c r="G206" s="652" t="s">
        <v>1799</v>
      </c>
      <c r="H206" s="8" t="s">
        <v>1800</v>
      </c>
      <c r="I206" s="8" t="s">
        <v>1452</v>
      </c>
      <c r="K206" s="660" t="s">
        <v>914</v>
      </c>
      <c r="L206" s="2">
        <f t="shared" si="24"/>
        <v>8</v>
      </c>
      <c r="M206" s="663">
        <v>1</v>
      </c>
      <c r="N206" s="663">
        <v>3</v>
      </c>
      <c r="O206" s="663">
        <v>3</v>
      </c>
      <c r="P206" s="663">
        <v>4</v>
      </c>
      <c r="Q206" s="663">
        <v>4</v>
      </c>
      <c r="R206" s="648">
        <f t="shared" si="25"/>
        <v>15</v>
      </c>
      <c r="S206" s="648">
        <f t="shared" si="26"/>
        <v>9</v>
      </c>
      <c r="T206" s="648">
        <f t="shared" si="27"/>
        <v>11</v>
      </c>
      <c r="U206" s="648">
        <f t="shared" si="28"/>
        <v>11</v>
      </c>
      <c r="V206" s="648">
        <f t="shared" si="29"/>
        <v>5</v>
      </c>
      <c r="W206" s="648">
        <f t="shared" si="30"/>
        <v>7</v>
      </c>
      <c r="X206" s="648">
        <f t="shared" si="31"/>
        <v>7</v>
      </c>
      <c r="Y206" s="21" t="str">
        <f>_xlfn.XLOOKUP(AA206,Combos!AU:AU,Combos!AT:AT,"",0,1)</f>
        <v/>
      </c>
      <c r="Z206" s="8" t="s">
        <v>1452</v>
      </c>
      <c r="AA206" s="8" t="s">
        <v>1801</v>
      </c>
      <c r="AB206" s="8" t="s">
        <v>1802</v>
      </c>
      <c r="AC206" s="8" t="s">
        <v>1348</v>
      </c>
      <c r="AD206" s="8" t="s">
        <v>1348</v>
      </c>
    </row>
    <row r="207" spans="1:30">
      <c r="A207" s="21" t="s">
        <v>668</v>
      </c>
      <c r="B207" s="651"/>
      <c r="C207" s="21" t="s">
        <v>746</v>
      </c>
      <c r="D207" s="21"/>
      <c r="E207" s="21" t="str">
        <f>_xlfn.XLOOKUP(G207,Combos!AB:AB,Combos!AA:AA,"",0,1)</f>
        <v/>
      </c>
      <c r="G207" s="650" t="s">
        <v>1803</v>
      </c>
      <c r="H207" s="8" t="s">
        <v>1804</v>
      </c>
      <c r="I207" s="8" t="s">
        <v>1805</v>
      </c>
      <c r="K207" s="669" t="s">
        <v>939</v>
      </c>
      <c r="L207" s="2">
        <f>P207+Q207</f>
        <v>5</v>
      </c>
      <c r="M207" s="662">
        <v>4</v>
      </c>
      <c r="N207" s="662">
        <v>2</v>
      </c>
      <c r="O207" s="662">
        <v>4</v>
      </c>
      <c r="P207" s="662">
        <v>4</v>
      </c>
      <c r="Q207" s="662">
        <v>1</v>
      </c>
      <c r="R207" s="648">
        <f>SUM(M207:Q207)</f>
        <v>15</v>
      </c>
      <c r="S207" s="648">
        <f>V207+Q207</f>
        <v>9</v>
      </c>
      <c r="T207" s="648">
        <f>W207+Q207</f>
        <v>7</v>
      </c>
      <c r="U207" s="648">
        <f>X207+Q207</f>
        <v>9</v>
      </c>
      <c r="V207" s="648">
        <f>M207+P207</f>
        <v>8</v>
      </c>
      <c r="W207" s="648">
        <f>N207+P207</f>
        <v>6</v>
      </c>
      <c r="X207" s="648">
        <f>O207+P207</f>
        <v>8</v>
      </c>
      <c r="Y207" s="21" t="str">
        <f>_xlfn.XLOOKUP(AA207,Combos!AU:AU,Combos!AT:AT,"",0,1)</f>
        <v/>
      </c>
      <c r="Z207" s="8" t="s">
        <v>1806</v>
      </c>
      <c r="AA207" s="8" t="s">
        <v>1806</v>
      </c>
      <c r="AB207" s="8" t="s">
        <v>1807</v>
      </c>
      <c r="AC207" s="8" t="s">
        <v>1343</v>
      </c>
      <c r="AD207" s="8" t="s">
        <v>1343</v>
      </c>
    </row>
    <row r="208" spans="1:30">
      <c r="A208" s="21" t="s">
        <v>668</v>
      </c>
      <c r="B208" s="651"/>
      <c r="C208" s="21">
        <v>1</v>
      </c>
      <c r="D208" s="655" t="s">
        <v>748</v>
      </c>
      <c r="E208" s="21" t="str">
        <f>_xlfn.XLOOKUP(G208,Combos!AB:AB,Combos!AA:AA,"",0,1)</f>
        <v/>
      </c>
      <c r="F208" s="21" t="s">
        <v>748</v>
      </c>
      <c r="G208" s="650" t="s">
        <v>1808</v>
      </c>
      <c r="H208" s="8" t="s">
        <v>1809</v>
      </c>
      <c r="I208" s="8" t="s">
        <v>690</v>
      </c>
      <c r="K208" s="7" t="s">
        <v>654</v>
      </c>
      <c r="L208" s="2">
        <f t="shared" si="24"/>
        <v>6</v>
      </c>
      <c r="M208" s="663">
        <v>5</v>
      </c>
      <c r="N208" s="663">
        <v>2</v>
      </c>
      <c r="O208" s="663">
        <v>2</v>
      </c>
      <c r="P208" s="662">
        <v>3</v>
      </c>
      <c r="Q208" s="662">
        <v>3</v>
      </c>
      <c r="R208" s="648">
        <f t="shared" si="25"/>
        <v>15</v>
      </c>
      <c r="S208" s="648">
        <f t="shared" si="26"/>
        <v>11</v>
      </c>
      <c r="T208" s="648">
        <f t="shared" si="27"/>
        <v>8</v>
      </c>
      <c r="U208" s="648">
        <f t="shared" si="28"/>
        <v>8</v>
      </c>
      <c r="V208" s="648">
        <f t="shared" si="29"/>
        <v>8</v>
      </c>
      <c r="W208" s="648">
        <f t="shared" si="30"/>
        <v>5</v>
      </c>
      <c r="X208" s="648">
        <f t="shared" si="31"/>
        <v>5</v>
      </c>
      <c r="Y208" s="21" t="str">
        <f>_xlfn.XLOOKUP(AA208,Combos!AU:AU,Combos!AT:AT,"",0,1)</f>
        <v/>
      </c>
      <c r="Z208" s="8" t="s">
        <v>1810</v>
      </c>
      <c r="AA208" s="8" t="s">
        <v>1810</v>
      </c>
      <c r="AB208" s="8" t="s">
        <v>1811</v>
      </c>
      <c r="AC208" s="665" t="s">
        <v>1812</v>
      </c>
      <c r="AD208" s="665" t="s">
        <v>1813</v>
      </c>
    </row>
    <row r="209" spans="1:30">
      <c r="A209" s="21" t="s">
        <v>738</v>
      </c>
      <c r="B209" s="649">
        <v>1</v>
      </c>
      <c r="D209" s="21" t="s">
        <v>748</v>
      </c>
      <c r="E209" s="21" t="str">
        <f>_xlfn.XLOOKUP(G209,Combos!AB:AB,Combos!AA:AA,"",0,1)</f>
        <v/>
      </c>
      <c r="F209" s="21" t="s">
        <v>748</v>
      </c>
      <c r="G209" s="677" t="s">
        <v>1814</v>
      </c>
      <c r="H209" s="8" t="s">
        <v>1815</v>
      </c>
      <c r="I209" s="659" t="s">
        <v>1601</v>
      </c>
      <c r="K209" s="7" t="s">
        <v>646</v>
      </c>
      <c r="L209" s="661">
        <f t="shared" si="24"/>
        <v>6</v>
      </c>
      <c r="M209" s="663">
        <v>4</v>
      </c>
      <c r="N209" s="663">
        <v>3</v>
      </c>
      <c r="O209" s="663">
        <v>2</v>
      </c>
      <c r="P209" s="663">
        <v>3</v>
      </c>
      <c r="Q209" s="663">
        <v>3</v>
      </c>
      <c r="R209" s="648">
        <f t="shared" si="25"/>
        <v>15</v>
      </c>
      <c r="S209" s="648">
        <f t="shared" si="26"/>
        <v>10</v>
      </c>
      <c r="T209" s="648">
        <f t="shared" si="27"/>
        <v>9</v>
      </c>
      <c r="U209" s="648">
        <f t="shared" si="28"/>
        <v>8</v>
      </c>
      <c r="V209" s="648">
        <f t="shared" si="29"/>
        <v>7</v>
      </c>
      <c r="W209" s="648">
        <f t="shared" si="30"/>
        <v>6</v>
      </c>
      <c r="X209" s="648">
        <f t="shared" si="31"/>
        <v>5</v>
      </c>
      <c r="Y209" s="21" t="str">
        <f>_xlfn.XLOOKUP(AA209,Combos!AU:AU,Combos!AT:AT,"",0,1)</f>
        <v/>
      </c>
      <c r="Z209" s="659" t="s">
        <v>1816</v>
      </c>
      <c r="AA209" s="659" t="s">
        <v>1816</v>
      </c>
      <c r="AB209" s="659" t="s">
        <v>1815</v>
      </c>
      <c r="AC209" s="8" t="s">
        <v>1790</v>
      </c>
      <c r="AD209" s="8" t="s">
        <v>1790</v>
      </c>
    </row>
    <row r="210" spans="1:30">
      <c r="A210" s="21" t="s">
        <v>668</v>
      </c>
      <c r="B210" s="651"/>
      <c r="C210" s="21" t="s">
        <v>746</v>
      </c>
      <c r="D210" s="21" t="s">
        <v>748</v>
      </c>
      <c r="E210" s="21" t="str">
        <f>_xlfn.XLOOKUP(G210,Combos!AB:AB,Combos!AA:AA,"",0,1)</f>
        <v/>
      </c>
      <c r="F210" s="21" t="s">
        <v>748</v>
      </c>
      <c r="G210" s="650" t="s">
        <v>1817</v>
      </c>
      <c r="H210" s="8" t="s">
        <v>1818</v>
      </c>
      <c r="I210" s="8" t="s">
        <v>1605</v>
      </c>
      <c r="K210" s="7" t="s">
        <v>654</v>
      </c>
      <c r="L210" s="2">
        <f t="shared" si="24"/>
        <v>6</v>
      </c>
      <c r="M210" s="663">
        <v>4</v>
      </c>
      <c r="N210" s="663">
        <v>3</v>
      </c>
      <c r="O210" s="663">
        <v>2</v>
      </c>
      <c r="P210" s="663">
        <v>3</v>
      </c>
      <c r="Q210" s="663">
        <v>3</v>
      </c>
      <c r="R210" s="648">
        <f t="shared" si="25"/>
        <v>15</v>
      </c>
      <c r="S210" s="648">
        <f t="shared" si="26"/>
        <v>10</v>
      </c>
      <c r="T210" s="648">
        <f t="shared" si="27"/>
        <v>9</v>
      </c>
      <c r="U210" s="648">
        <f t="shared" si="28"/>
        <v>8</v>
      </c>
      <c r="V210" s="648">
        <f t="shared" si="29"/>
        <v>7</v>
      </c>
      <c r="W210" s="648">
        <f t="shared" si="30"/>
        <v>6</v>
      </c>
      <c r="X210" s="648">
        <f t="shared" si="31"/>
        <v>5</v>
      </c>
      <c r="Y210" s="21" t="str">
        <f>_xlfn.XLOOKUP(AA210,Combos!AU:AU,Combos!AT:AT,"",0,1)</f>
        <v/>
      </c>
      <c r="Z210" s="8" t="s">
        <v>1819</v>
      </c>
      <c r="AA210" s="8" t="s">
        <v>1819</v>
      </c>
      <c r="AB210" s="8" t="s">
        <v>1818</v>
      </c>
      <c r="AC210" s="8" t="s">
        <v>1487</v>
      </c>
      <c r="AD210" s="8" t="s">
        <v>1487</v>
      </c>
    </row>
    <row r="211" spans="1:30">
      <c r="A211" s="21" t="s">
        <v>748</v>
      </c>
      <c r="B211" s="651"/>
      <c r="D211" s="21" t="s">
        <v>748</v>
      </c>
      <c r="E211" s="21" t="str">
        <f>_xlfn.XLOOKUP(G211,Combos!AB:AB,Combos!AA:AA,"",0,1)</f>
        <v/>
      </c>
      <c r="F211" s="21" t="s">
        <v>748</v>
      </c>
      <c r="G211" s="650" t="s">
        <v>1820</v>
      </c>
      <c r="H211" s="8" t="s">
        <v>1821</v>
      </c>
      <c r="I211" s="8" t="s">
        <v>1434</v>
      </c>
      <c r="K211" s="7" t="s">
        <v>646</v>
      </c>
      <c r="L211" s="2">
        <f t="shared" si="24"/>
        <v>6</v>
      </c>
      <c r="M211" s="663">
        <v>4</v>
      </c>
      <c r="N211" s="663">
        <v>3</v>
      </c>
      <c r="O211" s="663">
        <v>2</v>
      </c>
      <c r="P211" s="663">
        <v>3</v>
      </c>
      <c r="Q211" s="663">
        <v>3</v>
      </c>
      <c r="R211" s="648">
        <f t="shared" si="25"/>
        <v>15</v>
      </c>
      <c r="S211" s="648">
        <f t="shared" si="26"/>
        <v>10</v>
      </c>
      <c r="T211" s="648">
        <f t="shared" si="27"/>
        <v>9</v>
      </c>
      <c r="U211" s="648">
        <f t="shared" si="28"/>
        <v>8</v>
      </c>
      <c r="V211" s="648">
        <f t="shared" si="29"/>
        <v>7</v>
      </c>
      <c r="W211" s="648">
        <f t="shared" si="30"/>
        <v>6</v>
      </c>
      <c r="X211" s="648">
        <f t="shared" si="31"/>
        <v>5</v>
      </c>
      <c r="Y211" s="21" t="str">
        <f>_xlfn.XLOOKUP(AA211,Combos!AU:AU,Combos!AT:AT,"",0,1)</f>
        <v/>
      </c>
      <c r="Z211" s="8" t="s">
        <v>1822</v>
      </c>
      <c r="AA211" s="8" t="s">
        <v>1822</v>
      </c>
      <c r="AB211" s="8" t="s">
        <v>1823</v>
      </c>
      <c r="AC211" s="8" t="s">
        <v>1805</v>
      </c>
      <c r="AD211" s="8" t="s">
        <v>1805</v>
      </c>
    </row>
    <row r="212" spans="1:30">
      <c r="A212" s="21" t="s">
        <v>748</v>
      </c>
      <c r="B212" s="651"/>
      <c r="D212" s="21" t="s">
        <v>748</v>
      </c>
      <c r="E212" s="21" t="str">
        <f>_xlfn.XLOOKUP(G212,Combos!AB:AB,Combos!AA:AA,"",0,1)</f>
        <v/>
      </c>
      <c r="F212" s="21" t="s">
        <v>748</v>
      </c>
      <c r="G212" s="8" t="s">
        <v>1824</v>
      </c>
      <c r="H212" s="656" t="s">
        <v>1825</v>
      </c>
      <c r="I212" s="676" t="s">
        <v>1500</v>
      </c>
      <c r="K212" s="668" t="s">
        <v>914</v>
      </c>
      <c r="L212" s="2">
        <f t="shared" si="24"/>
        <v>8</v>
      </c>
      <c r="M212" s="663">
        <v>2</v>
      </c>
      <c r="N212" s="663">
        <v>4</v>
      </c>
      <c r="O212" s="663">
        <v>2</v>
      </c>
      <c r="P212" s="683">
        <v>3</v>
      </c>
      <c r="Q212" s="683">
        <v>5</v>
      </c>
      <c r="R212" s="654">
        <f t="shared" si="25"/>
        <v>16</v>
      </c>
      <c r="S212" s="648">
        <f t="shared" si="26"/>
        <v>10</v>
      </c>
      <c r="T212" s="648">
        <f t="shared" si="27"/>
        <v>12</v>
      </c>
      <c r="U212" s="648">
        <f t="shared" si="28"/>
        <v>10</v>
      </c>
      <c r="V212" s="648">
        <f t="shared" si="29"/>
        <v>5</v>
      </c>
      <c r="W212" s="648">
        <f t="shared" si="30"/>
        <v>7</v>
      </c>
      <c r="X212" s="648">
        <f t="shared" si="31"/>
        <v>5</v>
      </c>
      <c r="Y212" s="21" t="str">
        <f>_xlfn.XLOOKUP(AA212,Combos!AU:AU,Combos!AT:AT,"",0,1)</f>
        <v/>
      </c>
      <c r="Z212" s="676" t="s">
        <v>1826</v>
      </c>
      <c r="AA212" s="676" t="s">
        <v>1827</v>
      </c>
      <c r="AB212" s="676" t="s">
        <v>1828</v>
      </c>
      <c r="AC212" s="8" t="s">
        <v>1044</v>
      </c>
      <c r="AD212" s="8" t="s">
        <v>1044</v>
      </c>
    </row>
    <row r="213" spans="1:30">
      <c r="A213" s="21" t="s">
        <v>668</v>
      </c>
      <c r="B213" s="651"/>
      <c r="C213" s="21" t="s">
        <v>746</v>
      </c>
      <c r="D213" s="21" t="s">
        <v>748</v>
      </c>
      <c r="E213" s="21" t="str">
        <f>_xlfn.XLOOKUP(G213,Combos!AB:AB,Combos!AA:AA,"",0,1)</f>
        <v/>
      </c>
      <c r="F213" s="21" t="s">
        <v>748</v>
      </c>
      <c r="G213" s="652" t="s">
        <v>1829</v>
      </c>
      <c r="H213" s="8" t="s">
        <v>1830</v>
      </c>
      <c r="I213" s="8" t="s">
        <v>1572</v>
      </c>
      <c r="K213" s="660" t="s">
        <v>914</v>
      </c>
      <c r="L213" s="2">
        <f t="shared" si="24"/>
        <v>8</v>
      </c>
      <c r="M213" s="684">
        <v>2</v>
      </c>
      <c r="N213" s="683">
        <v>3</v>
      </c>
      <c r="O213" s="683">
        <v>2</v>
      </c>
      <c r="P213" s="683">
        <v>4</v>
      </c>
      <c r="Q213" s="683">
        <v>4</v>
      </c>
      <c r="R213" s="648">
        <f t="shared" si="25"/>
        <v>15</v>
      </c>
      <c r="S213" s="648">
        <f t="shared" si="26"/>
        <v>10</v>
      </c>
      <c r="T213" s="648">
        <f t="shared" si="27"/>
        <v>11</v>
      </c>
      <c r="U213" s="648">
        <f t="shared" si="28"/>
        <v>10</v>
      </c>
      <c r="V213" s="648">
        <f t="shared" si="29"/>
        <v>6</v>
      </c>
      <c r="W213" s="648">
        <f t="shared" si="30"/>
        <v>7</v>
      </c>
      <c r="X213" s="648">
        <f t="shared" si="31"/>
        <v>6</v>
      </c>
      <c r="Y213" s="21" t="str">
        <f>_xlfn.XLOOKUP(AA213,Combos!AU:AU,Combos!AT:AT,"",0,1)</f>
        <v/>
      </c>
      <c r="Z213" s="8" t="s">
        <v>1572</v>
      </c>
      <c r="AA213" s="8" t="s">
        <v>1831</v>
      </c>
      <c r="AB213" s="8" t="s">
        <v>1832</v>
      </c>
      <c r="AC213" s="8" t="s">
        <v>1833</v>
      </c>
      <c r="AD213" s="8" t="s">
        <v>1833</v>
      </c>
    </row>
    <row r="214" spans="2:30">
      <c r="B214" s="649">
        <v>1</v>
      </c>
      <c r="E214" s="21" t="str">
        <f>_xlfn.XLOOKUP(G214,Combos!AB:AB,Combos!AA:AA,"",0,1)</f>
        <v/>
      </c>
      <c r="F214" s="21">
        <v>1</v>
      </c>
      <c r="G214" s="678" t="s">
        <v>1834</v>
      </c>
      <c r="H214" s="8" t="s">
        <v>1835</v>
      </c>
      <c r="I214" s="659" t="s">
        <v>1577</v>
      </c>
      <c r="K214" s="660" t="s">
        <v>914</v>
      </c>
      <c r="L214" s="661">
        <f t="shared" si="24"/>
        <v>9</v>
      </c>
      <c r="M214" s="685">
        <v>1</v>
      </c>
      <c r="N214" s="662">
        <v>4</v>
      </c>
      <c r="O214" s="662">
        <v>1</v>
      </c>
      <c r="P214" s="662">
        <v>5</v>
      </c>
      <c r="Q214" s="662">
        <v>4</v>
      </c>
      <c r="R214" s="648">
        <f t="shared" si="25"/>
        <v>15</v>
      </c>
      <c r="S214" s="648">
        <f t="shared" si="26"/>
        <v>10</v>
      </c>
      <c r="T214" s="648">
        <f t="shared" si="27"/>
        <v>13</v>
      </c>
      <c r="U214" s="648">
        <f t="shared" si="28"/>
        <v>10</v>
      </c>
      <c r="V214" s="648">
        <f t="shared" si="29"/>
        <v>6</v>
      </c>
      <c r="W214" s="648">
        <f t="shared" si="30"/>
        <v>9</v>
      </c>
      <c r="X214" s="648">
        <f t="shared" si="31"/>
        <v>6</v>
      </c>
      <c r="Y214" s="21" t="str">
        <f>_xlfn.XLOOKUP(AA214,Combos!AU:AU,Combos!AT:AT,"",0,1)</f>
        <v/>
      </c>
      <c r="Z214" s="659" t="s">
        <v>1836</v>
      </c>
      <c r="AA214" s="659" t="s">
        <v>1837</v>
      </c>
      <c r="AB214" s="659" t="s">
        <v>1838</v>
      </c>
      <c r="AC214" s="8" t="s">
        <v>1462</v>
      </c>
      <c r="AD214" s="8" t="s">
        <v>1462</v>
      </c>
    </row>
    <row r="215" spans="1:30">
      <c r="A215" s="21" t="s">
        <v>748</v>
      </c>
      <c r="B215" s="651"/>
      <c r="D215" s="21" t="s">
        <v>748</v>
      </c>
      <c r="E215" s="21" t="str">
        <f>_xlfn.XLOOKUP(G215,Combos!AB:AB,Combos!AA:AA,"",0,1)</f>
        <v/>
      </c>
      <c r="F215" s="21" t="s">
        <v>748</v>
      </c>
      <c r="G215" s="679" t="s">
        <v>1839</v>
      </c>
      <c r="H215" s="8" t="s">
        <v>1840</v>
      </c>
      <c r="I215" s="8" t="s">
        <v>1610</v>
      </c>
      <c r="K215" s="668" t="s">
        <v>914</v>
      </c>
      <c r="L215" s="2">
        <f t="shared" si="24"/>
        <v>7</v>
      </c>
      <c r="M215" s="663">
        <v>2</v>
      </c>
      <c r="N215" s="663">
        <v>3</v>
      </c>
      <c r="O215" s="663">
        <v>3</v>
      </c>
      <c r="P215" s="663">
        <v>3</v>
      </c>
      <c r="Q215" s="663">
        <v>4</v>
      </c>
      <c r="R215" s="648">
        <f t="shared" si="25"/>
        <v>15</v>
      </c>
      <c r="S215" s="648">
        <f t="shared" si="26"/>
        <v>9</v>
      </c>
      <c r="T215" s="648">
        <f t="shared" si="27"/>
        <v>10</v>
      </c>
      <c r="U215" s="648">
        <f t="shared" si="28"/>
        <v>10</v>
      </c>
      <c r="V215" s="648">
        <f t="shared" si="29"/>
        <v>5</v>
      </c>
      <c r="W215" s="648">
        <f t="shared" si="30"/>
        <v>6</v>
      </c>
      <c r="X215" s="648">
        <f t="shared" si="31"/>
        <v>6</v>
      </c>
      <c r="Y215" s="21" t="str">
        <f>_xlfn.XLOOKUP(AA215,Combos!AU:AU,Combos!AT:AT,"",0,1)</f>
        <v/>
      </c>
      <c r="Z215" s="8" t="s">
        <v>1841</v>
      </c>
      <c r="AA215" s="8" t="s">
        <v>1841</v>
      </c>
      <c r="AB215" s="8" t="s">
        <v>1842</v>
      </c>
      <c r="AC215" s="8" t="s">
        <v>1843</v>
      </c>
      <c r="AD215" s="8" t="s">
        <v>1843</v>
      </c>
    </row>
    <row r="216" ht="27" spans="1:30">
      <c r="A216" s="21" t="s">
        <v>668</v>
      </c>
      <c r="B216" s="651"/>
      <c r="C216" s="21" t="s">
        <v>746</v>
      </c>
      <c r="D216" s="21" t="s">
        <v>748</v>
      </c>
      <c r="E216" s="21" t="str">
        <f>_xlfn.XLOOKUP(G216,Combos!AB:AB,Combos!AA:AA,"",0,1)</f>
        <v/>
      </c>
      <c r="F216" s="21" t="s">
        <v>748</v>
      </c>
      <c r="G216" s="679" t="s">
        <v>1844</v>
      </c>
      <c r="H216" s="8" t="s">
        <v>1845</v>
      </c>
      <c r="I216" s="8" t="s">
        <v>1833</v>
      </c>
      <c r="K216" s="660" t="s">
        <v>939</v>
      </c>
      <c r="L216" s="2">
        <f>P216+Q216</f>
        <v>8</v>
      </c>
      <c r="M216" s="662">
        <v>3</v>
      </c>
      <c r="N216" s="662">
        <v>1</v>
      </c>
      <c r="O216" s="662">
        <v>3</v>
      </c>
      <c r="P216" s="662">
        <v>4</v>
      </c>
      <c r="Q216" s="662">
        <v>4</v>
      </c>
      <c r="R216" s="648">
        <f>SUM(M216:Q216)</f>
        <v>15</v>
      </c>
      <c r="S216" s="648">
        <f>V216+Q216</f>
        <v>11</v>
      </c>
      <c r="T216" s="648">
        <f>W216+Q216</f>
        <v>9</v>
      </c>
      <c r="U216" s="648">
        <f>X216+Q216</f>
        <v>11</v>
      </c>
      <c r="V216" s="648">
        <f>M216+P216</f>
        <v>7</v>
      </c>
      <c r="W216" s="648">
        <f>N216+P216</f>
        <v>5</v>
      </c>
      <c r="X216" s="648">
        <f>O216+P216</f>
        <v>7</v>
      </c>
      <c r="Y216" s="21" t="str">
        <f>_xlfn.XLOOKUP(AA216,Combos!AU:AU,Combos!AT:AT,"",0,1)</f>
        <v/>
      </c>
      <c r="Z216" s="8" t="s">
        <v>1846</v>
      </c>
      <c r="AA216" s="8" t="s">
        <v>1846</v>
      </c>
      <c r="AB216" s="8" t="s">
        <v>1847</v>
      </c>
      <c r="AC216" s="8" t="s">
        <v>1848</v>
      </c>
      <c r="AD216" s="8" t="s">
        <v>1848</v>
      </c>
    </row>
    <row r="217" spans="1:30">
      <c r="A217" s="21" t="s">
        <v>668</v>
      </c>
      <c r="B217" s="651"/>
      <c r="C217" s="21" t="s">
        <v>746</v>
      </c>
      <c r="D217" s="21" t="s">
        <v>748</v>
      </c>
      <c r="E217" s="21" t="str">
        <f>_xlfn.XLOOKUP(G217,Combos!AB:AB,Combos!AA:AA,"",0,1)</f>
        <v/>
      </c>
      <c r="F217" s="21" t="s">
        <v>748</v>
      </c>
      <c r="G217" s="679" t="s">
        <v>1849</v>
      </c>
      <c r="H217" s="8" t="s">
        <v>1850</v>
      </c>
      <c r="I217" s="8" t="s">
        <v>1851</v>
      </c>
      <c r="K217" s="660" t="s">
        <v>646</v>
      </c>
      <c r="L217" s="2">
        <f t="shared" si="24"/>
        <v>8</v>
      </c>
      <c r="M217" s="662">
        <v>3</v>
      </c>
      <c r="N217" s="662">
        <v>3</v>
      </c>
      <c r="O217" s="662">
        <v>1</v>
      </c>
      <c r="P217" s="662">
        <v>4</v>
      </c>
      <c r="Q217" s="662">
        <v>4</v>
      </c>
      <c r="R217" s="648">
        <f t="shared" si="25"/>
        <v>15</v>
      </c>
      <c r="S217" s="648">
        <f t="shared" si="26"/>
        <v>11</v>
      </c>
      <c r="T217" s="648">
        <f t="shared" si="27"/>
        <v>11</v>
      </c>
      <c r="U217" s="648">
        <f t="shared" si="28"/>
        <v>9</v>
      </c>
      <c r="V217" s="648">
        <f t="shared" si="29"/>
        <v>7</v>
      </c>
      <c r="W217" s="648">
        <f t="shared" si="30"/>
        <v>7</v>
      </c>
      <c r="X217" s="648">
        <f t="shared" si="31"/>
        <v>5</v>
      </c>
      <c r="Y217" s="21" t="str">
        <f>_xlfn.XLOOKUP(AA217,Combos!AU:AU,Combos!AT:AT,"",0,1)</f>
        <v/>
      </c>
      <c r="Z217" s="8" t="s">
        <v>1852</v>
      </c>
      <c r="AA217" s="8" t="s">
        <v>1852</v>
      </c>
      <c r="AB217" s="8" t="s">
        <v>1853</v>
      </c>
      <c r="AC217" s="8" t="s">
        <v>1854</v>
      </c>
      <c r="AD217" s="8" t="s">
        <v>1854</v>
      </c>
    </row>
    <row r="218" spans="2:30">
      <c r="B218" s="649">
        <v>1</v>
      </c>
      <c r="E218" s="21" t="str">
        <f>_xlfn.XLOOKUP(G218,Combos!AB:AB,Combos!AA:AA,"",0,1)</f>
        <v/>
      </c>
      <c r="F218" s="21">
        <v>1</v>
      </c>
      <c r="G218" s="680" t="s">
        <v>1855</v>
      </c>
      <c r="H218" s="656" t="s">
        <v>1856</v>
      </c>
      <c r="I218" s="665" t="s">
        <v>1624</v>
      </c>
      <c r="K218" s="660" t="s">
        <v>914</v>
      </c>
      <c r="L218" s="661">
        <f t="shared" si="24"/>
        <v>10</v>
      </c>
      <c r="M218" s="662">
        <v>4</v>
      </c>
      <c r="N218" s="662">
        <v>1</v>
      </c>
      <c r="O218" s="662">
        <v>1</v>
      </c>
      <c r="P218" s="662">
        <v>5</v>
      </c>
      <c r="Q218" s="662">
        <v>5</v>
      </c>
      <c r="R218" s="654">
        <f t="shared" si="25"/>
        <v>16</v>
      </c>
      <c r="S218" s="648">
        <f t="shared" si="26"/>
        <v>14</v>
      </c>
      <c r="T218" s="648">
        <f t="shared" si="27"/>
        <v>11</v>
      </c>
      <c r="U218" s="648">
        <f t="shared" si="28"/>
        <v>11</v>
      </c>
      <c r="V218" s="648">
        <f t="shared" si="29"/>
        <v>9</v>
      </c>
      <c r="W218" s="648">
        <f t="shared" si="30"/>
        <v>6</v>
      </c>
      <c r="X218" s="648">
        <f t="shared" si="31"/>
        <v>6</v>
      </c>
      <c r="Y218" s="21" t="str">
        <f>_xlfn.XLOOKUP(AA218,Combos!AU:AU,Combos!AT:AT,"",0,1)</f>
        <v/>
      </c>
      <c r="Z218" s="665" t="s">
        <v>1857</v>
      </c>
      <c r="AA218" s="665" t="s">
        <v>1858</v>
      </c>
      <c r="AB218" s="665" t="s">
        <v>1859</v>
      </c>
      <c r="AC218" s="8" t="s">
        <v>1860</v>
      </c>
      <c r="AD218" s="8" t="s">
        <v>1860</v>
      </c>
    </row>
    <row r="219" spans="2:30">
      <c r="B219" s="649">
        <v>1</v>
      </c>
      <c r="E219" s="21" t="str">
        <f>_xlfn.XLOOKUP(G219,Combos!AB:AB,Combos!AA:AA,"",0,1)</f>
        <v/>
      </c>
      <c r="F219" s="21">
        <v>1</v>
      </c>
      <c r="G219" s="679" t="s">
        <v>1861</v>
      </c>
      <c r="H219" s="13" t="s">
        <v>1862</v>
      </c>
      <c r="I219" s="659" t="s">
        <v>1674</v>
      </c>
      <c r="K219" s="669" t="s">
        <v>914</v>
      </c>
      <c r="L219" s="661">
        <f t="shared" si="24"/>
        <v>6</v>
      </c>
      <c r="M219" s="662">
        <v>1</v>
      </c>
      <c r="N219" s="662">
        <v>4</v>
      </c>
      <c r="O219" s="662">
        <v>4</v>
      </c>
      <c r="P219" s="662">
        <v>5</v>
      </c>
      <c r="Q219" s="662">
        <v>1</v>
      </c>
      <c r="R219" s="648">
        <f t="shared" si="25"/>
        <v>15</v>
      </c>
      <c r="S219" s="648">
        <f t="shared" si="26"/>
        <v>7</v>
      </c>
      <c r="T219" s="648">
        <f t="shared" si="27"/>
        <v>10</v>
      </c>
      <c r="U219" s="648">
        <f t="shared" si="28"/>
        <v>10</v>
      </c>
      <c r="V219" s="648">
        <f t="shared" si="29"/>
        <v>6</v>
      </c>
      <c r="W219" s="648">
        <f t="shared" si="30"/>
        <v>9</v>
      </c>
      <c r="X219" s="648">
        <f t="shared" si="31"/>
        <v>9</v>
      </c>
      <c r="Y219" s="21" t="str">
        <f>_xlfn.XLOOKUP(AA219,Combos!AU:AU,Combos!AT:AT,"",0,1)</f>
        <v/>
      </c>
      <c r="Z219" s="659" t="s">
        <v>1863</v>
      </c>
      <c r="AA219" s="659" t="s">
        <v>1674</v>
      </c>
      <c r="AB219" s="659" t="s">
        <v>1864</v>
      </c>
      <c r="AC219" s="659" t="s">
        <v>1865</v>
      </c>
      <c r="AD219" s="659" t="s">
        <v>1865</v>
      </c>
    </row>
    <row r="220" spans="1:30">
      <c r="A220" s="21" t="s">
        <v>668</v>
      </c>
      <c r="B220" s="651"/>
      <c r="C220" s="648">
        <v>2</v>
      </c>
      <c r="D220" s="653" t="s">
        <v>748</v>
      </c>
      <c r="E220" s="21" t="str">
        <f>_xlfn.XLOOKUP(G220,Combos!AB:AB,Combos!AA:AA,"",0,1)</f>
        <v/>
      </c>
      <c r="F220" s="21" t="s">
        <v>748</v>
      </c>
      <c r="G220" s="679" t="s">
        <v>1866</v>
      </c>
      <c r="H220" s="8" t="s">
        <v>1867</v>
      </c>
      <c r="I220" s="8" t="s">
        <v>1868</v>
      </c>
      <c r="K220" s="7" t="s">
        <v>939</v>
      </c>
      <c r="L220" s="2">
        <f>P220+Q220</f>
        <v>6</v>
      </c>
      <c r="M220" s="663">
        <v>2</v>
      </c>
      <c r="N220" s="663">
        <v>4</v>
      </c>
      <c r="O220" s="663">
        <v>3</v>
      </c>
      <c r="P220" s="662">
        <v>3</v>
      </c>
      <c r="Q220" s="662">
        <v>3</v>
      </c>
      <c r="R220" s="648">
        <f>SUM(M220:Q220)</f>
        <v>15</v>
      </c>
      <c r="S220" s="648">
        <f>V220+Q220</f>
        <v>8</v>
      </c>
      <c r="T220" s="648">
        <f>W220+Q220</f>
        <v>10</v>
      </c>
      <c r="U220" s="648">
        <f>X220+Q220</f>
        <v>9</v>
      </c>
      <c r="V220" s="648">
        <f>M220+P220</f>
        <v>5</v>
      </c>
      <c r="W220" s="648">
        <f>N220+P220</f>
        <v>7</v>
      </c>
      <c r="X220" s="648">
        <f>O220+P220</f>
        <v>6</v>
      </c>
      <c r="Y220" s="21" t="str">
        <f>_xlfn.XLOOKUP(AA220,Combos!AU:AU,Combos!AT:AT,"",0,1)</f>
        <v/>
      </c>
      <c r="Z220" s="8" t="s">
        <v>1869</v>
      </c>
      <c r="AA220" s="8" t="s">
        <v>1869</v>
      </c>
      <c r="AB220" s="8" t="s">
        <v>1870</v>
      </c>
      <c r="AC220" s="659" t="s">
        <v>842</v>
      </c>
      <c r="AD220" s="659" t="s">
        <v>842</v>
      </c>
    </row>
    <row r="221" spans="1:30">
      <c r="A221" s="21" t="s">
        <v>738</v>
      </c>
      <c r="B221" s="649">
        <v>1</v>
      </c>
      <c r="D221" s="21" t="s">
        <v>748</v>
      </c>
      <c r="E221" s="21" t="str">
        <f>_xlfn.XLOOKUP(G221,Combos!AB:AB,Combos!AA:AA,"",0,1)</f>
        <v/>
      </c>
      <c r="F221" s="21" t="s">
        <v>748</v>
      </c>
      <c r="G221" s="680" t="s">
        <v>1871</v>
      </c>
      <c r="H221" s="8" t="s">
        <v>1872</v>
      </c>
      <c r="I221" s="659" t="s">
        <v>1560</v>
      </c>
      <c r="K221" s="668" t="s">
        <v>654</v>
      </c>
      <c r="L221" s="661">
        <f t="shared" si="24"/>
        <v>7</v>
      </c>
      <c r="M221" s="662">
        <v>4</v>
      </c>
      <c r="N221" s="662">
        <v>3</v>
      </c>
      <c r="O221" s="662">
        <v>1</v>
      </c>
      <c r="P221" s="662">
        <v>3</v>
      </c>
      <c r="Q221" s="662">
        <v>4</v>
      </c>
      <c r="R221" s="648">
        <f t="shared" si="25"/>
        <v>15</v>
      </c>
      <c r="S221" s="648">
        <f t="shared" si="26"/>
        <v>11</v>
      </c>
      <c r="T221" s="648">
        <f t="shared" si="27"/>
        <v>10</v>
      </c>
      <c r="U221" s="648">
        <f t="shared" si="28"/>
        <v>8</v>
      </c>
      <c r="V221" s="648">
        <f t="shared" si="29"/>
        <v>7</v>
      </c>
      <c r="W221" s="648">
        <f t="shared" si="30"/>
        <v>6</v>
      </c>
      <c r="X221" s="648">
        <f t="shared" si="31"/>
        <v>4</v>
      </c>
      <c r="Y221" s="21" t="str">
        <f>_xlfn.XLOOKUP(AA221,Combos!AU:AU,Combos!AT:AT,"",0,1)</f>
        <v/>
      </c>
      <c r="Z221" s="659" t="s">
        <v>1873</v>
      </c>
      <c r="AA221" s="659" t="s">
        <v>1873</v>
      </c>
      <c r="AB221" s="659" t="s">
        <v>1874</v>
      </c>
      <c r="AC221" s="665" t="s">
        <v>1875</v>
      </c>
      <c r="AD221" s="665" t="s">
        <v>774</v>
      </c>
    </row>
    <row r="222" spans="1:30">
      <c r="A222" s="21" t="s">
        <v>738</v>
      </c>
      <c r="B222" s="649">
        <v>1</v>
      </c>
      <c r="D222" s="21" t="s">
        <v>748</v>
      </c>
      <c r="E222" s="21" t="str">
        <f>_xlfn.XLOOKUP(G222,Combos!AB:AB,Combos!AA:AA,"",0,1)</f>
        <v/>
      </c>
      <c r="F222" s="21" t="s">
        <v>748</v>
      </c>
      <c r="G222" s="680" t="s">
        <v>1876</v>
      </c>
      <c r="H222" s="8" t="s">
        <v>1877</v>
      </c>
      <c r="I222" s="659" t="s">
        <v>1554</v>
      </c>
      <c r="K222" s="668" t="s">
        <v>646</v>
      </c>
      <c r="L222" s="661">
        <f t="shared" si="24"/>
        <v>7</v>
      </c>
      <c r="M222" s="662">
        <v>4</v>
      </c>
      <c r="N222" s="662">
        <v>3</v>
      </c>
      <c r="O222" s="662">
        <v>1</v>
      </c>
      <c r="P222" s="662">
        <v>3</v>
      </c>
      <c r="Q222" s="662">
        <v>4</v>
      </c>
      <c r="R222" s="648">
        <f t="shared" si="25"/>
        <v>15</v>
      </c>
      <c r="S222" s="648">
        <f t="shared" si="26"/>
        <v>11</v>
      </c>
      <c r="T222" s="648">
        <f t="shared" si="27"/>
        <v>10</v>
      </c>
      <c r="U222" s="648">
        <f t="shared" si="28"/>
        <v>8</v>
      </c>
      <c r="V222" s="648">
        <f t="shared" si="29"/>
        <v>7</v>
      </c>
      <c r="W222" s="648">
        <f t="shared" si="30"/>
        <v>6</v>
      </c>
      <c r="X222" s="648">
        <f t="shared" si="31"/>
        <v>4</v>
      </c>
      <c r="Y222" s="21" t="str">
        <f>_xlfn.XLOOKUP(AA222,Combos!AU:AU,Combos!AT:AT,"",0,1)</f>
        <v/>
      </c>
      <c r="Z222" s="659" t="s">
        <v>1878</v>
      </c>
      <c r="AA222" s="659" t="s">
        <v>1878</v>
      </c>
      <c r="AB222" s="659" t="s">
        <v>1879</v>
      </c>
      <c r="AC222" s="8" t="s">
        <v>1121</v>
      </c>
      <c r="AD222" s="8" t="s">
        <v>1121</v>
      </c>
    </row>
    <row r="223" spans="1:30">
      <c r="A223" s="21" t="s">
        <v>748</v>
      </c>
      <c r="B223" s="649">
        <v>1</v>
      </c>
      <c r="C223" s="657"/>
      <c r="D223" s="21" t="s">
        <v>748</v>
      </c>
      <c r="E223" s="21" t="str">
        <f>_xlfn.XLOOKUP(G223,Combos!AB:AB,Combos!AA:AA,"",0,1)</f>
        <v/>
      </c>
      <c r="F223" s="21" t="s">
        <v>748</v>
      </c>
      <c r="G223" s="679" t="s">
        <v>1880</v>
      </c>
      <c r="H223" s="656" t="s">
        <v>1881</v>
      </c>
      <c r="I223" s="665" t="s">
        <v>1882</v>
      </c>
      <c r="K223" s="666" t="s">
        <v>939</v>
      </c>
      <c r="L223" s="661">
        <f>P223+Q223</f>
        <v>6</v>
      </c>
      <c r="M223" s="662">
        <v>2</v>
      </c>
      <c r="N223" s="662">
        <v>4</v>
      </c>
      <c r="O223" s="662">
        <v>4</v>
      </c>
      <c r="P223" s="662">
        <v>3</v>
      </c>
      <c r="Q223" s="662">
        <v>3</v>
      </c>
      <c r="R223" s="654">
        <f>SUM(M223:Q223)</f>
        <v>16</v>
      </c>
      <c r="S223" s="648">
        <f>V223+Q223</f>
        <v>8</v>
      </c>
      <c r="T223" s="648">
        <f>W223+Q223</f>
        <v>10</v>
      </c>
      <c r="U223" s="648">
        <f>X223+Q223</f>
        <v>10</v>
      </c>
      <c r="V223" s="648">
        <f>M223+P223</f>
        <v>5</v>
      </c>
      <c r="W223" s="648">
        <f>N223+P223</f>
        <v>7</v>
      </c>
      <c r="X223" s="648">
        <f>O223+P223</f>
        <v>7</v>
      </c>
      <c r="Y223" s="21" t="str">
        <f>_xlfn.XLOOKUP(AA223,Combos!AU:AU,Combos!AT:AT,"",0,1)</f>
        <v/>
      </c>
      <c r="Z223" s="665" t="s">
        <v>1883</v>
      </c>
      <c r="AA223" s="665" t="s">
        <v>1883</v>
      </c>
      <c r="AB223" s="665" t="s">
        <v>1884</v>
      </c>
      <c r="AC223" s="8" t="s">
        <v>1885</v>
      </c>
      <c r="AD223" s="8" t="s">
        <v>1885</v>
      </c>
    </row>
    <row r="224" spans="2:30">
      <c r="B224" s="649">
        <v>1</v>
      </c>
      <c r="G224" s="681" t="s">
        <v>1886</v>
      </c>
      <c r="H224" s="10" t="s">
        <v>1887</v>
      </c>
      <c r="I224" s="670" t="s">
        <v>1691</v>
      </c>
      <c r="K224" s="2" t="s">
        <v>914</v>
      </c>
      <c r="L224" s="661">
        <f t="shared" si="24"/>
        <v>0</v>
      </c>
      <c r="M224" s="648">
        <v>0</v>
      </c>
      <c r="N224" s="648">
        <v>0</v>
      </c>
      <c r="O224" s="648">
        <v>0</v>
      </c>
      <c r="P224" s="648">
        <v>0</v>
      </c>
      <c r="Q224" s="648">
        <v>0</v>
      </c>
      <c r="R224" s="648">
        <f t="shared" si="25"/>
        <v>0</v>
      </c>
      <c r="S224" s="648">
        <f t="shared" si="26"/>
        <v>0</v>
      </c>
      <c r="T224" s="648">
        <f t="shared" si="27"/>
        <v>0</v>
      </c>
      <c r="U224" s="648">
        <f t="shared" si="28"/>
        <v>0</v>
      </c>
      <c r="V224" s="648">
        <f t="shared" si="29"/>
        <v>0</v>
      </c>
      <c r="W224" s="648">
        <f t="shared" si="30"/>
        <v>0</v>
      </c>
      <c r="X224" s="648">
        <f t="shared" si="31"/>
        <v>0</v>
      </c>
      <c r="Z224" s="670" t="s">
        <v>1691</v>
      </c>
      <c r="AA224" s="670" t="s">
        <v>1691</v>
      </c>
      <c r="AB224" s="670" t="s">
        <v>1888</v>
      </c>
      <c r="AC224" s="8" t="s">
        <v>1851</v>
      </c>
      <c r="AD224" s="8" t="s">
        <v>1851</v>
      </c>
    </row>
    <row r="225" spans="2:30">
      <c r="B225" s="649">
        <v>1</v>
      </c>
      <c r="E225" s="21" t="str">
        <f>_xlfn.XLOOKUP(G225,Combos!AB:AB,Combos!AA:AA,"",0,1)</f>
        <v/>
      </c>
      <c r="F225" s="21">
        <v>1</v>
      </c>
      <c r="G225" s="650" t="s">
        <v>1889</v>
      </c>
      <c r="H225" s="682" t="s">
        <v>1890</v>
      </c>
      <c r="I225" s="659" t="s">
        <v>1696</v>
      </c>
      <c r="K225" s="669" t="s">
        <v>914</v>
      </c>
      <c r="L225" s="661">
        <f t="shared" si="24"/>
        <v>6</v>
      </c>
      <c r="M225" s="662">
        <v>4</v>
      </c>
      <c r="N225" s="662">
        <v>1</v>
      </c>
      <c r="O225" s="662">
        <v>4</v>
      </c>
      <c r="P225" s="662">
        <v>5</v>
      </c>
      <c r="Q225" s="662">
        <v>1</v>
      </c>
      <c r="R225" s="648">
        <f t="shared" si="25"/>
        <v>15</v>
      </c>
      <c r="S225" s="648">
        <f t="shared" si="26"/>
        <v>10</v>
      </c>
      <c r="T225" s="648">
        <f t="shared" si="27"/>
        <v>7</v>
      </c>
      <c r="U225" s="648">
        <f t="shared" si="28"/>
        <v>10</v>
      </c>
      <c r="V225" s="648">
        <f t="shared" si="29"/>
        <v>9</v>
      </c>
      <c r="W225" s="648">
        <f t="shared" si="30"/>
        <v>6</v>
      </c>
      <c r="X225" s="648">
        <f t="shared" si="31"/>
        <v>9</v>
      </c>
      <c r="Y225" s="21" t="str">
        <f>_xlfn.XLOOKUP(AA225,Combos!AU:AU,Combos!AT:AT,"",0,1)</f>
        <v/>
      </c>
      <c r="Z225" s="659" t="s">
        <v>1891</v>
      </c>
      <c r="AA225" s="659" t="s">
        <v>1696</v>
      </c>
      <c r="AB225" s="659" t="s">
        <v>1892</v>
      </c>
      <c r="AC225" s="8" t="s">
        <v>1380</v>
      </c>
      <c r="AD225" s="8" t="s">
        <v>1380</v>
      </c>
    </row>
    <row r="226" spans="7:30">
      <c r="G226" s="658" t="s">
        <v>1893</v>
      </c>
      <c r="H226" s="10" t="s">
        <v>1894</v>
      </c>
      <c r="I226" s="10" t="s">
        <v>1768</v>
      </c>
      <c r="K226" s="2" t="s">
        <v>914</v>
      </c>
      <c r="L226" s="2">
        <f t="shared" si="24"/>
        <v>0</v>
      </c>
      <c r="M226" s="648">
        <v>0</v>
      </c>
      <c r="N226" s="648">
        <v>0</v>
      </c>
      <c r="O226" s="648">
        <v>0</v>
      </c>
      <c r="P226" s="648">
        <v>0</v>
      </c>
      <c r="Q226" s="648">
        <v>0</v>
      </c>
      <c r="R226" s="648">
        <f t="shared" si="25"/>
        <v>0</v>
      </c>
      <c r="S226" s="648">
        <f t="shared" si="26"/>
        <v>0</v>
      </c>
      <c r="T226" s="648">
        <f t="shared" si="27"/>
        <v>0</v>
      </c>
      <c r="U226" s="648">
        <f t="shared" si="28"/>
        <v>0</v>
      </c>
      <c r="V226" s="648">
        <f t="shared" si="29"/>
        <v>0</v>
      </c>
      <c r="W226" s="648">
        <f t="shared" si="30"/>
        <v>0</v>
      </c>
      <c r="X226" s="648">
        <f t="shared" si="31"/>
        <v>0</v>
      </c>
      <c r="Z226" s="10" t="s">
        <v>1768</v>
      </c>
      <c r="AA226" s="10" t="s">
        <v>1768</v>
      </c>
      <c r="AB226" s="10" t="s">
        <v>1895</v>
      </c>
      <c r="AC226" s="659" t="s">
        <v>1896</v>
      </c>
      <c r="AD226" s="659" t="s">
        <v>1897</v>
      </c>
    </row>
    <row r="227" spans="1:30">
      <c r="A227" s="21" t="s">
        <v>668</v>
      </c>
      <c r="B227" s="651"/>
      <c r="C227" s="21">
        <v>2</v>
      </c>
      <c r="D227" s="653" t="s">
        <v>748</v>
      </c>
      <c r="E227" s="21" t="str">
        <f>_xlfn.XLOOKUP(G227,Combos!AB:AB,Combos!AA:AA,"",0,1)</f>
        <v/>
      </c>
      <c r="F227" s="21" t="s">
        <v>748</v>
      </c>
      <c r="G227" s="652" t="s">
        <v>1898</v>
      </c>
      <c r="H227" s="8" t="s">
        <v>1899</v>
      </c>
      <c r="I227" s="8" t="s">
        <v>1798</v>
      </c>
      <c r="K227" s="668" t="s">
        <v>914</v>
      </c>
      <c r="L227" s="2">
        <f t="shared" si="24"/>
        <v>7</v>
      </c>
      <c r="M227" s="663">
        <v>2</v>
      </c>
      <c r="N227" s="663">
        <v>4</v>
      </c>
      <c r="O227" s="663">
        <v>2</v>
      </c>
      <c r="P227" s="663">
        <v>3</v>
      </c>
      <c r="Q227" s="663">
        <v>4</v>
      </c>
      <c r="R227" s="648">
        <f t="shared" si="25"/>
        <v>15</v>
      </c>
      <c r="S227" s="648">
        <f t="shared" si="26"/>
        <v>9</v>
      </c>
      <c r="T227" s="648">
        <f t="shared" si="27"/>
        <v>11</v>
      </c>
      <c r="U227" s="648">
        <f t="shared" si="28"/>
        <v>9</v>
      </c>
      <c r="V227" s="648">
        <f t="shared" si="29"/>
        <v>5</v>
      </c>
      <c r="W227" s="648">
        <f t="shared" si="30"/>
        <v>7</v>
      </c>
      <c r="X227" s="648">
        <f t="shared" si="31"/>
        <v>5</v>
      </c>
      <c r="Y227" s="21" t="str">
        <f>_xlfn.XLOOKUP(AA227,Combos!AU:AU,Combos!AT:AT,"",0,1)</f>
        <v/>
      </c>
      <c r="Z227" s="8" t="s">
        <v>1900</v>
      </c>
      <c r="AA227" s="8" t="s">
        <v>1900</v>
      </c>
      <c r="AB227" s="8" t="s">
        <v>1901</v>
      </c>
      <c r="AC227" s="8" t="s">
        <v>1235</v>
      </c>
      <c r="AD227" s="8" t="s">
        <v>1235</v>
      </c>
    </row>
    <row r="228" spans="2:30">
      <c r="B228" s="649">
        <v>1</v>
      </c>
      <c r="G228" s="658" t="s">
        <v>1902</v>
      </c>
      <c r="H228" s="656" t="s">
        <v>1903</v>
      </c>
      <c r="I228" s="665" t="s">
        <v>1813</v>
      </c>
      <c r="K228" s="660" t="s">
        <v>914</v>
      </c>
      <c r="L228" s="661">
        <f t="shared" si="24"/>
        <v>8</v>
      </c>
      <c r="M228" s="686">
        <v>2</v>
      </c>
      <c r="N228" s="648">
        <v>5</v>
      </c>
      <c r="O228" s="648">
        <v>2</v>
      </c>
      <c r="P228" s="648">
        <v>4</v>
      </c>
      <c r="Q228" s="648">
        <v>4</v>
      </c>
      <c r="R228" s="654">
        <f t="shared" si="25"/>
        <v>17</v>
      </c>
      <c r="S228" s="648">
        <f t="shared" si="26"/>
        <v>10</v>
      </c>
      <c r="T228" s="648">
        <f t="shared" si="27"/>
        <v>13</v>
      </c>
      <c r="U228" s="648">
        <f t="shared" si="28"/>
        <v>10</v>
      </c>
      <c r="V228" s="648">
        <f t="shared" si="29"/>
        <v>6</v>
      </c>
      <c r="W228" s="648">
        <f t="shared" si="30"/>
        <v>9</v>
      </c>
      <c r="X228" s="648">
        <f t="shared" si="31"/>
        <v>6</v>
      </c>
      <c r="Z228" s="665" t="s">
        <v>1904</v>
      </c>
      <c r="AA228" s="665" t="s">
        <v>1905</v>
      </c>
      <c r="AB228" s="665" t="s">
        <v>1906</v>
      </c>
      <c r="AC228" s="8" t="s">
        <v>1907</v>
      </c>
      <c r="AD228" s="8" t="s">
        <v>1908</v>
      </c>
    </row>
    <row r="229" spans="1:30">
      <c r="A229" s="21" t="s">
        <v>668</v>
      </c>
      <c r="B229" s="651"/>
      <c r="C229" s="21" t="s">
        <v>746</v>
      </c>
      <c r="D229" s="21" t="s">
        <v>748</v>
      </c>
      <c r="E229" s="21" t="str">
        <f>_xlfn.XLOOKUP(G229,Combos!AB:AB,Combos!AA:AA,"",0,1)</f>
        <v/>
      </c>
      <c r="F229" s="21" t="s">
        <v>748</v>
      </c>
      <c r="G229" s="652" t="s">
        <v>1909</v>
      </c>
      <c r="H229" s="8" t="s">
        <v>1910</v>
      </c>
      <c r="I229" s="8" t="s">
        <v>1843</v>
      </c>
      <c r="K229" s="668" t="s">
        <v>914</v>
      </c>
      <c r="L229" s="2">
        <f t="shared" si="24"/>
        <v>7</v>
      </c>
      <c r="M229" s="663">
        <v>3</v>
      </c>
      <c r="N229" s="663">
        <v>3</v>
      </c>
      <c r="O229" s="663">
        <v>2</v>
      </c>
      <c r="P229" s="663">
        <v>3</v>
      </c>
      <c r="Q229" s="663">
        <v>4</v>
      </c>
      <c r="R229" s="648">
        <f t="shared" si="25"/>
        <v>15</v>
      </c>
      <c r="S229" s="648">
        <f t="shared" si="26"/>
        <v>10</v>
      </c>
      <c r="T229" s="648">
        <f t="shared" si="27"/>
        <v>10</v>
      </c>
      <c r="U229" s="648">
        <f t="shared" si="28"/>
        <v>9</v>
      </c>
      <c r="V229" s="648">
        <f t="shared" si="29"/>
        <v>6</v>
      </c>
      <c r="W229" s="648">
        <f t="shared" si="30"/>
        <v>6</v>
      </c>
      <c r="X229" s="648">
        <f t="shared" si="31"/>
        <v>5</v>
      </c>
      <c r="Y229" s="21" t="str">
        <f>_xlfn.XLOOKUP(AA229,Combos!AU:AU,Combos!AT:AT,"",0,1)</f>
        <v/>
      </c>
      <c r="Z229" s="8" t="s">
        <v>1911</v>
      </c>
      <c r="AA229" s="8" t="s">
        <v>1911</v>
      </c>
      <c r="AB229" s="8" t="s">
        <v>1912</v>
      </c>
      <c r="AC229" s="665" t="s">
        <v>1882</v>
      </c>
      <c r="AD229" s="665" t="s">
        <v>1882</v>
      </c>
    </row>
    <row r="230" spans="1:30">
      <c r="A230" s="21" t="s">
        <v>668</v>
      </c>
      <c r="B230" s="651"/>
      <c r="C230" s="21" t="s">
        <v>746</v>
      </c>
      <c r="D230" s="21" t="s">
        <v>748</v>
      </c>
      <c r="E230" s="21" t="str">
        <f>_xlfn.XLOOKUP(G230,Combos!AB:AB,Combos!AA:AA,"",0,1)</f>
        <v/>
      </c>
      <c r="F230" s="21" t="s">
        <v>748</v>
      </c>
      <c r="G230" s="652" t="s">
        <v>1913</v>
      </c>
      <c r="H230" s="8" t="s">
        <v>1914</v>
      </c>
      <c r="I230" s="8" t="s">
        <v>1885</v>
      </c>
      <c r="K230" s="660" t="s">
        <v>914</v>
      </c>
      <c r="L230" s="2">
        <f t="shared" si="24"/>
        <v>8</v>
      </c>
      <c r="M230" s="662">
        <v>1</v>
      </c>
      <c r="N230" s="662">
        <v>3</v>
      </c>
      <c r="O230" s="662">
        <v>3</v>
      </c>
      <c r="P230" s="662">
        <v>4</v>
      </c>
      <c r="Q230" s="662">
        <v>4</v>
      </c>
      <c r="R230" s="648">
        <f t="shared" si="25"/>
        <v>15</v>
      </c>
      <c r="S230" s="648">
        <f t="shared" si="26"/>
        <v>9</v>
      </c>
      <c r="T230" s="648">
        <f t="shared" si="27"/>
        <v>11</v>
      </c>
      <c r="U230" s="648">
        <f t="shared" si="28"/>
        <v>11</v>
      </c>
      <c r="V230" s="648">
        <f t="shared" si="29"/>
        <v>5</v>
      </c>
      <c r="W230" s="648">
        <f t="shared" si="30"/>
        <v>7</v>
      </c>
      <c r="X230" s="648">
        <f t="shared" si="31"/>
        <v>7</v>
      </c>
      <c r="Y230" s="21" t="str">
        <f>_xlfn.XLOOKUP(AA230,Combos!AU:AU,Combos!AT:AT,"",0,1)</f>
        <v/>
      </c>
      <c r="Z230" s="8" t="s">
        <v>1885</v>
      </c>
      <c r="AA230" s="8" t="s">
        <v>1915</v>
      </c>
      <c r="AB230" s="8" t="s">
        <v>1916</v>
      </c>
      <c r="AC230" s="659" t="s">
        <v>1569</v>
      </c>
      <c r="AD230" s="659" t="s">
        <v>1569</v>
      </c>
    </row>
    <row r="231" spans="2:30">
      <c r="B231" s="651"/>
      <c r="E231" s="21" t="str">
        <f>_xlfn.XLOOKUP(G231,Combos!AB:AB,Combos!AA:AA,"",0,1)</f>
        <v/>
      </c>
      <c r="G231" s="652" t="s">
        <v>1917</v>
      </c>
      <c r="H231" s="8" t="s">
        <v>1918</v>
      </c>
      <c r="I231" s="8" t="s">
        <v>1908</v>
      </c>
      <c r="K231" s="667" t="s">
        <v>914</v>
      </c>
      <c r="L231" s="2">
        <f t="shared" si="24"/>
        <v>7</v>
      </c>
      <c r="M231" s="662">
        <v>1</v>
      </c>
      <c r="N231" s="663">
        <v>4</v>
      </c>
      <c r="O231" s="663">
        <v>3</v>
      </c>
      <c r="P231" s="662">
        <v>4</v>
      </c>
      <c r="Q231" s="662">
        <v>3</v>
      </c>
      <c r="R231" s="648">
        <f t="shared" si="25"/>
        <v>15</v>
      </c>
      <c r="S231" s="648">
        <f t="shared" si="26"/>
        <v>8</v>
      </c>
      <c r="T231" s="648">
        <f t="shared" si="27"/>
        <v>11</v>
      </c>
      <c r="U231" s="648">
        <f t="shared" si="28"/>
        <v>10</v>
      </c>
      <c r="V231" s="648">
        <f t="shared" si="29"/>
        <v>5</v>
      </c>
      <c r="W231" s="648">
        <f t="shared" si="30"/>
        <v>8</v>
      </c>
      <c r="X231" s="648">
        <f t="shared" si="31"/>
        <v>7</v>
      </c>
      <c r="Y231" s="21" t="str">
        <f>_xlfn.XLOOKUP(AA231,Combos!AU:AU,Combos!AT:AT,"",0,1)</f>
        <v/>
      </c>
      <c r="Z231" s="8" t="s">
        <v>1919</v>
      </c>
      <c r="AA231" s="8" t="s">
        <v>1920</v>
      </c>
      <c r="AB231" s="8" t="s">
        <v>1921</v>
      </c>
      <c r="AC231" s="659" t="s">
        <v>1922</v>
      </c>
      <c r="AD231" s="659" t="s">
        <v>1923</v>
      </c>
    </row>
    <row r="240" spans="17:17">
      <c r="Q240" s="648" t="s">
        <v>1924</v>
      </c>
    </row>
    <row r="245" spans="8:30">
      <c r="H245" s="10"/>
      <c r="I245" s="10"/>
      <c r="Z245" s="10"/>
      <c r="AA245" s="10"/>
      <c r="AB245" s="10"/>
      <c r="AC245" s="10"/>
      <c r="AD245" s="10"/>
    </row>
    <row r="246" spans="8:30">
      <c r="H246" s="10"/>
      <c r="I246" s="10"/>
      <c r="Z246" s="10"/>
      <c r="AA246" s="10"/>
      <c r="AB246" s="10"/>
      <c r="AC246" s="10"/>
      <c r="AD246" s="10"/>
    </row>
  </sheetData>
  <autoFilter ref="A1:AB246">
    <sortState ref="A2:AB246">
      <sortCondition ref="G1"/>
    </sortState>
    <extLst/>
  </autoFilter>
  <conditionalFormatting sqref="G231">
    <cfRule type="duplicateValues" dxfId="41" priority="1"/>
  </conditionalFormatting>
  <conditionalFormatting sqref="G225:G230">
    <cfRule type="duplicateValues" dxfId="41" priority="2"/>
  </conditionalFormatting>
  <conditionalFormatting sqref="M1:Q211 M215:Q1048576 P212:Q214 M212:O212">
    <cfRule type="colorScale" priority="7">
      <colorScale>
        <cfvo type="min"/>
        <cfvo type="percentile" val="50"/>
        <cfvo type="max"/>
        <color rgb="FFF8696B"/>
        <color rgb="FFFFEB84"/>
        <color rgb="FF63BE7B"/>
      </colorScale>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10"/>
  <sheetViews>
    <sheetView zoomScale="85" zoomScaleNormal="85" topLeftCell="E1" workbookViewId="0">
      <selection activeCell="J74" sqref="J74"/>
    </sheetView>
  </sheetViews>
  <sheetFormatPr defaultColWidth="9" defaultRowHeight="13.5"/>
  <cols>
    <col min="1" max="1" width="22.1416666666667" style="23" customWidth="1"/>
    <col min="2" max="7" width="9.14166666666667" style="23"/>
    <col min="8" max="8" width="3.96666666666667" style="23" customWidth="1"/>
    <col min="10" max="11" width="9.14166666666667" style="23" customWidth="1"/>
    <col min="12" max="12" width="17.7833333333333" style="23" customWidth="1"/>
    <col min="13" max="13" width="11.6083333333333" customWidth="1"/>
    <col min="14" max="15" width="9.14166666666667" style="23"/>
    <col min="16" max="16" width="9.25833333333333" style="23" customWidth="1"/>
    <col min="17" max="21" width="9.14166666666667" style="23"/>
    <col min="22" max="22" width="16.5666666666667" style="23" customWidth="1"/>
    <col min="23" max="27" width="10" style="23" customWidth="1"/>
    <col min="28" max="39" width="9.14166666666667" style="23"/>
    <col min="40" max="40" width="26.5666666666667" style="23" customWidth="1"/>
    <col min="41" max="16384" width="9.14166666666667" style="23"/>
  </cols>
  <sheetData>
    <row r="1" spans="9:46">
      <c r="I1" s="410" t="s">
        <v>13</v>
      </c>
      <c r="J1" s="409" t="s">
        <v>1925</v>
      </c>
      <c r="K1" s="409" t="s">
        <v>1926</v>
      </c>
      <c r="L1" s="409" t="s">
        <v>1927</v>
      </c>
      <c r="M1" t="s">
        <v>1928</v>
      </c>
      <c r="N1" s="608" t="s">
        <v>15</v>
      </c>
      <c r="O1" s="609" t="s">
        <v>16</v>
      </c>
      <c r="P1" s="609" t="s">
        <v>17</v>
      </c>
      <c r="Q1" s="609" t="s">
        <v>18</v>
      </c>
      <c r="R1" s="609" t="s">
        <v>19</v>
      </c>
      <c r="S1" s="407" t="s">
        <v>1929</v>
      </c>
      <c r="T1" s="409" t="s">
        <v>1930</v>
      </c>
      <c r="AN1" s="642" t="s">
        <v>1927</v>
      </c>
      <c r="AO1" s="645" t="s">
        <v>15</v>
      </c>
      <c r="AP1" s="645" t="s">
        <v>16</v>
      </c>
      <c r="AQ1" s="645" t="s">
        <v>17</v>
      </c>
      <c r="AR1" s="645" t="s">
        <v>18</v>
      </c>
      <c r="AS1" s="645" t="s">
        <v>19</v>
      </c>
      <c r="AT1" s="645" t="s">
        <v>1926</v>
      </c>
    </row>
    <row r="2" ht="14.25" spans="9:46">
      <c r="I2" s="610" t="str">
        <f>IF(_xlfn.XLOOKUP(L2,全装!G:G,全装!A:A,"")="Y","Y","")</f>
        <v/>
      </c>
      <c r="J2" s="611" t="s">
        <v>1931</v>
      </c>
      <c r="K2" s="501">
        <v>3</v>
      </c>
      <c r="L2" s="612" t="s">
        <v>1932</v>
      </c>
      <c r="M2" s="612" t="s">
        <v>1291</v>
      </c>
      <c r="N2" s="420">
        <v>1</v>
      </c>
      <c r="O2" s="421">
        <v>5</v>
      </c>
      <c r="P2" s="418">
        <v>3</v>
      </c>
      <c r="Q2" s="426">
        <v>4</v>
      </c>
      <c r="R2" s="422">
        <v>2</v>
      </c>
      <c r="S2" s="501" t="s">
        <v>16</v>
      </c>
      <c r="T2" s="455"/>
      <c r="U2" s="404"/>
      <c r="Y2" s="468"/>
      <c r="Z2" s="468"/>
      <c r="AA2" s="468"/>
      <c r="AN2" s="643" t="s">
        <v>1320</v>
      </c>
      <c r="AO2" s="646"/>
      <c r="AP2" s="646"/>
      <c r="AQ2" s="646"/>
      <c r="AR2" s="646"/>
      <c r="AS2" s="646"/>
      <c r="AT2" s="646">
        <v>1</v>
      </c>
    </row>
    <row r="3" spans="9:46">
      <c r="I3" s="501" t="str">
        <f>IF(_xlfn.XLOOKUP(L3,全装!G:G,全装!A:A,"")="Y","Y","")</f>
        <v>Y</v>
      </c>
      <c r="J3" s="613" t="s">
        <v>1931</v>
      </c>
      <c r="K3" s="614">
        <v>5</v>
      </c>
      <c r="L3" s="615" t="s">
        <v>1692</v>
      </c>
      <c r="M3" s="615" t="s">
        <v>1933</v>
      </c>
      <c r="N3" s="420">
        <v>1</v>
      </c>
      <c r="O3" s="426">
        <v>4</v>
      </c>
      <c r="P3" s="422">
        <v>2</v>
      </c>
      <c r="Q3" s="426">
        <v>4</v>
      </c>
      <c r="R3" s="426">
        <v>4</v>
      </c>
      <c r="S3" s="501" t="s">
        <v>16</v>
      </c>
      <c r="T3" s="619" t="s">
        <v>1934</v>
      </c>
      <c r="U3" s="404"/>
      <c r="V3" s="469" t="s">
        <v>1927</v>
      </c>
      <c r="W3" s="470" t="s">
        <v>1935</v>
      </c>
      <c r="X3" s="470" t="s">
        <v>1936</v>
      </c>
      <c r="AA3" s="504"/>
      <c r="AN3" s="643" t="s">
        <v>1567</v>
      </c>
      <c r="AO3" s="646" t="s">
        <v>1937</v>
      </c>
      <c r="AP3" s="646"/>
      <c r="AQ3" s="646"/>
      <c r="AR3" s="646"/>
      <c r="AS3" s="646"/>
      <c r="AT3" s="646">
        <v>2</v>
      </c>
    </row>
    <row r="4" ht="14.25" spans="9:46">
      <c r="I4" s="610" t="str">
        <f>IF(_xlfn.XLOOKUP(L4,全装!G:G,全装!A:A,"")="Y","Y","")</f>
        <v>Y</v>
      </c>
      <c r="J4" s="616" t="s">
        <v>1931</v>
      </c>
      <c r="K4" s="614">
        <v>8</v>
      </c>
      <c r="L4" s="615" t="s">
        <v>1707</v>
      </c>
      <c r="M4" s="615" t="s">
        <v>1938</v>
      </c>
      <c r="N4" s="420">
        <v>1</v>
      </c>
      <c r="O4" s="426">
        <v>4</v>
      </c>
      <c r="P4" s="422">
        <v>2</v>
      </c>
      <c r="Q4" s="426">
        <v>4</v>
      </c>
      <c r="R4" s="426">
        <v>4</v>
      </c>
      <c r="S4" s="450" t="s">
        <v>16</v>
      </c>
      <c r="T4" s="619" t="s">
        <v>1934</v>
      </c>
      <c r="U4" s="404"/>
      <c r="V4" s="631" t="s">
        <v>1511</v>
      </c>
      <c r="W4" s="632" t="s">
        <v>1939</v>
      </c>
      <c r="X4" s="632">
        <v>30</v>
      </c>
      <c r="AA4" s="505"/>
      <c r="AN4" s="643"/>
      <c r="AO4" s="646" t="s">
        <v>1937</v>
      </c>
      <c r="AP4" s="646"/>
      <c r="AQ4" s="646"/>
      <c r="AR4" s="646"/>
      <c r="AS4" s="646"/>
      <c r="AT4" s="646">
        <v>3</v>
      </c>
    </row>
    <row r="5" spans="9:46">
      <c r="I5" s="610" t="str">
        <f>IF(_xlfn.XLOOKUP(L5,全装!G:G,全装!A:A,"")="Y","Y","")</f>
        <v/>
      </c>
      <c r="J5" s="616" t="s">
        <v>1931</v>
      </c>
      <c r="K5" s="450">
        <v>9</v>
      </c>
      <c r="L5" s="615" t="s">
        <v>1697</v>
      </c>
      <c r="M5" s="615" t="s">
        <v>1940</v>
      </c>
      <c r="N5" s="420">
        <v>1</v>
      </c>
      <c r="O5" s="426">
        <v>4</v>
      </c>
      <c r="P5" s="422">
        <v>2</v>
      </c>
      <c r="Q5" s="426">
        <v>4</v>
      </c>
      <c r="R5" s="426">
        <v>4</v>
      </c>
      <c r="S5" s="450" t="s">
        <v>16</v>
      </c>
      <c r="T5" s="445"/>
      <c r="U5" s="404"/>
      <c r="V5" s="473"/>
      <c r="W5" s="474" t="s">
        <v>15</v>
      </c>
      <c r="X5" s="474" t="s">
        <v>16</v>
      </c>
      <c r="Y5" s="474" t="s">
        <v>17</v>
      </c>
      <c r="Z5" s="474" t="s">
        <v>18</v>
      </c>
      <c r="AA5" s="474" t="s">
        <v>19</v>
      </c>
      <c r="AN5" s="643" t="s">
        <v>1316</v>
      </c>
      <c r="AO5" s="646" t="s">
        <v>1937</v>
      </c>
      <c r="AP5" s="646"/>
      <c r="AQ5" s="646"/>
      <c r="AR5" s="646"/>
      <c r="AS5" s="646"/>
      <c r="AT5" s="646">
        <v>4</v>
      </c>
    </row>
    <row r="6" spans="9:46">
      <c r="I6" s="501" t="str">
        <f>IF(_xlfn.XLOOKUP(L6,全装!G:G,全装!A:A,"")="Y","Y","")</f>
        <v>Y</v>
      </c>
      <c r="J6" s="613" t="s">
        <v>1931</v>
      </c>
      <c r="K6" s="428">
        <v>15</v>
      </c>
      <c r="L6" s="617" t="s">
        <v>1378</v>
      </c>
      <c r="M6" s="615" t="s">
        <v>1379</v>
      </c>
      <c r="N6" s="420">
        <v>1</v>
      </c>
      <c r="O6" s="419">
        <v>1</v>
      </c>
      <c r="P6" s="418">
        <v>3</v>
      </c>
      <c r="Q6" s="421">
        <v>5</v>
      </c>
      <c r="R6" s="421">
        <v>5</v>
      </c>
      <c r="S6" s="414" t="s">
        <v>16</v>
      </c>
      <c r="T6" s="619" t="s">
        <v>1941</v>
      </c>
      <c r="U6" s="404"/>
      <c r="V6" s="475" t="s">
        <v>1942</v>
      </c>
      <c r="W6" s="564">
        <f>Weapon_Calc_Base_Stat_W+((Weapon_Calc_Level-1)*Weapon_Calc_Progress_Num_W)</f>
        <v>59.5</v>
      </c>
      <c r="X6" s="564">
        <f>Weapon_Calc_Base_Stat_A+((Weapon_Calc_Level-1)*Weapon_Calc_Progress_Num_A)</f>
        <v>78</v>
      </c>
      <c r="Y6" s="564">
        <f>Weapon_Calc_Base_Stat_I+((Weapon_Calc_Level-1)*Weapon_Calc_Progress_Num_I)</f>
        <v>78</v>
      </c>
      <c r="Z6" s="564">
        <f>Weapon_Calc_Base_Stat_F+((Weapon_Calc_Level-1)*Weapon_Calc_Progress_Num_F)</f>
        <v>78</v>
      </c>
      <c r="AA6" s="564">
        <f>Weapon_Calc_Base_Stat_U+((Weapon_Calc_Level-1)*Weapon_Calc_Progress_Num_U)</f>
        <v>96.5</v>
      </c>
      <c r="AN6" s="643" t="s">
        <v>1485</v>
      </c>
      <c r="AO6" s="646" t="s">
        <v>1937</v>
      </c>
      <c r="AP6" s="646"/>
      <c r="AQ6" s="646"/>
      <c r="AR6" s="646"/>
      <c r="AS6" s="646"/>
      <c r="AT6" s="646">
        <v>5</v>
      </c>
    </row>
    <row r="7" spans="9:46">
      <c r="I7" s="610" t="str">
        <f>IF(_xlfn.XLOOKUP(L7,全装!G:G,全装!A:A,"")="Y","Y","")</f>
        <v>Y</v>
      </c>
      <c r="J7" s="616" t="s">
        <v>1931</v>
      </c>
      <c r="K7" s="614">
        <v>16</v>
      </c>
      <c r="L7" s="617" t="s">
        <v>1415</v>
      </c>
      <c r="M7" s="615" t="s">
        <v>1416</v>
      </c>
      <c r="N7" s="420">
        <v>1</v>
      </c>
      <c r="O7" s="419">
        <v>1</v>
      </c>
      <c r="P7" s="418">
        <v>3</v>
      </c>
      <c r="Q7" s="421">
        <v>5</v>
      </c>
      <c r="R7" s="421">
        <v>5</v>
      </c>
      <c r="S7" s="414" t="s">
        <v>16</v>
      </c>
      <c r="T7" s="445"/>
      <c r="U7" s="404"/>
      <c r="V7" s="477"/>
      <c r="W7" s="275">
        <v>78</v>
      </c>
      <c r="X7" s="275">
        <v>59.5</v>
      </c>
      <c r="Y7" s="275">
        <v>59.5</v>
      </c>
      <c r="Z7" s="275">
        <v>96.5</v>
      </c>
      <c r="AA7" s="506">
        <v>96.5</v>
      </c>
      <c r="AN7" s="643" t="s">
        <v>1943</v>
      </c>
      <c r="AO7" s="646" t="s">
        <v>1937</v>
      </c>
      <c r="AP7" s="646"/>
      <c r="AQ7" s="646"/>
      <c r="AR7" s="646"/>
      <c r="AS7" s="646"/>
      <c r="AT7" s="646">
        <v>6</v>
      </c>
    </row>
    <row r="8" spans="6:46">
      <c r="F8" s="605"/>
      <c r="I8" s="610" t="str">
        <f>IF(_xlfn.XLOOKUP(L8,全装!G:G,全装!A:A,"")="Y","Y","")</f>
        <v>Y</v>
      </c>
      <c r="J8" s="616" t="s">
        <v>1931</v>
      </c>
      <c r="K8" s="614">
        <v>17</v>
      </c>
      <c r="L8" s="615" t="s">
        <v>1404</v>
      </c>
      <c r="M8" s="615" t="s">
        <v>1405</v>
      </c>
      <c r="N8" s="420">
        <v>1</v>
      </c>
      <c r="O8" s="419">
        <v>1</v>
      </c>
      <c r="P8" s="418">
        <v>3</v>
      </c>
      <c r="Q8" s="421">
        <v>5</v>
      </c>
      <c r="R8" s="421">
        <v>5</v>
      </c>
      <c r="S8" s="450" t="s">
        <v>16</v>
      </c>
      <c r="T8" s="445"/>
      <c r="U8" s="404"/>
      <c r="V8" s="475" t="s">
        <v>1944</v>
      </c>
      <c r="W8" s="478">
        <f>VLOOKUP(Weapon_Calc_Name,Weapons!Weapon_Calc_Base_Stat_List,2)</f>
        <v>2</v>
      </c>
      <c r="X8" s="479">
        <f>VLOOKUP(Weapon_Calc_Name,Weapons!Weapon_Calc_Base_Stat_List,3)</f>
        <v>3</v>
      </c>
      <c r="Y8" s="480">
        <f>VLOOKUP(Weapon_Calc_Name,Weapons!Weapon_Calc_Base_Stat_List,4)</f>
        <v>3</v>
      </c>
      <c r="Z8" s="480">
        <f>VLOOKUP(Weapon_Calc_Name,Weapons!Weapon_Calc_Base_Stat_List,5)</f>
        <v>3</v>
      </c>
      <c r="AA8" s="507">
        <f>VLOOKUP(Weapon_Calc_Name,Weapons!Weapon_Calc_Base_Stat_List,6)</f>
        <v>4</v>
      </c>
      <c r="AN8" s="643" t="s">
        <v>1701</v>
      </c>
      <c r="AO8" s="647" t="s">
        <v>1937</v>
      </c>
      <c r="AP8" s="646"/>
      <c r="AQ8" s="646"/>
      <c r="AR8" s="646"/>
      <c r="AS8" s="646"/>
      <c r="AT8" s="646">
        <v>7</v>
      </c>
    </row>
    <row r="9" spans="9:46">
      <c r="I9" s="610" t="str">
        <f>IF(_xlfn.XLOOKUP(L9,全装!G:G,全装!A:A,"")="Y","Y","")</f>
        <v/>
      </c>
      <c r="J9" s="616" t="s">
        <v>1931</v>
      </c>
      <c r="K9" s="450">
        <v>24</v>
      </c>
      <c r="L9" s="617" t="s">
        <v>1042</v>
      </c>
      <c r="M9" s="615" t="s">
        <v>1043</v>
      </c>
      <c r="N9" s="438">
        <v>3</v>
      </c>
      <c r="O9" s="419">
        <v>1</v>
      </c>
      <c r="P9" s="426">
        <v>4</v>
      </c>
      <c r="Q9" s="426">
        <v>4</v>
      </c>
      <c r="R9" s="418">
        <v>3</v>
      </c>
      <c r="S9" s="414" t="s">
        <v>17</v>
      </c>
      <c r="T9" s="445"/>
      <c r="U9" s="404"/>
      <c r="V9" s="475" t="s">
        <v>1945</v>
      </c>
      <c r="W9" s="481">
        <f>IF(Weapon_Calc_Tier_W=1,1,IF(Weapon_Calc_Tier_W=2,1.5,IF(Weapon_Calc_Tier_W=3,2,IF(Weapon_Calc_Tier_W=4,2.5,IF(Weapon_Calc_Tier_W=5,3,"error6")))))</f>
        <v>1.5</v>
      </c>
      <c r="X9" s="482">
        <f>IF(Weapon_Calc_Tier_A=1,1,IF(Weapon_Calc_Tier_A=2,1.5,IF(Weapon_Calc_Tier_A=3,2,IF(Weapon_Calc_Tier_A=4,2.5,IF(Weapon_Calc_Tier_A=5,3,"error6")))))</f>
        <v>2</v>
      </c>
      <c r="Y9" s="483">
        <f>IF(Weapon_Calc_Tier_I=1,1,IF(Weapon_Calc_Tier_I=2,1.5,IF(Weapon_Calc_Tier_I=3,2,IF(Weapon_Calc_Tier_I=4,2.5,IF(Weapon_Calc_Tier_I=5,3,"error6")))))</f>
        <v>2</v>
      </c>
      <c r="Z9" s="483">
        <f>IF(Weapon_Calc_Tier_F=1,1,IF(Weapon_Calc_Tier_F=2,1.5,IF(Weapon_Calc_Tier_F=3,2,IF(Weapon_Calc_Tier_F=4,2.5,IF(Weapon_Calc_Tier_F=5,3,"error6")))))</f>
        <v>2</v>
      </c>
      <c r="AA9" s="508">
        <f>IF(Weapon_Calc_Tier_U=1,1,IF(Weapon_Calc_Tier_U=2,1.5,IF(Weapon_Calc_Tier_U=3,2,IF(Weapon_Calc_Tier_U=4,2.5,IF(Weapon_Calc_Tier_U=5,3,"error6")))))</f>
        <v>2.5</v>
      </c>
      <c r="AN9" s="643"/>
      <c r="AO9" s="646" t="s">
        <v>1937</v>
      </c>
      <c r="AP9" s="646"/>
      <c r="AQ9" s="646"/>
      <c r="AR9" s="646"/>
      <c r="AS9" s="646"/>
      <c r="AT9" s="646">
        <v>8</v>
      </c>
    </row>
    <row r="10" spans="9:46">
      <c r="I10" s="501" t="str">
        <f>IF(_xlfn.XLOOKUP(L10,全装!G:G,全装!A:A,"")="Y","Y","")</f>
        <v>Y</v>
      </c>
      <c r="J10" s="613" t="s">
        <v>1931</v>
      </c>
      <c r="K10" s="450">
        <v>25</v>
      </c>
      <c r="L10" s="615" t="s">
        <v>1082</v>
      </c>
      <c r="M10" s="615" t="s">
        <v>1083</v>
      </c>
      <c r="N10" s="438">
        <v>3</v>
      </c>
      <c r="O10" s="419">
        <v>1</v>
      </c>
      <c r="P10" s="426">
        <v>4</v>
      </c>
      <c r="Q10" s="426">
        <v>4</v>
      </c>
      <c r="R10" s="418">
        <v>3</v>
      </c>
      <c r="S10" s="450" t="s">
        <v>17</v>
      </c>
      <c r="T10" s="619" t="s">
        <v>1946</v>
      </c>
      <c r="U10" s="404"/>
      <c r="V10" s="475" t="s">
        <v>1947</v>
      </c>
      <c r="W10" s="484">
        <f>IF(Weapon_Calc_Rarity="common",(IF(Weapon_Calc_Tier_W=1,7,IF(Weapon_Calc_Tier_W=2,8,IF(Weapon_Calc_Tier_W=3,11,IF(Weapon_Calc_Tier_W=4,12,IF(Weapon_Calc_Tier_W=5,14)))))),IF(Weapon_Calc_Rarity="rare",(IF(Weapon_Calc_Tier_W=1,8,IF(Weapon_Calc_Tier_W=2,11,IF(Weapon_Calc_Tier_W=3,14,IF(Weapon_Calc_Tier_W=4,17,IF(Weapon_Calc_Tier_W=5,21)))))),IF(Weapon_Calc_Rarity="epic",(IF(Weapon_Calc_Tier_W=1,12,IF(Weapon_Calc_Tier_W=2,16,IF(Weapon_Calc_Tier_W=3,20,IF(Weapon_Calc_Tier_W=4,24,IF(Weapon_Calc_Tier_W=5,28)))))),IF(Weapon_Calc_Rarity="legendary",(IF(Weapon_Calc_Tier_W=1,17,IF(Weapon_Calc_Tier_W=2,22,IF(Weapon_Calc_Tier_W=3,27,IF(Weapon_Calc_Tier_W=4,32,IF(Weapon_Calc_Tier_W=5,38)))))),Error))))</f>
        <v>16</v>
      </c>
      <c r="X10" s="485">
        <f>IF(Weapon_Calc_Rarity="common",(IF(Weapon_Calc_Tier_A=1,7,IF(Weapon_Calc_Tier_A=2,8,IF(Weapon_Calc_Tier_A=3,11,IF(Weapon_Calc_Tier_A=4,12,IF(Weapon_Calc_Tier_A=5,14)))))),IF(Weapon_Calc_Rarity="rare",(IF(Weapon_Calc_Tier_A=1,8,IF(Weapon_Calc_Tier_A=2,11,IF(Weapon_Calc_Tier_A=3,14,IF(Weapon_Calc_Tier_A=4,17,IF(Weapon_Calc_Tier_A=5,21)))))),IF(Weapon_Calc_Rarity="epic",(IF(Weapon_Calc_Tier_A=1,12,IF(Weapon_Calc_Tier_A=2,16,IF(Weapon_Calc_Tier_A=3,20,IF(Weapon_Calc_Tier_A=4,24,IF(Weapon_Calc_Tier_A=5,28)))))),IF(Weapon_Calc_Rarity="legendary",(IF(Weapon_Calc_Tier_A=1,17,IF(Weapon_Calc_Tier_A=2,22,IF(Weapon_Calc_Tier_A=3,27,IF(Weapon_Calc_Tier_A=4,32,IF(Weapon_Calc_Tier_A=5,38)))))),Error))))</f>
        <v>20</v>
      </c>
      <c r="Y10" s="486">
        <f>IF(Weapon_Calc_Rarity="common",(IF(Weapon_Calc_Tier_I=1,7,IF(Weapon_Calc_Tier_I=2,8,IF(Weapon_Calc_Tier_I=3,11,IF(Weapon_Calc_Tier_I=4,12,IF(Weapon_Calc_Tier_I=5,14)))))),IF(Weapon_Calc_Rarity="rare",(IF(Weapon_Calc_Tier_I=1,8,IF(Weapon_Calc_Tier_I=2,11,IF(Weapon_Calc_Tier_I=3,14,IF(Weapon_Calc_Tier_I=4,17,IF(Weapon_Calc_Tier_I=5,21)))))),IF(Weapon_Calc_Rarity="epic",(IF(Weapon_Calc_Tier_I=1,12,IF(Weapon_Calc_Tier_I=2,16,IF(Weapon_Calc_Tier_I=3,20,IF(Weapon_Calc_Tier_I=4,24,IF(Weapon_Calc_Tier_I=5,28)))))),IF(Weapon_Calc_Rarity="legendary",(IF(Weapon_Calc_Tier_I=1,17,IF(Weapon_Calc_Tier_I=2,22,IF(Weapon_Calc_Tier_I=3,27,IF(Weapon_Calc_Tier_I=4,32,IF(Weapon_Calc_Tier_I=5,38)))))),Error))))</f>
        <v>20</v>
      </c>
      <c r="Z10" s="486">
        <f>IF(Weapon_Calc_Rarity="common",(IF(Weapon_Calc_Tier_F=1,7,IF(Weapon_Calc_Tier_F=2,8,IF(Weapon_Calc_Tier_F=3,11,IF(Weapon_Calc_Tier_F=4,12,IF(Weapon_Calc_Tier_F=5,14)))))),IF(Weapon_Calc_Rarity="rare",(IF(Weapon_Calc_Tier_F=1,8,IF(Weapon_Calc_Tier_F=2,11,IF(Weapon_Calc_Tier_F=3,14,IF(Weapon_Calc_Tier_F=4,17,IF(Weapon_Calc_Tier_F=5,21)))))),IF(Weapon_Calc_Rarity="epic",(IF(Weapon_Calc_Tier_F=1,12,IF(Weapon_Calc_Tier_F=2,16,IF(Weapon_Calc_Tier_F=3,20,IF(Weapon_Calc_Tier_F=4,24,IF(Weapon_Calc_Tier_F=5,28)))))),IF(Weapon_Calc_Rarity="legendary",(IF(Weapon_Calc_Tier_F=1,17,IF(Weapon_Calc_Tier_F=2,22,IF(Weapon_Calc_Tier_F=3,27,IF(Weapon_Calc_Tier_F=4,32,IF(Weapon_Calc_Tier_F=5,38)))))),Error))))</f>
        <v>20</v>
      </c>
      <c r="AA10" s="507">
        <f>IF(Weapon_Calc_Rarity="common",(IF(Weapon_Calc_Tier_U=1,7,IF(Weapon_Calc_Tier_U=2,8,IF(Weapon_Calc_Tier_U=3,11,IF(Weapon_Calc_Tier_U=4,12,IF(Weapon_Calc_Tier_U=5,14)))))),IF(Weapon_Calc_Rarity="rare",(IF(Weapon_Calc_Tier_U=1,8,IF(Weapon_Calc_Tier_U=2,11,IF(Weapon_Calc_Tier_U=3,14,IF(Weapon_Calc_Tier_U=4,17,IF(Weapon_Calc_Tier_U=5,21)))))),IF(Weapon_Calc_Rarity="epic",(IF(Weapon_Calc_Tier_U=1,12,IF(Weapon_Calc_Tier_U=2,16,IF(Weapon_Calc_Tier_U=3,20,IF(Weapon_Calc_Tier_U=4,24,IF(Weapon_Calc_Tier_U=5,28)))))),IF(Weapon_Calc_Rarity="legendary",(IF(Weapon_Calc_Tier_U=1,17,IF(Weapon_Calc_Tier_U=2,22,IF(Weapon_Calc_Tier_U=3,27,IF(Weapon_Calc_Tier_U=4,32,IF(Weapon_Calc_Tier_U=5,38)))))),Error))))</f>
        <v>24</v>
      </c>
      <c r="AN10" s="643" t="s">
        <v>1722</v>
      </c>
      <c r="AO10" s="646" t="s">
        <v>1937</v>
      </c>
      <c r="AP10" s="646"/>
      <c r="AQ10" s="646"/>
      <c r="AR10" s="646"/>
      <c r="AS10" s="646"/>
      <c r="AT10" s="646">
        <v>9</v>
      </c>
    </row>
    <row r="11" spans="9:46">
      <c r="I11" s="501" t="str">
        <f>IF(_xlfn.XLOOKUP(L11,全装!G:G,全装!A:A,"")="Y","Y","")</f>
        <v>Y</v>
      </c>
      <c r="J11" s="413" t="s">
        <v>1931</v>
      </c>
      <c r="K11" s="618">
        <v>27</v>
      </c>
      <c r="L11" s="619" t="s">
        <v>1550</v>
      </c>
      <c r="M11" s="615" t="s">
        <v>1551</v>
      </c>
      <c r="N11" s="429">
        <v>4</v>
      </c>
      <c r="O11" s="419">
        <v>1</v>
      </c>
      <c r="P11" s="418">
        <v>3</v>
      </c>
      <c r="Q11" s="421">
        <v>5</v>
      </c>
      <c r="R11" s="422">
        <v>2</v>
      </c>
      <c r="S11" s="414" t="s">
        <v>15</v>
      </c>
      <c r="T11" s="619" t="s">
        <v>18</v>
      </c>
      <c r="U11" s="404"/>
      <c r="AN11" s="643" t="s">
        <v>1948</v>
      </c>
      <c r="AO11" s="646" t="s">
        <v>1937</v>
      </c>
      <c r="AP11" s="646"/>
      <c r="AQ11" s="646"/>
      <c r="AR11" s="646"/>
      <c r="AS11" s="646"/>
      <c r="AT11" s="646">
        <v>10</v>
      </c>
    </row>
    <row r="12" spans="9:46">
      <c r="I12" s="501" t="str">
        <f>IF(_xlfn.XLOOKUP(L12,全装!G:G,全装!A:A,"")="Y","Y","")</f>
        <v/>
      </c>
      <c r="J12" s="450" t="s">
        <v>1931</v>
      </c>
      <c r="K12" s="414">
        <v>21</v>
      </c>
      <c r="L12" s="620" t="s">
        <v>1036</v>
      </c>
      <c r="M12" s="621" t="s">
        <v>1037</v>
      </c>
      <c r="N12" s="420">
        <v>1</v>
      </c>
      <c r="O12" s="422">
        <v>2</v>
      </c>
      <c r="P12" s="426">
        <v>4</v>
      </c>
      <c r="Q12" s="426">
        <v>4</v>
      </c>
      <c r="R12" s="426">
        <v>4</v>
      </c>
      <c r="S12" s="414" t="s">
        <v>17</v>
      </c>
      <c r="T12" s="445"/>
      <c r="U12" s="404"/>
      <c r="AN12" s="643"/>
      <c r="AO12" s="646" t="s">
        <v>1937</v>
      </c>
      <c r="AP12" s="646"/>
      <c r="AQ12" s="646"/>
      <c r="AR12" s="646"/>
      <c r="AS12" s="646"/>
      <c r="AT12" s="646">
        <v>11</v>
      </c>
    </row>
    <row r="13" spans="9:46">
      <c r="I13" s="501" t="str">
        <f>IF(_xlfn.XLOOKUP(L13,全装!G:G,全装!A:A,"")="Y","Y","")</f>
        <v/>
      </c>
      <c r="J13" s="622" t="s">
        <v>1931</v>
      </c>
      <c r="K13" s="450">
        <v>39</v>
      </c>
      <c r="L13" s="623" t="s">
        <v>1578</v>
      </c>
      <c r="M13" s="623" t="s">
        <v>1579</v>
      </c>
      <c r="N13" s="429">
        <v>4</v>
      </c>
      <c r="O13" s="419">
        <v>1</v>
      </c>
      <c r="P13" s="418">
        <v>3</v>
      </c>
      <c r="Q13" s="418">
        <v>3</v>
      </c>
      <c r="R13" s="426">
        <v>4</v>
      </c>
      <c r="S13" s="450" t="s">
        <v>15</v>
      </c>
      <c r="T13" s="445"/>
      <c r="U13" s="404"/>
      <c r="V13" s="497" t="s">
        <v>1949</v>
      </c>
      <c r="W13" s="498" t="s">
        <v>1950</v>
      </c>
      <c r="X13" s="127"/>
      <c r="Y13" s="498"/>
      <c r="AN13" s="643" t="s">
        <v>1545</v>
      </c>
      <c r="AO13" s="646" t="s">
        <v>1937</v>
      </c>
      <c r="AP13" s="646"/>
      <c r="AQ13" s="646"/>
      <c r="AR13" s="646"/>
      <c r="AS13" s="646"/>
      <c r="AT13" s="646">
        <v>12</v>
      </c>
    </row>
    <row r="14" spans="9:46">
      <c r="I14" s="501" t="str">
        <f>IF(_xlfn.XLOOKUP(L14,全装!G:G,全装!A:A,"")="Y","Y","")</f>
        <v/>
      </c>
      <c r="J14" s="622" t="s">
        <v>1931</v>
      </c>
      <c r="K14" s="450">
        <v>40</v>
      </c>
      <c r="L14" s="623" t="s">
        <v>1534</v>
      </c>
      <c r="M14" s="623" t="s">
        <v>1951</v>
      </c>
      <c r="N14" s="429">
        <v>4</v>
      </c>
      <c r="O14" s="419">
        <v>1</v>
      </c>
      <c r="P14" s="418">
        <v>3</v>
      </c>
      <c r="Q14" s="426">
        <v>4</v>
      </c>
      <c r="R14" s="418">
        <v>3</v>
      </c>
      <c r="S14" s="450" t="s">
        <v>15</v>
      </c>
      <c r="T14" s="445"/>
      <c r="U14" s="404"/>
      <c r="V14" s="497" t="s">
        <v>1952</v>
      </c>
      <c r="W14" s="498" t="s">
        <v>1953</v>
      </c>
      <c r="X14" s="127"/>
      <c r="Y14" s="498"/>
      <c r="AN14" s="643" t="s">
        <v>1562</v>
      </c>
      <c r="AO14" s="646" t="s">
        <v>1937</v>
      </c>
      <c r="AP14" s="646"/>
      <c r="AQ14" s="646"/>
      <c r="AR14" s="646"/>
      <c r="AS14" s="646"/>
      <c r="AT14" s="646">
        <v>13</v>
      </c>
    </row>
    <row r="15" spans="9:46">
      <c r="I15" s="501" t="str">
        <f>IF(_xlfn.XLOOKUP(L15,全装!G:G,全装!A:A,"")="Y","Y","")</f>
        <v>Y</v>
      </c>
      <c r="J15" s="413" t="s">
        <v>1954</v>
      </c>
      <c r="K15" s="414">
        <v>1</v>
      </c>
      <c r="L15" s="624" t="s">
        <v>1238</v>
      </c>
      <c r="M15" s="625" t="s">
        <v>1239</v>
      </c>
      <c r="N15" s="417">
        <v>2</v>
      </c>
      <c r="O15" s="426">
        <v>4</v>
      </c>
      <c r="P15" s="418">
        <v>3</v>
      </c>
      <c r="Q15" s="426">
        <v>4</v>
      </c>
      <c r="R15" s="422">
        <v>2</v>
      </c>
      <c r="S15" s="633" t="s">
        <v>16</v>
      </c>
      <c r="T15" s="617" t="s">
        <v>1955</v>
      </c>
      <c r="U15" s="404"/>
      <c r="V15" s="497" t="s">
        <v>1956</v>
      </c>
      <c r="W15" s="498" t="s">
        <v>1957</v>
      </c>
      <c r="X15" s="127"/>
      <c r="Y15" s="498"/>
      <c r="AN15" s="643"/>
      <c r="AO15" s="646" t="s">
        <v>1937</v>
      </c>
      <c r="AP15" s="646"/>
      <c r="AQ15" s="646"/>
      <c r="AR15" s="646"/>
      <c r="AS15" s="646"/>
      <c r="AT15" s="646">
        <v>14</v>
      </c>
    </row>
    <row r="16" spans="9:46">
      <c r="I16" s="501" t="str">
        <f>IF(_xlfn.XLOOKUP(L16,全装!G:G,全装!A:A,"")="Y","Y","")</f>
        <v>Y</v>
      </c>
      <c r="J16" s="613" t="s">
        <v>1954</v>
      </c>
      <c r="K16" s="414">
        <v>4</v>
      </c>
      <c r="L16" s="432" t="s">
        <v>1722</v>
      </c>
      <c r="M16" s="433" t="s">
        <v>1645</v>
      </c>
      <c r="N16" s="417">
        <v>2</v>
      </c>
      <c r="O16" s="426">
        <v>4</v>
      </c>
      <c r="P16" s="422">
        <v>2</v>
      </c>
      <c r="Q16" s="426">
        <v>4</v>
      </c>
      <c r="R16" s="418">
        <v>3</v>
      </c>
      <c r="S16" s="414" t="s">
        <v>16</v>
      </c>
      <c r="T16" s="619" t="s">
        <v>1955</v>
      </c>
      <c r="U16" s="404"/>
      <c r="V16" s="497" t="s">
        <v>1958</v>
      </c>
      <c r="W16" s="498" t="s">
        <v>1959</v>
      </c>
      <c r="X16" s="127"/>
      <c r="Y16" s="499"/>
      <c r="AN16" s="643" t="s">
        <v>1464</v>
      </c>
      <c r="AO16" s="646" t="s">
        <v>1937</v>
      </c>
      <c r="AP16" s="646"/>
      <c r="AQ16" s="646"/>
      <c r="AR16" s="646"/>
      <c r="AS16" s="646"/>
      <c r="AT16" s="646">
        <v>15</v>
      </c>
    </row>
    <row r="17" spans="9:46">
      <c r="I17" s="501" t="str">
        <f>IF(_xlfn.XLOOKUP(L17,全装!G:G,全装!A:A,"")="Y","Y","")</f>
        <v>Y</v>
      </c>
      <c r="J17" s="613" t="s">
        <v>1954</v>
      </c>
      <c r="K17" s="450">
        <v>6</v>
      </c>
      <c r="L17" s="432" t="s">
        <v>1316</v>
      </c>
      <c r="M17" s="433" t="s">
        <v>1317</v>
      </c>
      <c r="N17" s="417">
        <v>2</v>
      </c>
      <c r="O17" s="426">
        <v>4</v>
      </c>
      <c r="P17" s="418">
        <v>3</v>
      </c>
      <c r="Q17" s="422">
        <v>2</v>
      </c>
      <c r="R17" s="426">
        <v>4</v>
      </c>
      <c r="S17" s="414" t="s">
        <v>16</v>
      </c>
      <c r="T17" s="619" t="s">
        <v>1960</v>
      </c>
      <c r="U17" s="404"/>
      <c r="V17" s="497" t="s">
        <v>1961</v>
      </c>
      <c r="W17" s="498" t="s">
        <v>1962</v>
      </c>
      <c r="X17" s="127"/>
      <c r="Y17" s="498"/>
      <c r="AN17" s="643" t="s">
        <v>1963</v>
      </c>
      <c r="AO17" s="646" t="s">
        <v>1937</v>
      </c>
      <c r="AP17" s="646"/>
      <c r="AQ17" s="646"/>
      <c r="AR17" s="646"/>
      <c r="AS17" s="646"/>
      <c r="AT17" s="646">
        <v>16</v>
      </c>
    </row>
    <row r="18" spans="9:46">
      <c r="I18" s="501" t="str">
        <f>IF(_xlfn.XLOOKUP(L18,全装!G:G,全装!A:A,"")="Y","Y","")</f>
        <v>Y</v>
      </c>
      <c r="J18" s="613" t="s">
        <v>1954</v>
      </c>
      <c r="K18" s="450">
        <v>12</v>
      </c>
      <c r="L18" s="432" t="s">
        <v>1070</v>
      </c>
      <c r="M18" s="433" t="s">
        <v>1071</v>
      </c>
      <c r="N18" s="420">
        <v>1</v>
      </c>
      <c r="O18" s="418">
        <v>3</v>
      </c>
      <c r="P18" s="426">
        <v>4</v>
      </c>
      <c r="Q18" s="426">
        <v>4</v>
      </c>
      <c r="R18" s="418">
        <v>3</v>
      </c>
      <c r="S18" s="414" t="s">
        <v>16</v>
      </c>
      <c r="T18" s="619" t="s">
        <v>1946</v>
      </c>
      <c r="U18" s="404"/>
      <c r="AN18" s="643" t="s">
        <v>1448</v>
      </c>
      <c r="AO18" s="646"/>
      <c r="AP18" s="646"/>
      <c r="AQ18" s="646"/>
      <c r="AR18" s="646"/>
      <c r="AS18" s="646"/>
      <c r="AT18" s="646">
        <v>17</v>
      </c>
    </row>
    <row r="19" spans="9:46">
      <c r="I19" s="501" t="str">
        <f>IF(_xlfn.XLOOKUP(L19,全装!G:G,全装!A:A,"")="Y","Y","")</f>
        <v>Y</v>
      </c>
      <c r="J19" s="613" t="s">
        <v>1954</v>
      </c>
      <c r="K19" s="450">
        <v>18</v>
      </c>
      <c r="L19" s="433" t="s">
        <v>1366</v>
      </c>
      <c r="M19" s="433" t="s">
        <v>1964</v>
      </c>
      <c r="N19" s="420">
        <v>1</v>
      </c>
      <c r="O19" s="418">
        <v>3</v>
      </c>
      <c r="P19" s="418">
        <v>3</v>
      </c>
      <c r="Q19" s="426">
        <v>4</v>
      </c>
      <c r="R19" s="426">
        <v>4</v>
      </c>
      <c r="S19" s="450" t="s">
        <v>1965</v>
      </c>
      <c r="T19" s="445"/>
      <c r="U19" s="404"/>
      <c r="V19" s="497" t="s">
        <v>1966</v>
      </c>
      <c r="W19" s="497"/>
      <c r="AN19" s="643" t="s">
        <v>1550</v>
      </c>
      <c r="AO19" s="646" t="s">
        <v>1937</v>
      </c>
      <c r="AP19" s="646"/>
      <c r="AQ19" s="646"/>
      <c r="AR19" s="646"/>
      <c r="AS19" s="646"/>
      <c r="AT19" s="646">
        <v>18</v>
      </c>
    </row>
    <row r="20" ht="14.25" spans="9:46">
      <c r="I20" s="501" t="str">
        <f>IF(_xlfn.XLOOKUP(L20,全装!G:G,全装!A:A,"")="Y","Y","")</f>
        <v>Y</v>
      </c>
      <c r="J20" s="613" t="s">
        <v>1954</v>
      </c>
      <c r="K20" s="450">
        <v>29</v>
      </c>
      <c r="L20" s="433" t="s">
        <v>1562</v>
      </c>
      <c r="M20" s="433" t="s">
        <v>1563</v>
      </c>
      <c r="N20" s="429">
        <v>4</v>
      </c>
      <c r="O20" s="419">
        <v>1</v>
      </c>
      <c r="P20" s="418">
        <v>3</v>
      </c>
      <c r="Q20" s="426">
        <v>4</v>
      </c>
      <c r="R20" s="418">
        <v>3</v>
      </c>
      <c r="S20" s="414" t="s">
        <v>15</v>
      </c>
      <c r="T20" s="619" t="s">
        <v>1967</v>
      </c>
      <c r="U20" s="404"/>
      <c r="V20" s="134" t="s">
        <v>1968</v>
      </c>
      <c r="W20" s="634" t="s">
        <v>1935</v>
      </c>
      <c r="X20" s="635" t="s">
        <v>1969</v>
      </c>
      <c r="AN20" s="643"/>
      <c r="AO20" s="646"/>
      <c r="AP20" s="646"/>
      <c r="AQ20" s="646"/>
      <c r="AR20" s="646"/>
      <c r="AS20" s="646"/>
      <c r="AT20" s="646">
        <v>19</v>
      </c>
    </row>
    <row r="21" ht="14.25" spans="9:46">
      <c r="I21" s="501" t="str">
        <f>IF(_xlfn.XLOOKUP(L21,全装!G:G,全装!A:A,"")="Y","Y","")</f>
        <v>Y</v>
      </c>
      <c r="J21" s="613" t="s">
        <v>1954</v>
      </c>
      <c r="K21" s="450">
        <v>30</v>
      </c>
      <c r="L21" s="433" t="s">
        <v>1545</v>
      </c>
      <c r="M21" s="433" t="s">
        <v>1970</v>
      </c>
      <c r="N21" s="429">
        <v>4</v>
      </c>
      <c r="O21" s="419">
        <v>1</v>
      </c>
      <c r="P21" s="418">
        <v>3</v>
      </c>
      <c r="Q21" s="426">
        <v>4</v>
      </c>
      <c r="R21" s="418">
        <v>3</v>
      </c>
      <c r="S21" s="450" t="s">
        <v>15</v>
      </c>
      <c r="T21" s="619" t="s">
        <v>1967</v>
      </c>
      <c r="U21" s="404"/>
      <c r="V21" s="636">
        <v>7</v>
      </c>
      <c r="W21" s="636" t="s">
        <v>1971</v>
      </c>
      <c r="X21" s="636" t="s">
        <v>1972</v>
      </c>
      <c r="AN21" s="643" t="s">
        <v>1644</v>
      </c>
      <c r="AO21" s="646" t="s">
        <v>1937</v>
      </c>
      <c r="AP21" s="646"/>
      <c r="AQ21" s="646"/>
      <c r="AR21" s="646"/>
      <c r="AS21" s="646"/>
      <c r="AT21" s="646">
        <v>20</v>
      </c>
    </row>
    <row r="22" ht="15" customHeight="1" spans="9:46">
      <c r="I22" s="501" t="str">
        <f>IF(_xlfn.XLOOKUP(L22,全装!G:G,全装!A:A,"")="Y","Y","")</f>
        <v>Y</v>
      </c>
      <c r="J22" s="613" t="s">
        <v>1954</v>
      </c>
      <c r="K22" s="450">
        <v>7</v>
      </c>
      <c r="L22" s="435" t="s">
        <v>1268</v>
      </c>
      <c r="M22" s="435" t="s">
        <v>1973</v>
      </c>
      <c r="N22" s="420">
        <v>1</v>
      </c>
      <c r="O22" s="426">
        <v>4</v>
      </c>
      <c r="P22" s="418">
        <v>3</v>
      </c>
      <c r="Q22" s="426">
        <v>4</v>
      </c>
      <c r="R22" s="418">
        <v>3</v>
      </c>
      <c r="S22" s="450" t="s">
        <v>16</v>
      </c>
      <c r="T22" s="619" t="s">
        <v>1955</v>
      </c>
      <c r="U22" s="404"/>
      <c r="V22" s="134" t="s">
        <v>1942</v>
      </c>
      <c r="W22" s="494" t="s">
        <v>1974</v>
      </c>
      <c r="X22" s="494" t="s">
        <v>1975</v>
      </c>
      <c r="AN22" s="643" t="s">
        <v>1751</v>
      </c>
      <c r="AO22" s="646" t="s">
        <v>1937</v>
      </c>
      <c r="AP22" s="646"/>
      <c r="AQ22" s="646"/>
      <c r="AR22" s="646"/>
      <c r="AS22" s="646"/>
      <c r="AT22" s="646">
        <v>21</v>
      </c>
    </row>
    <row r="23" ht="14.25" spans="9:46">
      <c r="I23" s="501" t="str">
        <f>IF(_xlfn.XLOOKUP(L23,全装!G:G,全装!A:A,"")="Y","Y","")</f>
        <v>Y</v>
      </c>
      <c r="J23" s="613" t="s">
        <v>1954</v>
      </c>
      <c r="K23" s="414">
        <v>10</v>
      </c>
      <c r="L23" s="434" t="s">
        <v>1644</v>
      </c>
      <c r="M23" s="435" t="s">
        <v>1645</v>
      </c>
      <c r="N23" s="438">
        <v>3</v>
      </c>
      <c r="O23" s="418">
        <v>3</v>
      </c>
      <c r="P23" s="418">
        <v>3</v>
      </c>
      <c r="Q23" s="418">
        <v>3</v>
      </c>
      <c r="R23" s="418">
        <v>3</v>
      </c>
      <c r="S23" s="414" t="s">
        <v>16</v>
      </c>
      <c r="T23" s="445"/>
      <c r="U23" s="404"/>
      <c r="V23" s="637">
        <f>Base_Stat_W+((Item_Level_W-1)*Prog_Number_W)</f>
        <v>23</v>
      </c>
      <c r="W23" s="507">
        <f>IF(Weapon_Tier="Tier 1",1,IF(Weapon_Tier="Tier 2",1.5,IF(Weapon_Tier="Tier 3",2,IF(Weapon_Tier="Tier 4",2.5,IF(Weapon_Tier="Tier 5",3,"error6")))))</f>
        <v>2</v>
      </c>
      <c r="X23" s="638">
        <f>IF(Weapon_Rarity="common",(IF(Weapon_Tier="Tier 1",7,IF(Weapon_Tier="Tier 2",8,IF(Weapon_Tier="Tier 3",11,IF(Weapon_Tier="Tier 4",12,IF(Weapon_Tier="Tier 5",14)))))),IF(Weapon_Rarity="rare",(IF(Weapon_Tier="Tier 1",8,IF(Weapon_Tier="Tier 2",11,IF(Weapon_Tier="Tier 3",14,IF(Weapon_Tier="Tier 4",17,IF(Weapon_Tier="Tier 5",21)))))),IF(Weapon_Rarity="epic",(IF(Weapon_Tier="Tier 1",12,IF(Weapon_Tier="Tier 2",16,IF(Weapon_Tier="Tier 3",20,IF(Weapon_Tier="Tier 4",24,IF(Weapon_Tier="Tier 5",28)))))),IF(Weapon_Rarity="legendary",(IF(Weapon_Tier="Tier 1",17,IF(Weapon_Tier="Tier 2",22,IF(Weapon_Tier="Tier 3",27,IF(Weapon_Tier="Tier 4",32,IF(Weapon_Tier="Tier 5",38)))))),Error))))</f>
        <v>11</v>
      </c>
      <c r="AN23" s="643"/>
      <c r="AO23" s="646" t="s">
        <v>1937</v>
      </c>
      <c r="AP23" s="646"/>
      <c r="AQ23" s="646"/>
      <c r="AR23" s="646"/>
      <c r="AS23" s="646"/>
      <c r="AT23" s="646">
        <v>22</v>
      </c>
    </row>
    <row r="24" spans="9:46">
      <c r="I24" s="501" t="str">
        <f>IF(_xlfn.XLOOKUP(L24,全装!G:G,全装!A:A,"")="Y","Y","")</f>
        <v>Y</v>
      </c>
      <c r="J24" s="613" t="s">
        <v>1954</v>
      </c>
      <c r="K24" s="614">
        <v>26</v>
      </c>
      <c r="L24" s="434" t="s">
        <v>1464</v>
      </c>
      <c r="M24" s="435" t="s">
        <v>1465</v>
      </c>
      <c r="N24" s="438">
        <v>3</v>
      </c>
      <c r="O24" s="422">
        <v>2</v>
      </c>
      <c r="P24" s="418">
        <v>3</v>
      </c>
      <c r="Q24" s="421">
        <v>5</v>
      </c>
      <c r="R24" s="422">
        <v>2</v>
      </c>
      <c r="S24" s="414" t="s">
        <v>15</v>
      </c>
      <c r="T24" s="619" t="s">
        <v>18</v>
      </c>
      <c r="U24" s="404"/>
      <c r="V24" s="639"/>
      <c r="AN24" s="643" t="s">
        <v>1082</v>
      </c>
      <c r="AO24" s="646" t="s">
        <v>1937</v>
      </c>
      <c r="AP24" s="646"/>
      <c r="AQ24" s="646"/>
      <c r="AR24" s="646"/>
      <c r="AS24" s="646"/>
      <c r="AT24" s="646">
        <v>23</v>
      </c>
    </row>
    <row r="25" spans="9:46">
      <c r="I25" s="501" t="str">
        <f>IF(_xlfn.XLOOKUP(L25,全装!G:G,全装!A:A,"")="Y","Y","")</f>
        <v>Y</v>
      </c>
      <c r="J25" s="613" t="s">
        <v>1954</v>
      </c>
      <c r="K25" s="414">
        <v>32</v>
      </c>
      <c r="L25" s="434" t="s">
        <v>1647</v>
      </c>
      <c r="M25" s="435" t="s">
        <v>1976</v>
      </c>
      <c r="N25" s="438">
        <v>3</v>
      </c>
      <c r="O25" s="418">
        <v>3</v>
      </c>
      <c r="P25" s="418">
        <v>3</v>
      </c>
      <c r="Q25" s="418">
        <v>3</v>
      </c>
      <c r="R25" s="418">
        <v>3</v>
      </c>
      <c r="S25" s="414" t="s">
        <v>15</v>
      </c>
      <c r="T25" s="445"/>
      <c r="U25" s="404"/>
      <c r="V25" s="23" t="s">
        <v>1977</v>
      </c>
      <c r="AN25" s="643" t="s">
        <v>1978</v>
      </c>
      <c r="AO25" s="646" t="s">
        <v>1937</v>
      </c>
      <c r="AP25" s="646"/>
      <c r="AQ25" s="646"/>
      <c r="AR25" s="646"/>
      <c r="AS25" s="646"/>
      <c r="AT25" s="646">
        <v>24</v>
      </c>
    </row>
    <row r="26" spans="9:46">
      <c r="I26" s="501" t="str">
        <f>IF(_xlfn.XLOOKUP(L26,全装!G:G,全装!A:A,"")="Y","Y","")</f>
        <v/>
      </c>
      <c r="J26" s="613" t="s">
        <v>1954</v>
      </c>
      <c r="K26" s="414">
        <v>34</v>
      </c>
      <c r="L26" s="434" t="s">
        <v>1655</v>
      </c>
      <c r="M26" s="435" t="s">
        <v>1656</v>
      </c>
      <c r="N26" s="438">
        <v>3</v>
      </c>
      <c r="O26" s="418">
        <v>3</v>
      </c>
      <c r="P26" s="418">
        <v>3</v>
      </c>
      <c r="Q26" s="418">
        <v>3</v>
      </c>
      <c r="R26" s="418">
        <v>3</v>
      </c>
      <c r="S26" s="414" t="s">
        <v>15</v>
      </c>
      <c r="T26" s="445"/>
      <c r="U26" s="404"/>
      <c r="V26" s="487" t="s">
        <v>1979</v>
      </c>
      <c r="AN26" s="643"/>
      <c r="AO26" s="646" t="s">
        <v>1937</v>
      </c>
      <c r="AP26" s="646"/>
      <c r="AQ26" s="646"/>
      <c r="AR26" s="646"/>
      <c r="AS26" s="646"/>
      <c r="AT26" s="646">
        <v>25</v>
      </c>
    </row>
    <row r="27" spans="9:46">
      <c r="I27" s="501" t="str">
        <f>IF(_xlfn.XLOOKUP(L27,全装!G:G,全装!A:A,"")="Y","Y","")</f>
        <v>Y</v>
      </c>
      <c r="J27" s="613" t="s">
        <v>1954</v>
      </c>
      <c r="K27" s="414">
        <v>35</v>
      </c>
      <c r="L27" s="434" t="s">
        <v>1642</v>
      </c>
      <c r="M27" s="435" t="s">
        <v>1643</v>
      </c>
      <c r="N27" s="438">
        <v>3</v>
      </c>
      <c r="O27" s="418">
        <v>3</v>
      </c>
      <c r="P27" s="418">
        <v>3</v>
      </c>
      <c r="Q27" s="418">
        <v>3</v>
      </c>
      <c r="R27" s="418">
        <v>3</v>
      </c>
      <c r="S27" s="414" t="s">
        <v>15</v>
      </c>
      <c r="T27" s="445"/>
      <c r="U27" s="404"/>
      <c r="V27" s="127" t="s">
        <v>1980</v>
      </c>
      <c r="W27" s="127"/>
      <c r="X27" s="127"/>
      <c r="Y27" s="127"/>
      <c r="AN27" s="643" t="s">
        <v>1137</v>
      </c>
      <c r="AO27" s="646" t="s">
        <v>1937</v>
      </c>
      <c r="AP27" s="646"/>
      <c r="AQ27" s="646"/>
      <c r="AR27" s="646"/>
      <c r="AS27" s="646"/>
      <c r="AT27" s="646">
        <v>26</v>
      </c>
    </row>
    <row r="28" spans="9:46">
      <c r="I28" s="501" t="str">
        <f>IF(_xlfn.XLOOKUP(L28,全装!G:G,全装!A:A,"")="Y","Y","")</f>
        <v>Y</v>
      </c>
      <c r="J28" s="613" t="s">
        <v>1954</v>
      </c>
      <c r="K28" s="626">
        <v>2</v>
      </c>
      <c r="L28" s="627" t="s">
        <v>1335</v>
      </c>
      <c r="M28" s="628" t="s">
        <v>1981</v>
      </c>
      <c r="N28" s="417">
        <v>2</v>
      </c>
      <c r="O28" s="426">
        <v>4</v>
      </c>
      <c r="P28" s="418">
        <v>3</v>
      </c>
      <c r="Q28" s="418">
        <v>3</v>
      </c>
      <c r="R28" s="418">
        <v>3</v>
      </c>
      <c r="S28" s="640" t="s">
        <v>16</v>
      </c>
      <c r="T28" s="445"/>
      <c r="U28" s="404"/>
      <c r="V28" s="488" t="s">
        <v>1982</v>
      </c>
      <c r="W28" s="489" t="s">
        <v>1983</v>
      </c>
      <c r="X28" s="489" t="s">
        <v>1984</v>
      </c>
      <c r="Y28" s="489" t="s">
        <v>1972</v>
      </c>
      <c r="Z28" s="489" t="s">
        <v>1985</v>
      </c>
      <c r="AA28" s="509" t="s">
        <v>1986</v>
      </c>
      <c r="AN28" s="643" t="s">
        <v>1070</v>
      </c>
      <c r="AO28" s="646" t="s">
        <v>1937</v>
      </c>
      <c r="AP28" s="646"/>
      <c r="AQ28" s="646"/>
      <c r="AR28" s="646"/>
      <c r="AS28" s="646"/>
      <c r="AT28" s="646">
        <v>27</v>
      </c>
    </row>
    <row r="29" spans="9:46">
      <c r="I29" s="501" t="str">
        <f>IF(_xlfn.XLOOKUP(L29,全装!G:G,全装!A:A,"")="Y","Y","")</f>
        <v>Y</v>
      </c>
      <c r="J29" s="613" t="s">
        <v>1954</v>
      </c>
      <c r="K29" s="626">
        <v>13</v>
      </c>
      <c r="L29" s="439" t="s">
        <v>1137</v>
      </c>
      <c r="M29" s="440" t="s">
        <v>1987</v>
      </c>
      <c r="N29" s="417">
        <v>2</v>
      </c>
      <c r="O29" s="418">
        <v>3</v>
      </c>
      <c r="P29" s="426">
        <v>4</v>
      </c>
      <c r="Q29" s="418">
        <v>3</v>
      </c>
      <c r="R29" s="418">
        <v>3</v>
      </c>
      <c r="S29" s="414" t="s">
        <v>16</v>
      </c>
      <c r="T29" s="445"/>
      <c r="U29" s="404"/>
      <c r="V29" s="490" t="s">
        <v>1039</v>
      </c>
      <c r="W29" s="490">
        <v>1</v>
      </c>
      <c r="X29" s="490">
        <v>1.5</v>
      </c>
      <c r="Y29" s="490">
        <v>2</v>
      </c>
      <c r="Z29" s="490">
        <v>2.5</v>
      </c>
      <c r="AA29" s="490">
        <v>3</v>
      </c>
      <c r="AN29" s="643"/>
      <c r="AO29" s="646" t="s">
        <v>1937</v>
      </c>
      <c r="AP29" s="646"/>
      <c r="AQ29" s="646"/>
      <c r="AR29" s="646"/>
      <c r="AS29" s="646"/>
      <c r="AT29" s="646">
        <v>28</v>
      </c>
    </row>
    <row r="30" spans="9:46">
      <c r="I30" s="501" t="str">
        <f>IF(_xlfn.XLOOKUP(L30,全装!G:G,全装!A:A,"")="Y","Y","")</f>
        <v>Y</v>
      </c>
      <c r="J30" s="613" t="s">
        <v>1954</v>
      </c>
      <c r="K30" s="626">
        <v>19</v>
      </c>
      <c r="L30" s="439" t="s">
        <v>1478</v>
      </c>
      <c r="M30" s="440" t="s">
        <v>1988</v>
      </c>
      <c r="N30" s="417">
        <v>2</v>
      </c>
      <c r="O30" s="418">
        <v>3</v>
      </c>
      <c r="P30" s="418">
        <v>3</v>
      </c>
      <c r="Q30" s="426">
        <v>4</v>
      </c>
      <c r="R30" s="418">
        <v>3</v>
      </c>
      <c r="S30" s="414" t="s">
        <v>1965</v>
      </c>
      <c r="T30" s="445"/>
      <c r="U30" s="404"/>
      <c r="AN30" s="643" t="s">
        <v>1378</v>
      </c>
      <c r="AO30" s="646" t="s">
        <v>1937</v>
      </c>
      <c r="AP30" s="646"/>
      <c r="AQ30" s="646"/>
      <c r="AR30" s="646"/>
      <c r="AS30" s="646"/>
      <c r="AT30" s="646">
        <v>29</v>
      </c>
    </row>
    <row r="31" spans="9:46">
      <c r="I31" s="610" t="str">
        <f>IF(_xlfn.XLOOKUP(L31,全装!G:G,全装!A:A,"")="Y","Y","")</f>
        <v/>
      </c>
      <c r="J31" s="616" t="s">
        <v>1954</v>
      </c>
      <c r="K31" s="414">
        <v>28</v>
      </c>
      <c r="L31" s="439" t="s">
        <v>1448</v>
      </c>
      <c r="M31" s="440" t="s">
        <v>1989</v>
      </c>
      <c r="N31" s="438">
        <v>3</v>
      </c>
      <c r="O31" s="422">
        <v>2</v>
      </c>
      <c r="P31" s="418">
        <v>3</v>
      </c>
      <c r="Q31" s="421">
        <v>5</v>
      </c>
      <c r="R31" s="422">
        <v>2</v>
      </c>
      <c r="S31" s="414" t="s">
        <v>15</v>
      </c>
      <c r="T31" s="445"/>
      <c r="U31" s="404"/>
      <c r="V31" s="491" t="s">
        <v>1990</v>
      </c>
      <c r="AN31" s="643" t="s">
        <v>1991</v>
      </c>
      <c r="AO31" s="646" t="s">
        <v>1937</v>
      </c>
      <c r="AP31" s="646"/>
      <c r="AQ31" s="646"/>
      <c r="AR31" s="646"/>
      <c r="AS31" s="646"/>
      <c r="AT31" s="646">
        <v>30</v>
      </c>
    </row>
    <row r="32" ht="24" spans="9:46">
      <c r="I32" s="501" t="str">
        <f>IF(_xlfn.XLOOKUP(L32,全装!G:G,全装!A:A,"")="Y","Y","")</f>
        <v>Y</v>
      </c>
      <c r="J32" s="613" t="s">
        <v>1954</v>
      </c>
      <c r="K32" s="629">
        <v>31</v>
      </c>
      <c r="L32" s="439" t="s">
        <v>1619</v>
      </c>
      <c r="M32" s="440" t="s">
        <v>1620</v>
      </c>
      <c r="N32" s="429">
        <v>4</v>
      </c>
      <c r="O32" s="418">
        <v>3</v>
      </c>
      <c r="P32" s="418">
        <v>3</v>
      </c>
      <c r="Q32" s="418">
        <v>3</v>
      </c>
      <c r="R32" s="422">
        <v>2</v>
      </c>
      <c r="S32" s="414" t="s">
        <v>15</v>
      </c>
      <c r="T32" s="445"/>
      <c r="U32" s="404"/>
      <c r="V32" s="641" t="s">
        <v>1992</v>
      </c>
      <c r="W32" s="489" t="s">
        <v>1983</v>
      </c>
      <c r="X32" s="489" t="s">
        <v>1984</v>
      </c>
      <c r="Y32" s="489" t="s">
        <v>1972</v>
      </c>
      <c r="Z32" s="489" t="s">
        <v>1985</v>
      </c>
      <c r="AA32" s="509" t="s">
        <v>1986</v>
      </c>
      <c r="AN32" s="643" t="s">
        <v>1415</v>
      </c>
      <c r="AO32" s="646" t="s">
        <v>1937</v>
      </c>
      <c r="AP32" s="646"/>
      <c r="AQ32" s="646"/>
      <c r="AR32" s="646"/>
      <c r="AS32" s="646"/>
      <c r="AT32" s="646">
        <v>31</v>
      </c>
    </row>
    <row r="33" spans="9:46">
      <c r="I33" s="501" t="str">
        <f>IF(_xlfn.XLOOKUP(L33,全装!G:G,全装!A:A,"")="Y","Y","")</f>
        <v>Y</v>
      </c>
      <c r="J33" s="613" t="s">
        <v>1954</v>
      </c>
      <c r="K33" s="450">
        <v>33</v>
      </c>
      <c r="L33" s="439" t="s">
        <v>1597</v>
      </c>
      <c r="M33" s="440" t="s">
        <v>1598</v>
      </c>
      <c r="N33" s="429">
        <v>4</v>
      </c>
      <c r="O33" s="418">
        <v>3</v>
      </c>
      <c r="P33" s="418">
        <v>3</v>
      </c>
      <c r="Q33" s="418">
        <v>3</v>
      </c>
      <c r="R33" s="422">
        <v>2</v>
      </c>
      <c r="S33" s="414" t="s">
        <v>15</v>
      </c>
      <c r="T33" s="445"/>
      <c r="U33" s="404"/>
      <c r="V33" s="24" t="s">
        <v>1971</v>
      </c>
      <c r="W33" s="493">
        <v>7</v>
      </c>
      <c r="X33" s="493">
        <v>8</v>
      </c>
      <c r="Y33" s="493">
        <v>11</v>
      </c>
      <c r="Z33" s="493">
        <v>12</v>
      </c>
      <c r="AA33" s="493">
        <v>14</v>
      </c>
      <c r="AN33" s="643"/>
      <c r="AO33" s="646" t="s">
        <v>1937</v>
      </c>
      <c r="AP33" s="646"/>
      <c r="AQ33" s="646"/>
      <c r="AR33" s="646"/>
      <c r="AS33" s="646"/>
      <c r="AT33" s="646">
        <v>32</v>
      </c>
    </row>
    <row r="34" spans="9:46">
      <c r="I34" s="610" t="str">
        <f>IF(_xlfn.XLOOKUP(L34,全装!G:G,全装!A:A,"")="Y","Y","")</f>
        <v>Y</v>
      </c>
      <c r="J34" s="616" t="s">
        <v>1954</v>
      </c>
      <c r="K34" s="414">
        <v>36</v>
      </c>
      <c r="L34" s="439" t="s">
        <v>1606</v>
      </c>
      <c r="M34" s="440" t="s">
        <v>1993</v>
      </c>
      <c r="N34" s="429">
        <v>4</v>
      </c>
      <c r="O34" s="418">
        <v>3</v>
      </c>
      <c r="P34" s="418">
        <v>3</v>
      </c>
      <c r="Q34" s="422">
        <v>2</v>
      </c>
      <c r="R34" s="418">
        <v>3</v>
      </c>
      <c r="S34" s="414" t="s">
        <v>15</v>
      </c>
      <c r="T34" s="445"/>
      <c r="U34" s="404"/>
      <c r="V34" s="25" t="s">
        <v>1994</v>
      </c>
      <c r="W34" s="493">
        <v>8</v>
      </c>
      <c r="X34" s="493">
        <v>11</v>
      </c>
      <c r="Y34" s="493">
        <v>14</v>
      </c>
      <c r="Z34" s="493">
        <v>17</v>
      </c>
      <c r="AA34" s="493">
        <v>21</v>
      </c>
      <c r="AN34" s="643" t="s">
        <v>1366</v>
      </c>
      <c r="AO34" s="646" t="s">
        <v>1937</v>
      </c>
      <c r="AP34" s="646"/>
      <c r="AQ34" s="646"/>
      <c r="AR34" s="646"/>
      <c r="AS34" s="646"/>
      <c r="AT34" s="646">
        <v>33</v>
      </c>
    </row>
    <row r="35" spans="9:46">
      <c r="I35" s="501" t="str">
        <f>IF(_xlfn.XLOOKUP(L35,全装!G:G,全装!A:A,"")="Y","Y","")</f>
        <v>Y</v>
      </c>
      <c r="J35" s="613" t="s">
        <v>1954</v>
      </c>
      <c r="K35" s="626">
        <v>37</v>
      </c>
      <c r="L35" s="439" t="s">
        <v>1511</v>
      </c>
      <c r="M35" s="440" t="s">
        <v>1512</v>
      </c>
      <c r="N35" s="417">
        <v>2</v>
      </c>
      <c r="O35" s="418">
        <v>3</v>
      </c>
      <c r="P35" s="418">
        <v>3</v>
      </c>
      <c r="Q35" s="418">
        <v>3</v>
      </c>
      <c r="R35" s="426">
        <v>4</v>
      </c>
      <c r="S35" s="414" t="s">
        <v>15</v>
      </c>
      <c r="T35" s="445"/>
      <c r="U35" s="404"/>
      <c r="V35" s="26" t="s">
        <v>1939</v>
      </c>
      <c r="W35" s="493">
        <v>12</v>
      </c>
      <c r="X35" s="493">
        <v>16</v>
      </c>
      <c r="Y35" s="493">
        <v>20</v>
      </c>
      <c r="Z35" s="493">
        <v>24</v>
      </c>
      <c r="AA35" s="493">
        <v>28</v>
      </c>
      <c r="AN35" s="643" t="s">
        <v>1478</v>
      </c>
      <c r="AO35" s="646" t="s">
        <v>1937</v>
      </c>
      <c r="AP35" s="646"/>
      <c r="AQ35" s="646"/>
      <c r="AR35" s="646"/>
      <c r="AS35" s="646"/>
      <c r="AT35" s="646">
        <v>34</v>
      </c>
    </row>
    <row r="36" spans="9:46">
      <c r="I36" s="610" t="str">
        <f>IF(_xlfn.XLOOKUP(L36,全装!G:G,全装!A:A,"")="Y","Y","")</f>
        <v>Y</v>
      </c>
      <c r="J36" s="616" t="s">
        <v>1931</v>
      </c>
      <c r="K36" s="450">
        <v>11</v>
      </c>
      <c r="L36" s="450" t="s">
        <v>1751</v>
      </c>
      <c r="M36" s="450" t="s">
        <v>1995</v>
      </c>
      <c r="N36" s="438">
        <v>3</v>
      </c>
      <c r="O36" s="426">
        <v>4</v>
      </c>
      <c r="P36" s="422">
        <v>2</v>
      </c>
      <c r="Q36" s="418">
        <v>3</v>
      </c>
      <c r="R36" s="418">
        <v>3</v>
      </c>
      <c r="S36" s="450" t="s">
        <v>16</v>
      </c>
      <c r="T36" s="445"/>
      <c r="U36" s="404"/>
      <c r="V36" s="27" t="s">
        <v>1996</v>
      </c>
      <c r="W36" s="493">
        <v>17</v>
      </c>
      <c r="X36" s="493">
        <v>22</v>
      </c>
      <c r="Y36" s="493">
        <v>27</v>
      </c>
      <c r="Z36" s="493">
        <v>32</v>
      </c>
      <c r="AA36" s="493">
        <v>38</v>
      </c>
      <c r="AN36" s="643"/>
      <c r="AO36" s="646" t="s">
        <v>1937</v>
      </c>
      <c r="AP36" s="646"/>
      <c r="AQ36" s="646"/>
      <c r="AR36" s="646"/>
      <c r="AS36" s="646"/>
      <c r="AT36" s="646">
        <v>35</v>
      </c>
    </row>
    <row r="37" spans="9:46">
      <c r="I37" s="610" t="str">
        <f>IF(_xlfn.XLOOKUP(L37,全装!G:G,全装!A:A,"")="Y","Y","")</f>
        <v/>
      </c>
      <c r="J37" s="616" t="s">
        <v>1931</v>
      </c>
      <c r="K37" s="450">
        <v>14</v>
      </c>
      <c r="L37" s="444" t="s">
        <v>1701</v>
      </c>
      <c r="M37" s="444" t="s">
        <v>1997</v>
      </c>
      <c r="N37" s="420">
        <v>1</v>
      </c>
      <c r="O37" s="426">
        <v>4</v>
      </c>
      <c r="P37" s="422">
        <v>2</v>
      </c>
      <c r="Q37" s="426">
        <v>4</v>
      </c>
      <c r="R37" s="426">
        <v>4</v>
      </c>
      <c r="S37" s="450" t="s">
        <v>16</v>
      </c>
      <c r="T37" s="445"/>
      <c r="U37" s="404"/>
      <c r="AN37" s="643" t="s">
        <v>1268</v>
      </c>
      <c r="AO37" s="646" t="s">
        <v>1937</v>
      </c>
      <c r="AP37" s="646"/>
      <c r="AQ37" s="646"/>
      <c r="AR37" s="646"/>
      <c r="AS37" s="646"/>
      <c r="AT37" s="646">
        <v>36</v>
      </c>
    </row>
    <row r="38" spans="9:46">
      <c r="I38" s="501" t="str">
        <f>IF(_xlfn.XLOOKUP(L38,全装!G:G,全装!A:A,"")="Y","Y","")</f>
        <v>Y</v>
      </c>
      <c r="J38" s="613" t="s">
        <v>1931</v>
      </c>
      <c r="K38" s="450">
        <v>20</v>
      </c>
      <c r="L38" s="450" t="s">
        <v>1485</v>
      </c>
      <c r="M38" s="450" t="s">
        <v>1486</v>
      </c>
      <c r="N38" s="417">
        <v>2</v>
      </c>
      <c r="O38" s="418">
        <v>3</v>
      </c>
      <c r="P38" s="418">
        <v>3</v>
      </c>
      <c r="Q38" s="426">
        <v>4</v>
      </c>
      <c r="R38" s="418">
        <v>3</v>
      </c>
      <c r="S38" s="450" t="s">
        <v>17</v>
      </c>
      <c r="T38" s="445"/>
      <c r="U38" s="404"/>
      <c r="V38" s="23" t="s">
        <v>1998</v>
      </c>
      <c r="X38" s="23" t="s">
        <v>1999</v>
      </c>
      <c r="AA38" s="23" t="s">
        <v>2000</v>
      </c>
      <c r="AN38" s="643" t="s">
        <v>1707</v>
      </c>
      <c r="AO38" s="646"/>
      <c r="AP38" s="646"/>
      <c r="AQ38" s="646"/>
      <c r="AR38" s="646"/>
      <c r="AS38" s="646"/>
      <c r="AT38" s="646">
        <v>37</v>
      </c>
    </row>
    <row r="39" spans="9:46">
      <c r="I39" s="501" t="str">
        <f>IF(_xlfn.XLOOKUP(L39,全装!G:G,全装!A:A,"")="Y","Y","")</f>
        <v/>
      </c>
      <c r="J39" s="450" t="s">
        <v>1954</v>
      </c>
      <c r="K39" s="450">
        <v>22</v>
      </c>
      <c r="L39" s="450" t="s">
        <v>1049</v>
      </c>
      <c r="M39" s="450" t="s">
        <v>1050</v>
      </c>
      <c r="N39" s="417">
        <v>2</v>
      </c>
      <c r="O39" s="422">
        <v>2</v>
      </c>
      <c r="P39" s="426">
        <v>4</v>
      </c>
      <c r="Q39" s="426">
        <v>4</v>
      </c>
      <c r="R39" s="418">
        <v>3</v>
      </c>
      <c r="S39" s="450" t="s">
        <v>17</v>
      </c>
      <c r="T39" s="445"/>
      <c r="U39" s="404"/>
      <c r="X39" s="23" t="s">
        <v>2001</v>
      </c>
      <c r="AA39" s="23" t="s">
        <v>2002</v>
      </c>
      <c r="AN39" s="643" t="s">
        <v>1697</v>
      </c>
      <c r="AO39" s="646"/>
      <c r="AP39" s="646"/>
      <c r="AQ39" s="646"/>
      <c r="AR39" s="646"/>
      <c r="AS39" s="646"/>
      <c r="AT39" s="646">
        <v>38</v>
      </c>
    </row>
    <row r="40" spans="9:46">
      <c r="I40" s="501" t="str">
        <f>IF(_xlfn.XLOOKUP(L40,全装!G:G,全装!A:A,"")="Y","Y","")</f>
        <v/>
      </c>
      <c r="J40" s="450" t="s">
        <v>1954</v>
      </c>
      <c r="K40" s="450">
        <v>23</v>
      </c>
      <c r="L40" s="450" t="s">
        <v>1711</v>
      </c>
      <c r="M40" s="450" t="s">
        <v>1712</v>
      </c>
      <c r="N40" s="417">
        <v>2</v>
      </c>
      <c r="O40" s="426">
        <v>4</v>
      </c>
      <c r="P40" s="422">
        <v>2</v>
      </c>
      <c r="Q40" s="421">
        <v>5</v>
      </c>
      <c r="R40" s="422">
        <v>2</v>
      </c>
      <c r="S40" s="450" t="s">
        <v>17</v>
      </c>
      <c r="T40" s="445"/>
      <c r="U40" s="404"/>
      <c r="V40" s="23" t="s">
        <v>2003</v>
      </c>
      <c r="X40" s="23" t="s">
        <v>2004</v>
      </c>
      <c r="AN40" s="643"/>
      <c r="AO40" s="646"/>
      <c r="AP40" s="646"/>
      <c r="AQ40" s="646"/>
      <c r="AR40" s="646"/>
      <c r="AS40" s="646"/>
      <c r="AT40" s="646">
        <v>39</v>
      </c>
    </row>
    <row r="41" spans="9:46">
      <c r="I41" s="501" t="str">
        <f>IF(_xlfn.XLOOKUP(L41,全装!G:G,全装!A:A,"")="Y","Y","")</f>
        <v>Y</v>
      </c>
      <c r="J41" s="622" t="s">
        <v>1931</v>
      </c>
      <c r="K41" s="450">
        <v>38</v>
      </c>
      <c r="L41" s="444" t="s">
        <v>1774</v>
      </c>
      <c r="M41" s="444" t="s">
        <v>1775</v>
      </c>
      <c r="N41" s="438">
        <v>3</v>
      </c>
      <c r="O41" s="422">
        <v>2</v>
      </c>
      <c r="P41" s="422">
        <v>2</v>
      </c>
      <c r="Q41" s="426">
        <v>4</v>
      </c>
      <c r="R41" s="426">
        <v>4</v>
      </c>
      <c r="S41" s="450" t="s">
        <v>15</v>
      </c>
      <c r="T41" s="445"/>
      <c r="U41" s="404"/>
      <c r="AN41" s="643" t="s">
        <v>1647</v>
      </c>
      <c r="AO41" s="646"/>
      <c r="AP41" s="646"/>
      <c r="AQ41" s="646"/>
      <c r="AR41" s="646"/>
      <c r="AS41" s="646"/>
      <c r="AT41" s="646">
        <v>40</v>
      </c>
    </row>
    <row r="42" ht="15" customHeight="1" spans="9:46">
      <c r="I42" s="501" t="str">
        <f>IF(_xlfn.XLOOKUP(L42,全装!G:G,全装!A:A,"")="Y","Y","")</f>
        <v/>
      </c>
      <c r="J42" s="622" t="s">
        <v>1931</v>
      </c>
      <c r="K42" s="450">
        <v>41</v>
      </c>
      <c r="L42" s="444" t="s">
        <v>1567</v>
      </c>
      <c r="M42" s="444" t="s">
        <v>1568</v>
      </c>
      <c r="N42" s="429">
        <v>4</v>
      </c>
      <c r="O42" s="422">
        <v>2</v>
      </c>
      <c r="P42" s="418">
        <v>3</v>
      </c>
      <c r="Q42" s="422">
        <v>2</v>
      </c>
      <c r="R42" s="426">
        <v>4</v>
      </c>
      <c r="S42" s="450" t="s">
        <v>15</v>
      </c>
      <c r="T42" s="445"/>
      <c r="U42" s="404"/>
      <c r="V42" s="502" t="s">
        <v>2005</v>
      </c>
      <c r="W42" s="502"/>
      <c r="X42" s="502"/>
      <c r="Y42" s="502"/>
      <c r="Z42" s="502"/>
      <c r="AA42" s="502"/>
      <c r="AB42" s="502"/>
      <c r="AC42" s="502"/>
      <c r="AD42" s="502"/>
      <c r="AE42" s="502"/>
      <c r="AN42" s="643" t="s">
        <v>1619</v>
      </c>
      <c r="AO42" s="646"/>
      <c r="AP42" s="646"/>
      <c r="AQ42" s="646"/>
      <c r="AR42" s="646"/>
      <c r="AS42" s="646"/>
      <c r="AT42" s="646">
        <v>41</v>
      </c>
    </row>
    <row r="43" ht="15" customHeight="1" spans="9:46">
      <c r="I43" s="610" t="str">
        <f>IF(_xlfn.XLOOKUP(L43,全装!G:G,全装!A:A,"")="Y","Y","")</f>
        <v>Y</v>
      </c>
      <c r="J43" s="616" t="s">
        <v>1931</v>
      </c>
      <c r="K43" s="450">
        <v>42</v>
      </c>
      <c r="L43" s="414" t="s">
        <v>1143</v>
      </c>
      <c r="M43" s="450" t="s">
        <v>1144</v>
      </c>
      <c r="N43" s="438">
        <v>3</v>
      </c>
      <c r="O43" s="422">
        <v>2</v>
      </c>
      <c r="P43" s="426">
        <v>4</v>
      </c>
      <c r="Q43" s="418">
        <v>3</v>
      </c>
      <c r="R43" s="418">
        <v>3</v>
      </c>
      <c r="S43" s="414" t="s">
        <v>15</v>
      </c>
      <c r="T43" s="445"/>
      <c r="U43" s="404"/>
      <c r="V43" s="502"/>
      <c r="W43" s="502"/>
      <c r="X43" s="502"/>
      <c r="Y43" s="502"/>
      <c r="Z43" s="502"/>
      <c r="AA43" s="502"/>
      <c r="AB43" s="502"/>
      <c r="AC43" s="502"/>
      <c r="AD43" s="502"/>
      <c r="AE43" s="502"/>
      <c r="AN43" s="643" t="s">
        <v>2006</v>
      </c>
      <c r="AO43" s="646"/>
      <c r="AP43" s="646"/>
      <c r="AQ43" s="646"/>
      <c r="AR43" s="646"/>
      <c r="AS43" s="646"/>
      <c r="AT43" s="646">
        <v>42</v>
      </c>
    </row>
    <row r="44" ht="15" customHeight="1" spans="1:46">
      <c r="A44" s="606"/>
      <c r="B44" s="606"/>
      <c r="C44" s="606"/>
      <c r="I44" s="501" t="str">
        <f>IF(_xlfn.XLOOKUP(L44,全装!G:G,全装!A:A,"")="Y","Y","")</f>
        <v/>
      </c>
      <c r="J44" s="427" t="s">
        <v>1931</v>
      </c>
      <c r="K44" s="414">
        <v>43</v>
      </c>
      <c r="L44" s="443" t="s">
        <v>1320</v>
      </c>
      <c r="M44" s="444" t="s">
        <v>2007</v>
      </c>
      <c r="N44" s="438">
        <v>3</v>
      </c>
      <c r="O44" s="426">
        <v>4</v>
      </c>
      <c r="P44" s="418">
        <v>3</v>
      </c>
      <c r="Q44" s="418">
        <v>3</v>
      </c>
      <c r="R44" s="422">
        <v>2</v>
      </c>
      <c r="S44" s="414" t="s">
        <v>2008</v>
      </c>
      <c r="T44" s="445"/>
      <c r="U44" s="404"/>
      <c r="V44" s="502"/>
      <c r="W44" s="502"/>
      <c r="X44" s="502"/>
      <c r="Y44" s="502"/>
      <c r="Z44" s="502"/>
      <c r="AA44" s="502"/>
      <c r="AB44" s="502"/>
      <c r="AC44" s="502"/>
      <c r="AD44" s="502"/>
      <c r="AE44" s="502"/>
      <c r="AN44" s="643" t="s">
        <v>1597</v>
      </c>
      <c r="AO44" s="646"/>
      <c r="AP44" s="646"/>
      <c r="AQ44" s="646"/>
      <c r="AR44" s="646"/>
      <c r="AS44" s="646"/>
      <c r="AT44" s="646">
        <v>43</v>
      </c>
    </row>
    <row r="45" ht="15.75" customHeight="1" spans="1:46">
      <c r="A45" s="606"/>
      <c r="B45" s="606"/>
      <c r="C45" s="606"/>
      <c r="I45" s="501" t="str">
        <f>IF(_xlfn.XLOOKUP(L45,全装!G:G,全装!A:A,"")="Y","Y","")</f>
        <v/>
      </c>
      <c r="J45" s="450" t="s">
        <v>1931</v>
      </c>
      <c r="K45" s="450">
        <v>44</v>
      </c>
      <c r="L45" s="444" t="s">
        <v>1590</v>
      </c>
      <c r="M45" s="444" t="s">
        <v>2009</v>
      </c>
      <c r="N45" s="429">
        <v>4</v>
      </c>
      <c r="O45" s="418">
        <v>3</v>
      </c>
      <c r="P45" s="418">
        <v>3</v>
      </c>
      <c r="Q45" s="418">
        <v>3</v>
      </c>
      <c r="R45" s="422">
        <v>2</v>
      </c>
      <c r="S45" s="450" t="s">
        <v>2010</v>
      </c>
      <c r="T45" s="445"/>
      <c r="U45" s="404"/>
      <c r="V45" s="502"/>
      <c r="W45" s="502"/>
      <c r="X45" s="502"/>
      <c r="Y45" s="502"/>
      <c r="Z45" s="502"/>
      <c r="AA45" s="502"/>
      <c r="AB45" s="502"/>
      <c r="AC45" s="502"/>
      <c r="AD45" s="502"/>
      <c r="AE45" s="502"/>
      <c r="AN45" s="643" t="s">
        <v>1655</v>
      </c>
      <c r="AO45" s="646"/>
      <c r="AP45" s="646"/>
      <c r="AQ45" s="646"/>
      <c r="AR45" s="646"/>
      <c r="AS45" s="646"/>
      <c r="AT45" s="646">
        <v>44</v>
      </c>
    </row>
    <row r="46" ht="14.25" spans="1:46">
      <c r="A46" s="606"/>
      <c r="B46" s="606"/>
      <c r="C46" s="606"/>
      <c r="D46" s="607"/>
      <c r="E46" s="607"/>
      <c r="F46" s="607"/>
      <c r="I46" s="630"/>
      <c r="J46" s="450"/>
      <c r="K46" s="455">
        <v>45</v>
      </c>
      <c r="L46" s="455"/>
      <c r="N46" s="448"/>
      <c r="O46" s="449"/>
      <c r="P46" s="449"/>
      <c r="Q46" s="449"/>
      <c r="R46" s="449"/>
      <c r="S46" s="500"/>
      <c r="T46" s="500"/>
      <c r="U46" s="404"/>
      <c r="V46" s="503" t="s">
        <v>2011</v>
      </c>
      <c r="W46" s="467"/>
      <c r="AN46" s="643" t="s">
        <v>1642</v>
      </c>
      <c r="AO46" s="646"/>
      <c r="AP46" s="646"/>
      <c r="AQ46" s="646"/>
      <c r="AR46" s="646"/>
      <c r="AS46" s="646"/>
      <c r="AT46" s="646">
        <v>45</v>
      </c>
    </row>
    <row r="47" spans="1:46">
      <c r="A47" s="606"/>
      <c r="B47" s="606"/>
      <c r="C47" s="606"/>
      <c r="I47" s="460"/>
      <c r="J47" s="450"/>
      <c r="K47" s="459">
        <v>46</v>
      </c>
      <c r="L47" s="459"/>
      <c r="N47" s="448"/>
      <c r="O47" s="449"/>
      <c r="P47" s="449"/>
      <c r="Q47" s="449"/>
      <c r="R47" s="449"/>
      <c r="S47" s="500"/>
      <c r="T47" s="445"/>
      <c r="U47" s="404"/>
      <c r="AN47" s="643" t="s">
        <v>1606</v>
      </c>
      <c r="AO47" s="646"/>
      <c r="AP47" s="646"/>
      <c r="AQ47" s="646"/>
      <c r="AR47" s="646"/>
      <c r="AS47" s="646"/>
      <c r="AT47" s="646">
        <v>46</v>
      </c>
    </row>
    <row r="48" spans="1:46">
      <c r="A48" s="606"/>
      <c r="B48" s="606"/>
      <c r="C48" s="606"/>
      <c r="I48" s="630"/>
      <c r="J48" s="450"/>
      <c r="K48" s="459">
        <v>47</v>
      </c>
      <c r="L48" s="455"/>
      <c r="N48" s="448"/>
      <c r="O48" s="449"/>
      <c r="P48" s="449"/>
      <c r="Q48" s="449"/>
      <c r="R48" s="449"/>
      <c r="S48" s="500"/>
      <c r="T48" s="445"/>
      <c r="U48" s="404"/>
      <c r="AN48" s="643"/>
      <c r="AO48" s="646"/>
      <c r="AP48" s="646"/>
      <c r="AQ48" s="646"/>
      <c r="AR48" s="646"/>
      <c r="AS48" s="646"/>
      <c r="AT48" s="646">
        <v>47</v>
      </c>
    </row>
    <row r="49" spans="1:46">
      <c r="A49" s="606"/>
      <c r="B49" s="606"/>
      <c r="C49" s="606"/>
      <c r="I49" s="630"/>
      <c r="J49" s="450"/>
      <c r="K49" s="459">
        <v>48</v>
      </c>
      <c r="L49" s="455"/>
      <c r="N49" s="448"/>
      <c r="O49" s="449"/>
      <c r="P49" s="449"/>
      <c r="Q49" s="449"/>
      <c r="R49" s="449"/>
      <c r="S49" s="500"/>
      <c r="T49" s="445"/>
      <c r="U49" s="404"/>
      <c r="AN49" s="643" t="s">
        <v>1238</v>
      </c>
      <c r="AO49" s="646"/>
      <c r="AP49" s="646"/>
      <c r="AQ49" s="646"/>
      <c r="AR49" s="646"/>
      <c r="AS49" s="646"/>
      <c r="AT49" s="646">
        <v>48</v>
      </c>
    </row>
    <row r="50" spans="9:46">
      <c r="I50" s="630"/>
      <c r="J50" s="450"/>
      <c r="K50" s="459">
        <v>49</v>
      </c>
      <c r="L50" s="455"/>
      <c r="N50" s="448"/>
      <c r="O50" s="449"/>
      <c r="P50" s="449"/>
      <c r="Q50" s="449"/>
      <c r="R50" s="449"/>
      <c r="S50" s="500"/>
      <c r="T50" s="445"/>
      <c r="U50" s="404"/>
      <c r="AN50" s="643" t="s">
        <v>1335</v>
      </c>
      <c r="AO50" s="646"/>
      <c r="AP50" s="646"/>
      <c r="AQ50" s="646"/>
      <c r="AR50" s="646"/>
      <c r="AS50" s="646"/>
      <c r="AT50" s="646">
        <v>49</v>
      </c>
    </row>
    <row r="51" spans="9:46">
      <c r="I51" s="630"/>
      <c r="J51" s="450"/>
      <c r="K51" s="455">
        <v>50</v>
      </c>
      <c r="L51" s="455"/>
      <c r="N51" s="448"/>
      <c r="O51" s="449"/>
      <c r="P51" s="449"/>
      <c r="Q51" s="449"/>
      <c r="R51" s="449"/>
      <c r="S51" s="500"/>
      <c r="T51" s="445"/>
      <c r="U51" s="404"/>
      <c r="AN51" s="643"/>
      <c r="AO51" s="646"/>
      <c r="AP51" s="646"/>
      <c r="AQ51" s="646"/>
      <c r="AR51" s="646"/>
      <c r="AS51" s="646"/>
      <c r="AT51" s="646">
        <v>50</v>
      </c>
    </row>
    <row r="52" spans="8:46">
      <c r="H52" s="401"/>
      <c r="J52" s="467"/>
      <c r="K52" s="401"/>
      <c r="L52" s="401"/>
      <c r="N52" s="401"/>
      <c r="O52" s="401"/>
      <c r="P52" s="401"/>
      <c r="Q52" s="401"/>
      <c r="R52" s="401"/>
      <c r="S52" s="401"/>
      <c r="U52" s="404"/>
      <c r="AN52" s="643" t="s">
        <v>1511</v>
      </c>
      <c r="AO52" s="646"/>
      <c r="AP52" s="646"/>
      <c r="AQ52" s="646"/>
      <c r="AR52" s="646"/>
      <c r="AS52" s="646"/>
      <c r="AT52" s="646">
        <v>51</v>
      </c>
    </row>
    <row r="53" spans="8:46">
      <c r="H53" s="404"/>
      <c r="J53" s="461" t="s">
        <v>2012</v>
      </c>
      <c r="K53" s="400"/>
      <c r="L53" s="404"/>
      <c r="N53" s="404"/>
      <c r="O53" s="404"/>
      <c r="P53" s="404"/>
      <c r="Q53" s="404"/>
      <c r="R53" s="404"/>
      <c r="S53" s="404"/>
      <c r="T53" s="404"/>
      <c r="U53" s="404"/>
      <c r="AN53" s="643" t="s">
        <v>1774</v>
      </c>
      <c r="AO53" s="646"/>
      <c r="AP53" s="646"/>
      <c r="AQ53" s="646"/>
      <c r="AR53" s="646"/>
      <c r="AS53" s="646"/>
      <c r="AT53" s="646">
        <v>52</v>
      </c>
    </row>
    <row r="54" spans="8:46">
      <c r="H54" s="401"/>
      <c r="J54" s="462" t="s">
        <v>2013</v>
      </c>
      <c r="K54" s="403"/>
      <c r="L54" s="401"/>
      <c r="N54" s="401"/>
      <c r="O54" s="401"/>
      <c r="P54" s="401"/>
      <c r="Q54" s="401"/>
      <c r="R54" s="401"/>
      <c r="S54" s="401"/>
      <c r="T54" s="404"/>
      <c r="U54" s="404"/>
      <c r="V54" s="23" t="s">
        <v>2014</v>
      </c>
      <c r="W54" s="467"/>
      <c r="AN54" s="643"/>
      <c r="AO54" s="646"/>
      <c r="AP54" s="646"/>
      <c r="AQ54" s="646"/>
      <c r="AR54" s="646"/>
      <c r="AS54" s="646"/>
      <c r="AT54" s="646">
        <v>53</v>
      </c>
    </row>
    <row r="55" spans="8:46">
      <c r="H55" s="406"/>
      <c r="J55" s="463" t="s">
        <v>2015</v>
      </c>
      <c r="K55" s="406"/>
      <c r="L55" s="406"/>
      <c r="N55" s="406"/>
      <c r="O55" s="406"/>
      <c r="P55" s="404"/>
      <c r="Q55" s="404"/>
      <c r="R55" s="404"/>
      <c r="S55" s="404"/>
      <c r="T55" s="404"/>
      <c r="U55" s="404"/>
      <c r="V55" s="23" t="s">
        <v>2016</v>
      </c>
      <c r="AN55" s="644"/>
      <c r="AO55" s="532"/>
      <c r="AP55" s="532"/>
      <c r="AQ55" s="532"/>
      <c r="AR55" s="532"/>
      <c r="AS55" s="532"/>
      <c r="AT55" s="532">
        <v>54</v>
      </c>
    </row>
    <row r="56" spans="8:22">
      <c r="H56" s="466"/>
      <c r="J56" s="464" t="s">
        <v>2017</v>
      </c>
      <c r="K56" s="465"/>
      <c r="L56" s="466" t="s">
        <v>2017</v>
      </c>
      <c r="N56" s="401"/>
      <c r="O56" s="401"/>
      <c r="P56" s="401"/>
      <c r="Q56" s="401"/>
      <c r="R56" s="401"/>
      <c r="S56" s="401"/>
      <c r="T56" s="404"/>
      <c r="U56" s="404"/>
      <c r="V56" s="823" t="s">
        <v>2018</v>
      </c>
    </row>
    <row r="57" spans="10:21">
      <c r="J57" s="467" t="s">
        <v>2019</v>
      </c>
      <c r="K57" s="404"/>
      <c r="R57" s="404"/>
      <c r="S57" s="404"/>
      <c r="T57" s="404"/>
      <c r="U57" s="404"/>
    </row>
    <row r="58" spans="10:22">
      <c r="J58" s="467" t="s">
        <v>1927</v>
      </c>
      <c r="K58" s="401" t="s">
        <v>2020</v>
      </c>
      <c r="L58" s="23" t="s">
        <v>289</v>
      </c>
      <c r="N58" s="23" t="s">
        <v>2021</v>
      </c>
      <c r="R58" s="401"/>
      <c r="S58" s="401"/>
      <c r="T58" s="404"/>
      <c r="U58" s="404"/>
      <c r="V58" s="23" t="s">
        <v>2022</v>
      </c>
    </row>
    <row r="59" spans="10:22">
      <c r="J59" s="467" t="s">
        <v>1927</v>
      </c>
      <c r="K59" s="401" t="s">
        <v>2020</v>
      </c>
      <c r="L59" s="23" t="s">
        <v>292</v>
      </c>
      <c r="N59" s="23" t="s">
        <v>2021</v>
      </c>
      <c r="R59" s="404"/>
      <c r="S59" s="404"/>
      <c r="T59" s="404"/>
      <c r="U59" s="404"/>
      <c r="V59" s="23" t="s">
        <v>2023</v>
      </c>
    </row>
    <row r="60" spans="10:22">
      <c r="J60" s="467" t="s">
        <v>1927</v>
      </c>
      <c r="K60" s="401" t="s">
        <v>2020</v>
      </c>
      <c r="L60" s="23" t="s">
        <v>2024</v>
      </c>
      <c r="N60" s="23" t="s">
        <v>2021</v>
      </c>
      <c r="R60" s="401"/>
      <c r="S60" s="401"/>
      <c r="T60" s="404"/>
      <c r="U60" s="404"/>
      <c r="V60" s="23" t="s">
        <v>2025</v>
      </c>
    </row>
    <row r="61" spans="10:22">
      <c r="J61" s="467" t="s">
        <v>1927</v>
      </c>
      <c r="K61" s="401" t="s">
        <v>2020</v>
      </c>
      <c r="L61" s="23" t="s">
        <v>290</v>
      </c>
      <c r="N61" s="23" t="s">
        <v>2021</v>
      </c>
      <c r="R61" s="404"/>
      <c r="S61" s="404"/>
      <c r="T61" s="404"/>
      <c r="U61" s="404"/>
      <c r="V61" s="23" t="s">
        <v>2026</v>
      </c>
    </row>
    <row r="62" spans="10:22">
      <c r="J62" s="467" t="s">
        <v>1926</v>
      </c>
      <c r="K62" s="404" t="s">
        <v>2027</v>
      </c>
      <c r="L62" s="23" t="s">
        <v>2028</v>
      </c>
      <c r="V62" s="23" t="s">
        <v>2029</v>
      </c>
    </row>
    <row r="63" spans="22:22">
      <c r="V63" s="23" t="s">
        <v>2030</v>
      </c>
    </row>
    <row r="65" spans="10:22">
      <c r="J65" s="23" t="s">
        <v>2031</v>
      </c>
      <c r="V65" s="23" t="s">
        <v>2032</v>
      </c>
    </row>
    <row r="66" spans="10:22">
      <c r="J66" s="23" t="s">
        <v>2033</v>
      </c>
      <c r="V66" s="23" t="s">
        <v>2034</v>
      </c>
    </row>
    <row r="67" spans="10:22">
      <c r="J67" s="23" t="s">
        <v>2035</v>
      </c>
      <c r="V67" s="23" t="s">
        <v>2036</v>
      </c>
    </row>
    <row r="68" spans="22:22">
      <c r="V68" s="23" t="s">
        <v>2037</v>
      </c>
    </row>
    <row r="69" spans="10:22">
      <c r="J69" s="400" t="s">
        <v>2038</v>
      </c>
      <c r="K69" s="400"/>
      <c r="L69" s="401"/>
      <c r="V69" s="23" t="s">
        <v>2039</v>
      </c>
    </row>
    <row r="70" spans="10:22">
      <c r="J70" s="402" t="s">
        <v>2040</v>
      </c>
      <c r="K70" s="403"/>
      <c r="L70" s="404"/>
      <c r="V70" s="23" t="s">
        <v>2041</v>
      </c>
    </row>
    <row r="71" spans="10:12">
      <c r="J71" s="405" t="s">
        <v>2042</v>
      </c>
      <c r="K71" s="406"/>
      <c r="L71" s="406"/>
    </row>
    <row r="72" spans="10:22">
      <c r="J72" s="464" t="s">
        <v>2043</v>
      </c>
      <c r="K72" s="465"/>
      <c r="L72" s="466" t="s">
        <v>2043</v>
      </c>
      <c r="V72" s="23" t="s">
        <v>2044</v>
      </c>
    </row>
    <row r="73" spans="10:22">
      <c r="J73" s="510" t="s">
        <v>2045</v>
      </c>
      <c r="K73" s="401"/>
      <c r="L73" s="401"/>
      <c r="V73" s="23" t="s">
        <v>2046</v>
      </c>
    </row>
    <row r="74" spans="10:22">
      <c r="J74" s="510" t="s">
        <v>2047</v>
      </c>
      <c r="K74" s="404"/>
      <c r="L74" s="404"/>
      <c r="V74" s="23" t="s">
        <v>2048</v>
      </c>
    </row>
    <row r="75" spans="10:22">
      <c r="J75" s="510" t="s">
        <v>2049</v>
      </c>
      <c r="K75" s="401"/>
      <c r="L75" s="401"/>
      <c r="V75" s="23" t="s">
        <v>2050</v>
      </c>
    </row>
    <row r="76" spans="22:22">
      <c r="V76" s="23" t="s">
        <v>2051</v>
      </c>
    </row>
    <row r="77" spans="22:22">
      <c r="V77" s="23" t="s">
        <v>2052</v>
      </c>
    </row>
    <row r="79" spans="22:22">
      <c r="V79" s="23" t="s">
        <v>2053</v>
      </c>
    </row>
    <row r="80" spans="22:22">
      <c r="V80" s="23" t="s">
        <v>2054</v>
      </c>
    </row>
    <row r="81" spans="22:22">
      <c r="V81" s="23" t="s">
        <v>2055</v>
      </c>
    </row>
    <row r="82" spans="22:22">
      <c r="V82" s="23" t="s">
        <v>2056</v>
      </c>
    </row>
    <row r="83" spans="22:22">
      <c r="V83" s="23" t="s">
        <v>2057</v>
      </c>
    </row>
    <row r="84" spans="22:22">
      <c r="V84" s="23" t="s">
        <v>2058</v>
      </c>
    </row>
    <row r="86" spans="22:22">
      <c r="V86" s="23" t="s">
        <v>2059</v>
      </c>
    </row>
    <row r="87" spans="22:22">
      <c r="V87" s="23" t="s">
        <v>2060</v>
      </c>
    </row>
    <row r="88" spans="22:22">
      <c r="V88" s="23" t="s">
        <v>2061</v>
      </c>
    </row>
    <row r="89" spans="22:22">
      <c r="V89" s="23" t="s">
        <v>2062</v>
      </c>
    </row>
    <row r="90" spans="22:22">
      <c r="V90" s="23" t="s">
        <v>2063</v>
      </c>
    </row>
    <row r="92" spans="22:22">
      <c r="V92" s="23" t="s">
        <v>2064</v>
      </c>
    </row>
    <row r="93" spans="22:22">
      <c r="V93" s="23" t="s">
        <v>2065</v>
      </c>
    </row>
    <row r="94" spans="22:22">
      <c r="V94" s="23" t="s">
        <v>2066</v>
      </c>
    </row>
    <row r="95" spans="22:22">
      <c r="V95" s="23" t="s">
        <v>2067</v>
      </c>
    </row>
    <row r="96" spans="22:22">
      <c r="V96" s="23" t="s">
        <v>2068</v>
      </c>
    </row>
    <row r="98" spans="22:22">
      <c r="V98" s="23" t="s">
        <v>2069</v>
      </c>
    </row>
    <row r="99" spans="22:22">
      <c r="V99" s="23" t="s">
        <v>2070</v>
      </c>
    </row>
    <row r="100" spans="22:22">
      <c r="V100" s="23" t="s">
        <v>2071</v>
      </c>
    </row>
    <row r="104" spans="22:22">
      <c r="V104" s="23" t="s">
        <v>2072</v>
      </c>
    </row>
    <row r="105" spans="22:22">
      <c r="V105" s="23" t="s">
        <v>2073</v>
      </c>
    </row>
    <row r="106" spans="22:22">
      <c r="V106" s="823" t="s">
        <v>2074</v>
      </c>
    </row>
    <row r="107" spans="22:22">
      <c r="V107" s="23" t="s">
        <v>2075</v>
      </c>
    </row>
    <row r="108" spans="22:22">
      <c r="V108" s="823" t="s">
        <v>2076</v>
      </c>
    </row>
    <row r="109" spans="22:22">
      <c r="V109" s="23" t="s">
        <v>2077</v>
      </c>
    </row>
    <row r="110" spans="22:22">
      <c r="V110" s="823" t="s">
        <v>2078</v>
      </c>
    </row>
  </sheetData>
  <sheetProtection formatCells="0" formatColumns="0" formatRows="0" sort="0" autoFilter="0" pivotTables="0"/>
  <protectedRanges>
    <protectedRange sqref="T2:T45" name="Range1"/>
  </protectedRanges>
  <mergeCells count="1">
    <mergeCell ref="V42:AE45"/>
  </mergeCells>
  <conditionalFormatting sqref="W8:AA8">
    <cfRule type="colorScale" priority="1">
      <colorScale>
        <cfvo type="num" val="1"/>
        <cfvo type="num" val="3"/>
        <cfvo type="num" val="5"/>
        <color rgb="FFE64D4D"/>
        <color rgb="FFFFEB84"/>
        <color rgb="FF4DE64D"/>
      </colorScale>
    </cfRule>
  </conditionalFormatting>
  <dataValidations count="5">
    <dataValidation type="list" allowBlank="1" showInputMessage="1" showErrorMessage="1" sqref="W4">
      <formula1>Weapons!Rarity_List_Universal</formula1>
    </dataValidation>
    <dataValidation type="whole" operator="between" allowBlank="1" showInputMessage="1" showErrorMessage="1" errorTitle="Fucky Wucky Detected" error="Please enter a Whole Number (between 1-999)" promptTitle="Whole Number (between 1-999)" sqref="X4">
      <formula1>1</formula1>
      <formula2>999</formula2>
    </dataValidation>
    <dataValidation type="whole" operator="between" allowBlank="1" showInputMessage="1" showErrorMessage="1" errorTitle="Fucky Numbers Detected" error="Please enter a Whole Number between 1-999" sqref="V21">
      <formula1>1</formula1>
      <formula2>999</formula2>
    </dataValidation>
    <dataValidation type="list" allowBlank="1" showInputMessage="1" showErrorMessage="1" sqref="W21">
      <formula1>$V$33:$V$36</formula1>
    </dataValidation>
    <dataValidation type="list" allowBlank="1" showInputMessage="1" showErrorMessage="1" sqref="X21">
      <formula1>$W$28:$AA$28</formula1>
    </dataValidation>
  </dataValidations>
  <pageMargins left="0.7" right="0.7" top="0.75" bottom="0.75" header="0.3" footer="0.3"/>
  <pageSetup paperSize="1" orientation="portrait"/>
  <headerFooter/>
  <ignoredErrors>
    <ignoredError sqref="I2:I56" unlockedFormula="1"/>
  </ignoredErrors>
  <tableParts count="2">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83"/>
  <sheetViews>
    <sheetView topLeftCell="A60" workbookViewId="0">
      <selection activeCell="D13" sqref="D13"/>
    </sheetView>
  </sheetViews>
  <sheetFormatPr defaultColWidth="9" defaultRowHeight="13.5" outlineLevelCol="3"/>
  <cols>
    <col min="3" max="3" width="25.125" customWidth="1"/>
    <col min="4" max="4" width="29.5" customWidth="1"/>
  </cols>
  <sheetData>
    <row r="1" spans="1:4">
      <c r="A1" t="s">
        <v>2079</v>
      </c>
      <c r="B1" t="s">
        <v>2080</v>
      </c>
      <c r="C1" t="s">
        <v>0</v>
      </c>
      <c r="D1" t="s">
        <v>2081</v>
      </c>
    </row>
    <row r="2" spans="1:4">
      <c r="A2">
        <v>1</v>
      </c>
      <c r="C2" s="588" t="s">
        <v>968</v>
      </c>
      <c r="D2" s="588" t="s">
        <v>2082</v>
      </c>
    </row>
    <row r="3" spans="1:4">
      <c r="A3">
        <v>1</v>
      </c>
      <c r="C3" s="563" t="s">
        <v>979</v>
      </c>
      <c r="D3" s="563" t="s">
        <v>2083</v>
      </c>
    </row>
    <row r="4" hidden="1" spans="1:4">
      <c r="A4">
        <v>1</v>
      </c>
      <c r="B4" t="s">
        <v>16</v>
      </c>
      <c r="C4" s="588" t="s">
        <v>989</v>
      </c>
      <c r="D4" s="588" t="s">
        <v>2084</v>
      </c>
    </row>
    <row r="5" spans="1:4">
      <c r="A5">
        <v>1</v>
      </c>
      <c r="C5" s="563" t="s">
        <v>995</v>
      </c>
      <c r="D5" s="563" t="s">
        <v>996</v>
      </c>
    </row>
    <row r="6" spans="1:4">
      <c r="A6">
        <v>1</v>
      </c>
      <c r="C6" s="588" t="s">
        <v>1098</v>
      </c>
      <c r="D6" s="588" t="s">
        <v>2085</v>
      </c>
    </row>
    <row r="7" spans="1:4">
      <c r="A7">
        <v>1</v>
      </c>
      <c r="C7" s="567" t="s">
        <v>1113</v>
      </c>
      <c r="D7" s="567" t="s">
        <v>2086</v>
      </c>
    </row>
    <row r="8" spans="1:4">
      <c r="A8">
        <v>1</v>
      </c>
      <c r="C8" s="588" t="s">
        <v>1149</v>
      </c>
      <c r="D8" s="588" t="s">
        <v>2087</v>
      </c>
    </row>
    <row r="9" spans="1:4">
      <c r="A9">
        <v>1</v>
      </c>
      <c r="C9" s="567" t="s">
        <v>1171</v>
      </c>
      <c r="D9" s="567" t="s">
        <v>1172</v>
      </c>
    </row>
    <row r="10" hidden="1" spans="1:4">
      <c r="A10">
        <v>1</v>
      </c>
      <c r="B10" t="s">
        <v>17</v>
      </c>
      <c r="C10" s="588" t="s">
        <v>1212</v>
      </c>
      <c r="D10" s="588" t="s">
        <v>2088</v>
      </c>
    </row>
    <row r="11" spans="1:4">
      <c r="A11">
        <v>1</v>
      </c>
      <c r="C11" s="563" t="s">
        <v>1217</v>
      </c>
      <c r="D11" s="563" t="s">
        <v>1218</v>
      </c>
    </row>
    <row r="12" spans="1:4">
      <c r="A12">
        <v>1</v>
      </c>
      <c r="C12" s="588" t="s">
        <v>1220</v>
      </c>
      <c r="D12" s="588" t="s">
        <v>1221</v>
      </c>
    </row>
    <row r="13" spans="1:4">
      <c r="A13">
        <v>1</v>
      </c>
      <c r="C13" s="563" t="s">
        <v>1227</v>
      </c>
      <c r="D13" s="563" t="s">
        <v>2089</v>
      </c>
    </row>
    <row r="14" spans="1:4">
      <c r="A14">
        <v>1</v>
      </c>
      <c r="C14" s="588" t="s">
        <v>1311</v>
      </c>
      <c r="D14" s="588" t="s">
        <v>2090</v>
      </c>
    </row>
    <row r="15" spans="1:4">
      <c r="A15">
        <v>1</v>
      </c>
      <c r="C15" s="563" t="s">
        <v>1392</v>
      </c>
      <c r="D15" s="563" t="s">
        <v>1393</v>
      </c>
    </row>
    <row r="16" spans="1:4">
      <c r="A16">
        <v>1</v>
      </c>
      <c r="C16" s="588" t="s">
        <v>1430</v>
      </c>
      <c r="D16" s="588" t="s">
        <v>1431</v>
      </c>
    </row>
    <row r="17" spans="1:4">
      <c r="A17">
        <v>1</v>
      </c>
      <c r="C17" s="563" t="s">
        <v>1495</v>
      </c>
      <c r="D17" s="563" t="s">
        <v>2091</v>
      </c>
    </row>
    <row r="18" spans="1:4">
      <c r="A18">
        <v>1</v>
      </c>
      <c r="C18" s="588" t="s">
        <v>1501</v>
      </c>
      <c r="D18" s="588" t="s">
        <v>2092</v>
      </c>
    </row>
    <row r="19" spans="1:4">
      <c r="A19">
        <v>1</v>
      </c>
      <c r="C19" s="567" t="s">
        <v>1516</v>
      </c>
      <c r="D19" s="567" t="s">
        <v>2093</v>
      </c>
    </row>
    <row r="20" hidden="1" spans="1:4">
      <c r="A20">
        <v>1</v>
      </c>
      <c r="B20" t="s">
        <v>15</v>
      </c>
      <c r="C20" s="588" t="s">
        <v>1637</v>
      </c>
      <c r="D20" s="588" t="s">
        <v>2094</v>
      </c>
    </row>
    <row r="21" spans="1:4">
      <c r="A21">
        <v>1</v>
      </c>
      <c r="C21" s="567" t="s">
        <v>1650</v>
      </c>
      <c r="D21" s="567" t="s">
        <v>1651</v>
      </c>
    </row>
    <row r="22" spans="1:4">
      <c r="A22">
        <v>1</v>
      </c>
      <c r="C22" s="588" t="s">
        <v>2095</v>
      </c>
      <c r="D22" s="588" t="s">
        <v>2096</v>
      </c>
    </row>
    <row r="23" spans="1:4">
      <c r="A23">
        <v>1</v>
      </c>
      <c r="C23" s="563" t="s">
        <v>1658</v>
      </c>
      <c r="D23" s="563" t="s">
        <v>2097</v>
      </c>
    </row>
    <row r="24" spans="1:4">
      <c r="A24">
        <v>1</v>
      </c>
      <c r="C24" s="588" t="s">
        <v>2098</v>
      </c>
      <c r="D24" s="588" t="s">
        <v>2099</v>
      </c>
    </row>
    <row r="25" spans="1:4">
      <c r="A25">
        <v>1</v>
      </c>
      <c r="C25" s="567" t="s">
        <v>1663</v>
      </c>
      <c r="D25" s="567" t="s">
        <v>2100</v>
      </c>
    </row>
    <row r="26" spans="1:4">
      <c r="A26">
        <v>1</v>
      </c>
      <c r="C26" s="560" t="s">
        <v>1675</v>
      </c>
      <c r="D26" s="560" t="s">
        <v>1676</v>
      </c>
    </row>
    <row r="27" spans="1:4">
      <c r="A27">
        <v>1</v>
      </c>
      <c r="C27" s="567" t="s">
        <v>1679</v>
      </c>
      <c r="D27" s="567" t="s">
        <v>2101</v>
      </c>
    </row>
    <row r="28" spans="1:4">
      <c r="A28">
        <v>1</v>
      </c>
      <c r="C28" s="588" t="s">
        <v>1689</v>
      </c>
      <c r="D28" s="588" t="s">
        <v>1690</v>
      </c>
    </row>
    <row r="29" spans="1:4">
      <c r="A29">
        <v>1</v>
      </c>
      <c r="C29" s="567" t="s">
        <v>1727</v>
      </c>
      <c r="D29" s="567" t="s">
        <v>2102</v>
      </c>
    </row>
    <row r="30" hidden="1" spans="1:4">
      <c r="A30">
        <v>1</v>
      </c>
      <c r="B30" t="s">
        <v>17</v>
      </c>
      <c r="C30" s="588" t="s">
        <v>1731</v>
      </c>
      <c r="D30" s="588" t="s">
        <v>2103</v>
      </c>
    </row>
    <row r="31" hidden="1" spans="1:4">
      <c r="A31">
        <v>1</v>
      </c>
      <c r="B31" t="s">
        <v>17</v>
      </c>
      <c r="C31" s="567" t="s">
        <v>1736</v>
      </c>
      <c r="D31" s="567" t="s">
        <v>2104</v>
      </c>
    </row>
    <row r="32" spans="1:4">
      <c r="A32">
        <v>1</v>
      </c>
      <c r="C32" s="560" t="s">
        <v>1755</v>
      </c>
      <c r="D32" s="560" t="s">
        <v>1756</v>
      </c>
    </row>
    <row r="33" spans="1:4">
      <c r="A33">
        <v>1</v>
      </c>
      <c r="C33" s="567" t="s">
        <v>1769</v>
      </c>
      <c r="D33" s="567" t="s">
        <v>2105</v>
      </c>
    </row>
    <row r="34" spans="1:4">
      <c r="A34">
        <v>1</v>
      </c>
      <c r="C34" s="588" t="s">
        <v>1799</v>
      </c>
      <c r="D34" s="588" t="s">
        <v>2106</v>
      </c>
    </row>
    <row r="35" spans="1:4">
      <c r="A35">
        <v>1</v>
      </c>
      <c r="C35" s="567" t="s">
        <v>1824</v>
      </c>
      <c r="D35" s="567" t="s">
        <v>2107</v>
      </c>
    </row>
    <row r="36" spans="1:4">
      <c r="A36">
        <v>1</v>
      </c>
      <c r="C36" s="588" t="s">
        <v>1829</v>
      </c>
      <c r="D36" s="588" t="s">
        <v>2108</v>
      </c>
    </row>
    <row r="37" spans="1:4">
      <c r="A37">
        <v>1</v>
      </c>
      <c r="C37" s="563" t="s">
        <v>1834</v>
      </c>
      <c r="D37" s="563" t="s">
        <v>1835</v>
      </c>
    </row>
    <row r="38" spans="1:4">
      <c r="A38">
        <v>1</v>
      </c>
      <c r="C38" s="588" t="s">
        <v>1839</v>
      </c>
      <c r="D38" s="588" t="s">
        <v>1842</v>
      </c>
    </row>
    <row r="39" spans="1:4">
      <c r="A39">
        <v>1</v>
      </c>
      <c r="C39" s="563" t="s">
        <v>1855</v>
      </c>
      <c r="D39" s="563" t="s">
        <v>1856</v>
      </c>
    </row>
    <row r="40" spans="1:4">
      <c r="A40">
        <v>1</v>
      </c>
      <c r="C40" s="560" t="s">
        <v>1861</v>
      </c>
      <c r="D40" s="560" t="s">
        <v>2109</v>
      </c>
    </row>
    <row r="41" spans="1:4">
      <c r="A41">
        <v>1</v>
      </c>
      <c r="C41" s="563" t="s">
        <v>1886</v>
      </c>
      <c r="D41" s="563" t="s">
        <v>2110</v>
      </c>
    </row>
    <row r="42" spans="1:4">
      <c r="A42">
        <v>1</v>
      </c>
      <c r="C42" s="560" t="s">
        <v>1889</v>
      </c>
      <c r="D42" s="560" t="s">
        <v>1889</v>
      </c>
    </row>
    <row r="43" spans="1:4">
      <c r="A43">
        <v>1</v>
      </c>
      <c r="C43" s="567" t="s">
        <v>1893</v>
      </c>
      <c r="D43" s="567" t="s">
        <v>1894</v>
      </c>
    </row>
    <row r="44" spans="1:4">
      <c r="A44">
        <v>1</v>
      </c>
      <c r="C44" s="588" t="s">
        <v>1898</v>
      </c>
      <c r="D44" s="588" t="s">
        <v>2111</v>
      </c>
    </row>
    <row r="45" spans="1:4">
      <c r="A45">
        <v>1</v>
      </c>
      <c r="C45" s="563" t="s">
        <v>1902</v>
      </c>
      <c r="D45" s="563" t="s">
        <v>2112</v>
      </c>
    </row>
    <row r="46" spans="1:4">
      <c r="A46">
        <v>1</v>
      </c>
      <c r="C46" s="588" t="s">
        <v>1909</v>
      </c>
      <c r="D46" s="588" t="s">
        <v>2113</v>
      </c>
    </row>
    <row r="47" spans="1:4">
      <c r="A47">
        <v>1</v>
      </c>
      <c r="C47" s="567" t="s">
        <v>1913</v>
      </c>
      <c r="D47" s="567" t="s">
        <v>2114</v>
      </c>
    </row>
    <row r="48" spans="1:4">
      <c r="A48">
        <v>1</v>
      </c>
      <c r="C48" s="588" t="s">
        <v>1917</v>
      </c>
      <c r="D48" s="588" t="s">
        <v>2115</v>
      </c>
    </row>
    <row r="49" hidden="1" spans="1:4">
      <c r="A49">
        <v>2</v>
      </c>
      <c r="B49" t="s">
        <v>15</v>
      </c>
      <c r="C49" s="598" t="s">
        <v>651</v>
      </c>
      <c r="D49" s="598" t="s">
        <v>2116</v>
      </c>
    </row>
    <row r="50" hidden="1" spans="1:4">
      <c r="A50">
        <v>2</v>
      </c>
      <c r="B50" t="s">
        <v>15</v>
      </c>
      <c r="C50" s="598" t="s">
        <v>643</v>
      </c>
      <c r="D50" s="598" t="s">
        <v>2117</v>
      </c>
    </row>
    <row r="51" spans="1:4">
      <c r="A51">
        <v>2</v>
      </c>
      <c r="C51" s="567" t="s">
        <v>669</v>
      </c>
      <c r="D51" s="567" t="s">
        <v>2118</v>
      </c>
    </row>
    <row r="52" spans="1:4">
      <c r="A52">
        <v>2</v>
      </c>
      <c r="C52" s="588" t="s">
        <v>661</v>
      </c>
      <c r="D52" s="588" t="s">
        <v>2119</v>
      </c>
    </row>
    <row r="53" hidden="1" spans="1:4">
      <c r="A53">
        <v>2</v>
      </c>
      <c r="B53" t="s">
        <v>16</v>
      </c>
      <c r="C53" s="588" t="s">
        <v>699</v>
      </c>
      <c r="D53" s="588" t="s">
        <v>2120</v>
      </c>
    </row>
    <row r="54" hidden="1" spans="1:4">
      <c r="A54">
        <v>2</v>
      </c>
      <c r="B54" t="s">
        <v>16</v>
      </c>
      <c r="C54" s="567" t="s">
        <v>684</v>
      </c>
      <c r="D54" s="567" t="s">
        <v>2121</v>
      </c>
    </row>
    <row r="55" hidden="1" spans="1:4">
      <c r="A55">
        <v>2</v>
      </c>
      <c r="B55" t="s">
        <v>16</v>
      </c>
      <c r="C55" s="588" t="s">
        <v>691</v>
      </c>
      <c r="D55" s="588" t="s">
        <v>2122</v>
      </c>
    </row>
    <row r="56" hidden="1" spans="1:4">
      <c r="A56">
        <v>2</v>
      </c>
      <c r="B56" t="s">
        <v>16</v>
      </c>
      <c r="C56" s="567" t="s">
        <v>677</v>
      </c>
      <c r="D56" s="567" t="s">
        <v>678</v>
      </c>
    </row>
    <row r="57" hidden="1" spans="1:4">
      <c r="A57">
        <v>2</v>
      </c>
      <c r="B57" t="s">
        <v>17</v>
      </c>
      <c r="C57" s="567" t="s">
        <v>716</v>
      </c>
      <c r="D57" s="567" t="s">
        <v>717</v>
      </c>
    </row>
    <row r="58" hidden="1" spans="1:4">
      <c r="A58">
        <v>2</v>
      </c>
      <c r="B58" t="s">
        <v>17</v>
      </c>
      <c r="C58" s="588" t="s">
        <v>723</v>
      </c>
      <c r="D58" s="588" t="s">
        <v>2123</v>
      </c>
    </row>
    <row r="59" hidden="1" spans="1:4">
      <c r="A59">
        <v>2</v>
      </c>
      <c r="B59" t="s">
        <v>17</v>
      </c>
      <c r="C59" s="567" t="s">
        <v>708</v>
      </c>
      <c r="D59" s="567" t="s">
        <v>2124</v>
      </c>
    </row>
    <row r="60" spans="1:4">
      <c r="A60">
        <v>2</v>
      </c>
      <c r="C60" s="567" t="s">
        <v>749</v>
      </c>
      <c r="D60" s="567" t="s">
        <v>750</v>
      </c>
    </row>
    <row r="61" spans="1:4">
      <c r="A61">
        <v>2</v>
      </c>
      <c r="C61" s="588" t="s">
        <v>757</v>
      </c>
      <c r="D61" s="588" t="s">
        <v>2125</v>
      </c>
    </row>
    <row r="62" spans="1:4">
      <c r="A62">
        <v>2</v>
      </c>
      <c r="C62" s="560" t="s">
        <v>766</v>
      </c>
      <c r="D62" s="560" t="s">
        <v>2126</v>
      </c>
    </row>
    <row r="63" spans="1:4">
      <c r="A63">
        <v>2</v>
      </c>
      <c r="C63" s="563" t="s">
        <v>772</v>
      </c>
      <c r="D63" s="563" t="s">
        <v>2127</v>
      </c>
    </row>
    <row r="64" spans="1:4">
      <c r="A64">
        <v>2</v>
      </c>
      <c r="C64" s="563" t="s">
        <v>786</v>
      </c>
      <c r="D64" s="563" t="s">
        <v>2128</v>
      </c>
    </row>
    <row r="65" spans="1:4">
      <c r="A65">
        <v>2</v>
      </c>
      <c r="C65" s="560" t="s">
        <v>779</v>
      </c>
      <c r="D65" s="560" t="s">
        <v>2129</v>
      </c>
    </row>
    <row r="66" hidden="1" spans="1:4">
      <c r="A66">
        <v>2</v>
      </c>
      <c r="B66" t="s">
        <v>16</v>
      </c>
      <c r="C66" s="588" t="s">
        <v>794</v>
      </c>
      <c r="D66" s="588" t="s">
        <v>2130</v>
      </c>
    </row>
    <row r="67" hidden="1" spans="1:4">
      <c r="A67">
        <v>2</v>
      </c>
      <c r="B67" t="s">
        <v>16</v>
      </c>
      <c r="C67" s="567" t="s">
        <v>802</v>
      </c>
      <c r="D67" s="567" t="s">
        <v>803</v>
      </c>
    </row>
    <row r="68" spans="1:4">
      <c r="A68">
        <v>2</v>
      </c>
      <c r="C68" s="567" t="s">
        <v>817</v>
      </c>
      <c r="D68" s="567" t="s">
        <v>818</v>
      </c>
    </row>
    <row r="69" spans="1:4">
      <c r="A69">
        <v>2</v>
      </c>
      <c r="C69" s="588" t="s">
        <v>810</v>
      </c>
      <c r="D69" s="588" t="s">
        <v>811</v>
      </c>
    </row>
    <row r="70" spans="1:4">
      <c r="A70">
        <v>2</v>
      </c>
      <c r="C70" s="567" t="s">
        <v>2131</v>
      </c>
      <c r="D70" s="567" t="s">
        <v>2132</v>
      </c>
    </row>
    <row r="71" spans="1:4">
      <c r="A71">
        <v>2</v>
      </c>
      <c r="C71" s="588" t="s">
        <v>2133</v>
      </c>
      <c r="D71" s="588" t="s">
        <v>2134</v>
      </c>
    </row>
    <row r="72" spans="1:4">
      <c r="A72">
        <v>2</v>
      </c>
      <c r="C72" s="560" t="s">
        <v>845</v>
      </c>
      <c r="D72" s="560" t="s">
        <v>2135</v>
      </c>
    </row>
    <row r="73" spans="1:4">
      <c r="A73">
        <v>2</v>
      </c>
      <c r="C73" s="563" t="s">
        <v>839</v>
      </c>
      <c r="D73" s="563" t="s">
        <v>2136</v>
      </c>
    </row>
    <row r="74" spans="1:4">
      <c r="A74">
        <v>2</v>
      </c>
      <c r="C74" s="563" t="s">
        <v>859</v>
      </c>
      <c r="D74" s="563" t="s">
        <v>860</v>
      </c>
    </row>
    <row r="75" spans="1:4">
      <c r="A75">
        <v>2</v>
      </c>
      <c r="C75" s="560" t="s">
        <v>852</v>
      </c>
      <c r="D75" s="560" t="s">
        <v>853</v>
      </c>
    </row>
    <row r="76" spans="1:4">
      <c r="A76">
        <v>2</v>
      </c>
      <c r="C76" s="560" t="s">
        <v>739</v>
      </c>
      <c r="D76" s="560" t="s">
        <v>2137</v>
      </c>
    </row>
    <row r="77" spans="1:4">
      <c r="A77">
        <v>2</v>
      </c>
      <c r="C77" s="563" t="s">
        <v>731</v>
      </c>
      <c r="D77" s="563" t="s">
        <v>2138</v>
      </c>
    </row>
    <row r="78" spans="1:4">
      <c r="A78">
        <v>2</v>
      </c>
      <c r="C78" s="563" t="s">
        <v>874</v>
      </c>
      <c r="D78" s="563" t="s">
        <v>2139</v>
      </c>
    </row>
    <row r="79" spans="1:4">
      <c r="A79">
        <v>2</v>
      </c>
      <c r="C79" s="560" t="s">
        <v>867</v>
      </c>
      <c r="D79" s="560" t="s">
        <v>2140</v>
      </c>
    </row>
    <row r="80" spans="1:4">
      <c r="A80">
        <v>2</v>
      </c>
      <c r="C80" s="560" t="s">
        <v>888</v>
      </c>
      <c r="D80" s="560" t="s">
        <v>2141</v>
      </c>
    </row>
    <row r="81" spans="1:4">
      <c r="A81">
        <v>2</v>
      </c>
      <c r="C81" s="563" t="s">
        <v>881</v>
      </c>
      <c r="D81" s="563" t="s">
        <v>2142</v>
      </c>
    </row>
    <row r="82" spans="1:4">
      <c r="A82">
        <v>2</v>
      </c>
      <c r="C82" s="563" t="s">
        <v>904</v>
      </c>
      <c r="D82" s="563" t="s">
        <v>2143</v>
      </c>
    </row>
    <row r="83" spans="1:4">
      <c r="A83">
        <v>2</v>
      </c>
      <c r="C83" s="560" t="s">
        <v>896</v>
      </c>
      <c r="D83" s="560" t="s">
        <v>2144</v>
      </c>
    </row>
  </sheetData>
  <autoFilter ref="A1:D83">
    <filterColumn colId="1">
      <filters blank="1"/>
    </filterColumn>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BJ145"/>
  <sheetViews>
    <sheetView zoomScale="85" zoomScaleNormal="85" topLeftCell="Z1" workbookViewId="0">
      <selection activeCell="AC38" sqref="AC38:AC40"/>
    </sheetView>
  </sheetViews>
  <sheetFormatPr defaultColWidth="9" defaultRowHeight="13.5"/>
  <cols>
    <col min="1" max="2" width="5.70833333333333" style="23" customWidth="1"/>
    <col min="3" max="4" width="4.5" style="23" customWidth="1"/>
    <col min="5" max="5" width="19.1166666666667" style="23" customWidth="1"/>
    <col min="6" max="6" width="15.2833333333333" style="23" customWidth="1"/>
    <col min="7" max="11" width="3.525" style="23" customWidth="1"/>
    <col min="12" max="13" width="5.875" style="23" customWidth="1"/>
    <col min="14" max="14" width="5.70833333333333" style="23" customWidth="1"/>
    <col min="15" max="15" width="4.5" style="23" customWidth="1"/>
    <col min="16" max="16" width="3.375" style="23" customWidth="1"/>
    <col min="17" max="17" width="22.2" style="23" customWidth="1"/>
    <col min="18" max="18" width="14.1083333333333" style="23" customWidth="1"/>
    <col min="19" max="23" width="4.11666666666667" style="23" customWidth="1"/>
    <col min="24" max="24" width="5.875" style="23" customWidth="1"/>
    <col min="25" max="25" width="5.70833333333333" style="23" customWidth="1"/>
    <col min="26" max="26" width="4.11666666666667" style="233" customWidth="1"/>
    <col min="27" max="27" width="3.08333333333333" style="23" customWidth="1"/>
    <col min="28" max="28" width="21.6166666666667" style="23" customWidth="1"/>
    <col min="29" max="29" width="11.7666666666667" style="23" customWidth="1"/>
    <col min="30" max="30" width="4.5" style="23" customWidth="1"/>
    <col min="31" max="35" width="2.35" style="23" customWidth="1"/>
    <col min="36" max="36" width="4.10833333333333" style="23" customWidth="1"/>
    <col min="37" max="37" width="4.7" style="23" customWidth="1"/>
    <col min="38" max="38" width="3.825" style="23" customWidth="1"/>
    <col min="39" max="39" width="3.53333333333333" style="23" customWidth="1"/>
    <col min="40" max="40" width="1.75833333333333" style="23" customWidth="1"/>
    <col min="41" max="41" width="1.90833333333333" style="23" customWidth="1"/>
    <col min="42" max="42" width="3.53333333333333" style="23" customWidth="1"/>
    <col min="43" max="43" width="3.525" style="23" customWidth="1"/>
    <col min="44" max="44" width="15.4416666666667" style="23" customWidth="1"/>
    <col min="45" max="49" width="7.05833333333333" style="23" customWidth="1"/>
    <col min="50" max="50" width="2.5" style="23" customWidth="1"/>
    <col min="51" max="51" width="4.25833333333333" style="23" customWidth="1"/>
    <col min="52" max="52" width="3.825" style="23" customWidth="1"/>
    <col min="53" max="53" width="16.4666666666667" style="23" customWidth="1"/>
    <col min="54" max="54" width="12.5" style="23" customWidth="1"/>
    <col min="55" max="59" width="4.125" style="23" customWidth="1"/>
    <col min="60" max="61" width="6.375" style="23" customWidth="1"/>
    <col min="62" max="16384" width="9" style="23"/>
  </cols>
  <sheetData>
    <row r="1" spans="3:61">
      <c r="C1" s="511" t="s">
        <v>617</v>
      </c>
      <c r="D1" s="511" t="s">
        <v>2145</v>
      </c>
      <c r="E1" s="512" t="s">
        <v>1927</v>
      </c>
      <c r="F1" s="511" t="s">
        <v>1928</v>
      </c>
      <c r="G1" s="513" t="s">
        <v>15</v>
      </c>
      <c r="H1" s="514" t="s">
        <v>16</v>
      </c>
      <c r="I1" s="514" t="s">
        <v>17</v>
      </c>
      <c r="J1" s="514" t="s">
        <v>18</v>
      </c>
      <c r="K1" s="514" t="s">
        <v>19</v>
      </c>
      <c r="L1" s="514" t="s">
        <v>14</v>
      </c>
      <c r="M1" s="514" t="s">
        <v>1982</v>
      </c>
      <c r="O1" s="511" t="s">
        <v>617</v>
      </c>
      <c r="P1" s="511" t="s">
        <v>2145</v>
      </c>
      <c r="Q1" s="512" t="s">
        <v>1927</v>
      </c>
      <c r="R1" s="511" t="s">
        <v>1928</v>
      </c>
      <c r="S1" s="513" t="s">
        <v>15</v>
      </c>
      <c r="T1" s="514" t="s">
        <v>16</v>
      </c>
      <c r="U1" s="514" t="s">
        <v>17</v>
      </c>
      <c r="V1" s="514" t="s">
        <v>18</v>
      </c>
      <c r="W1" s="514" t="s">
        <v>19</v>
      </c>
      <c r="X1" s="535" t="s">
        <v>1982</v>
      </c>
      <c r="Z1" s="537" t="s">
        <v>2145</v>
      </c>
      <c r="AA1" s="538" t="s">
        <v>2146</v>
      </c>
      <c r="AB1" s="539" t="s">
        <v>1927</v>
      </c>
      <c r="AC1" s="511" t="s">
        <v>1928</v>
      </c>
      <c r="AD1" s="511" t="s">
        <v>14</v>
      </c>
      <c r="AE1" s="513" t="s">
        <v>15</v>
      </c>
      <c r="AF1" s="514" t="s">
        <v>16</v>
      </c>
      <c r="AG1" s="514" t="s">
        <v>17</v>
      </c>
      <c r="AH1" s="514" t="s">
        <v>18</v>
      </c>
      <c r="AI1" s="514" t="s">
        <v>19</v>
      </c>
      <c r="AJ1" s="545" t="s">
        <v>2147</v>
      </c>
      <c r="AK1" s="546" t="s">
        <v>2148</v>
      </c>
      <c r="AL1" s="368" t="s">
        <v>2149</v>
      </c>
      <c r="AM1" s="233" t="s">
        <v>2150</v>
      </c>
      <c r="AN1" s="233" t="s">
        <v>13</v>
      </c>
      <c r="AO1" s="511" t="s">
        <v>617</v>
      </c>
      <c r="AP1" s="233" t="s">
        <v>2151</v>
      </c>
      <c r="AY1" s="535" t="s">
        <v>1928</v>
      </c>
      <c r="AZ1" s="535" t="s">
        <v>617</v>
      </c>
      <c r="BA1" s="568" t="s">
        <v>1927</v>
      </c>
      <c r="BB1" s="535" t="s">
        <v>2152</v>
      </c>
      <c r="BC1" s="513" t="s">
        <v>15</v>
      </c>
      <c r="BD1" s="514" t="s">
        <v>16</v>
      </c>
      <c r="BE1" s="514" t="s">
        <v>17</v>
      </c>
      <c r="BF1" s="514" t="s">
        <v>18</v>
      </c>
      <c r="BG1" s="514" t="s">
        <v>19</v>
      </c>
      <c r="BH1" s="594" t="s">
        <v>1982</v>
      </c>
      <c r="BI1" t="s">
        <v>2153</v>
      </c>
    </row>
    <row r="2" ht="14.25" spans="3:61">
      <c r="C2" s="233" t="str">
        <f>IF(_xlfn.XLOOKUP(E2,全装!G:G,全装!A:A,"",0,1)="Y","Y","")</f>
        <v/>
      </c>
      <c r="D2" s="233">
        <v>1</v>
      </c>
      <c r="E2" s="515" t="s">
        <v>1012</v>
      </c>
      <c r="F2" s="516" t="s">
        <v>1013</v>
      </c>
      <c r="G2" s="517">
        <v>1</v>
      </c>
      <c r="H2" s="518">
        <v>4</v>
      </c>
      <c r="I2" s="518">
        <v>4</v>
      </c>
      <c r="J2" s="524">
        <v>3</v>
      </c>
      <c r="K2" s="524">
        <v>3</v>
      </c>
      <c r="L2" s="233"/>
      <c r="M2" s="233"/>
      <c r="O2" s="533" t="str">
        <f>IF(_xlfn.XLOOKUP(Q2,全装!G:G,全装!A:A,"",0,1)="Y","Y","")</f>
        <v/>
      </c>
      <c r="P2" s="521">
        <v>1</v>
      </c>
      <c r="Q2" s="521" t="s">
        <v>643</v>
      </c>
      <c r="R2" s="521" t="s">
        <v>2154</v>
      </c>
      <c r="S2" s="519">
        <v>5</v>
      </c>
      <c r="T2" s="522">
        <v>1</v>
      </c>
      <c r="U2" s="522">
        <v>1</v>
      </c>
      <c r="V2" s="518">
        <v>4</v>
      </c>
      <c r="W2" s="518">
        <v>4</v>
      </c>
      <c r="X2" s="233" t="s">
        <v>15</v>
      </c>
      <c r="Z2" s="233">
        <v>1</v>
      </c>
      <c r="AA2" s="540" t="s">
        <v>2155</v>
      </c>
      <c r="AB2" s="541" t="s">
        <v>651</v>
      </c>
      <c r="AC2" s="541" t="s">
        <v>2156</v>
      </c>
      <c r="AD2" s="542"/>
      <c r="AE2" s="523">
        <v>5</v>
      </c>
      <c r="AF2" s="522">
        <v>1</v>
      </c>
      <c r="AG2" s="522">
        <v>1</v>
      </c>
      <c r="AH2" s="518">
        <v>4</v>
      </c>
      <c r="AI2" s="518">
        <v>4</v>
      </c>
      <c r="AJ2" s="547" t="s">
        <v>15</v>
      </c>
      <c r="AK2" s="548" t="s">
        <v>1941</v>
      </c>
      <c r="AL2" s="368" t="s">
        <v>2157</v>
      </c>
      <c r="AM2" s="233" t="s">
        <v>654</v>
      </c>
      <c r="AN2" s="233"/>
      <c r="AO2" s="549" t="str">
        <f>IF(_xlfn.XLOOKUP(AB2,全装!G:G,全装!A:A,"",0,1)="Y","Y","")</f>
        <v/>
      </c>
      <c r="AP2" s="550"/>
      <c r="AR2" s="551" t="s">
        <v>2158</v>
      </c>
      <c r="AS2" s="552"/>
      <c r="AT2" s="552"/>
      <c r="AU2" s="552"/>
      <c r="AV2" s="552"/>
      <c r="AW2" s="569"/>
      <c r="AY2" s="570"/>
      <c r="AZ2" s="571" t="str">
        <f>IF(_xlfn.XLOOKUP(BA2,全装!G:G,全装!A:A,"",0,1)="Y","Y","")</f>
        <v/>
      </c>
      <c r="BA2" s="98" t="s">
        <v>912</v>
      </c>
      <c r="BB2" s="98" t="s">
        <v>2159</v>
      </c>
      <c r="BC2" s="572">
        <v>1</v>
      </c>
      <c r="BD2" s="573">
        <v>5</v>
      </c>
      <c r="BE2" s="586">
        <v>4</v>
      </c>
      <c r="BF2" s="573">
        <v>5</v>
      </c>
      <c r="BG2" s="575">
        <v>1</v>
      </c>
      <c r="BH2" s="595" t="s">
        <v>2160</v>
      </c>
      <c r="BI2">
        <v>1</v>
      </c>
    </row>
    <row r="3" spans="3:61">
      <c r="C3" s="233" t="str">
        <f>IF(_xlfn.XLOOKUP(E3,全装!G:G,全装!A:A,"",0,1)="Y","Y","")</f>
        <v>Y</v>
      </c>
      <c r="D3" s="233">
        <v>2</v>
      </c>
      <c r="E3" s="515" t="s">
        <v>1808</v>
      </c>
      <c r="F3" s="233" t="s">
        <v>1809</v>
      </c>
      <c r="G3" s="519">
        <v>5</v>
      </c>
      <c r="H3" s="520">
        <v>2</v>
      </c>
      <c r="I3" s="520">
        <v>2</v>
      </c>
      <c r="J3" s="524">
        <v>3</v>
      </c>
      <c r="K3" s="524">
        <v>3</v>
      </c>
      <c r="L3" s="233"/>
      <c r="M3" s="233" t="s">
        <v>15</v>
      </c>
      <c r="O3" s="533" t="str">
        <f>IF(_xlfn.XLOOKUP(Q3,全装!G:G,全装!A:A,"",0,1)="Y","Y","")</f>
        <v>Y</v>
      </c>
      <c r="P3" s="521">
        <v>2</v>
      </c>
      <c r="Q3" s="233" t="s">
        <v>1419</v>
      </c>
      <c r="R3" s="233" t="s">
        <v>1422</v>
      </c>
      <c r="S3" s="517">
        <v>1</v>
      </c>
      <c r="T3" s="524">
        <v>3</v>
      </c>
      <c r="U3" s="524">
        <v>3</v>
      </c>
      <c r="V3" s="518">
        <v>4</v>
      </c>
      <c r="W3" s="518">
        <v>4</v>
      </c>
      <c r="X3" s="233"/>
      <c r="Z3" s="233">
        <v>2</v>
      </c>
      <c r="AA3" s="540" t="s">
        <v>2155</v>
      </c>
      <c r="AB3" s="541" t="s">
        <v>643</v>
      </c>
      <c r="AC3" s="541" t="s">
        <v>2161</v>
      </c>
      <c r="AD3" s="542"/>
      <c r="AE3" s="523">
        <v>5</v>
      </c>
      <c r="AF3" s="522">
        <v>1</v>
      </c>
      <c r="AG3" s="522">
        <v>1</v>
      </c>
      <c r="AH3" s="518">
        <v>4</v>
      </c>
      <c r="AI3" s="518">
        <v>4</v>
      </c>
      <c r="AJ3" s="547" t="s">
        <v>15</v>
      </c>
      <c r="AK3" s="548" t="s">
        <v>1941</v>
      </c>
      <c r="AL3" s="368" t="s">
        <v>2157</v>
      </c>
      <c r="AM3" s="233" t="s">
        <v>646</v>
      </c>
      <c r="AN3" s="233"/>
      <c r="AO3" s="549" t="str">
        <f>IF(_xlfn.XLOOKUP(AB3,全装!G:G,全装!A:A,"",0,1)="Y","Y","")</f>
        <v/>
      </c>
      <c r="AP3" s="550"/>
      <c r="AR3" s="469" t="s">
        <v>1927</v>
      </c>
      <c r="AS3" s="470" t="s">
        <v>1935</v>
      </c>
      <c r="AT3" s="470" t="s">
        <v>1936</v>
      </c>
      <c r="AW3" s="504"/>
      <c r="AY3" s="574">
        <v>0</v>
      </c>
      <c r="AZ3" s="571" t="str">
        <f>IF(_xlfn.XLOOKUP(BA3,全装!G:G,全装!A:A,"",0,1)="Y","Y","")</f>
        <v/>
      </c>
      <c r="BA3" s="98" t="s">
        <v>920</v>
      </c>
      <c r="BB3" s="98" t="s">
        <v>2162</v>
      </c>
      <c r="BC3" s="572">
        <v>1</v>
      </c>
      <c r="BD3" s="575">
        <v>1</v>
      </c>
      <c r="BE3" s="573">
        <v>5</v>
      </c>
      <c r="BF3" s="586">
        <v>4</v>
      </c>
      <c r="BG3" s="573">
        <v>5</v>
      </c>
      <c r="BH3" s="595"/>
      <c r="BI3">
        <v>2</v>
      </c>
    </row>
    <row r="4" ht="14.25" spans="3:61">
      <c r="C4" s="233" t="str">
        <f>IF(_xlfn.XLOOKUP(E4,全装!G:G,全装!A:A,"",0,1)="Y","Y","")</f>
        <v/>
      </c>
      <c r="D4" s="233">
        <v>3</v>
      </c>
      <c r="E4" s="521" t="s">
        <v>651</v>
      </c>
      <c r="F4" s="521" t="s">
        <v>2163</v>
      </c>
      <c r="G4" s="519">
        <v>5</v>
      </c>
      <c r="H4" s="522">
        <v>1</v>
      </c>
      <c r="I4" s="522">
        <v>1</v>
      </c>
      <c r="J4" s="518">
        <v>4</v>
      </c>
      <c r="K4" s="518">
        <v>4</v>
      </c>
      <c r="L4" s="233"/>
      <c r="M4" s="233" t="s">
        <v>15</v>
      </c>
      <c r="O4" s="533" t="str">
        <f>IF(_xlfn.XLOOKUP(Q4,全装!G:G,全装!A:A,"",0,1)="Y","Y","")</f>
        <v>Y</v>
      </c>
      <c r="P4" s="521">
        <v>3</v>
      </c>
      <c r="Q4" s="521" t="s">
        <v>779</v>
      </c>
      <c r="R4" s="521" t="s">
        <v>780</v>
      </c>
      <c r="S4" s="517">
        <v>1</v>
      </c>
      <c r="T4" s="523">
        <v>5</v>
      </c>
      <c r="U4" s="522">
        <v>1</v>
      </c>
      <c r="V4" s="523">
        <v>5</v>
      </c>
      <c r="W4" s="524">
        <v>3</v>
      </c>
      <c r="X4" s="233" t="s">
        <v>2160</v>
      </c>
      <c r="Z4" s="233">
        <v>3</v>
      </c>
      <c r="AA4" s="233"/>
      <c r="AB4" s="232"/>
      <c r="AC4" s="543"/>
      <c r="AD4" s="233"/>
      <c r="AE4" s="233"/>
      <c r="AF4" s="233"/>
      <c r="AG4" s="233"/>
      <c r="AH4" s="233"/>
      <c r="AI4" s="233"/>
      <c r="AJ4" s="547"/>
      <c r="AK4" s="548"/>
      <c r="AL4" s="368"/>
      <c r="AM4" s="233"/>
      <c r="AN4" s="233"/>
      <c r="AO4" s="549" t="str">
        <f>IF(_xlfn.XLOOKUP(AB4,全装!G:G,全装!A:A,"",0,1)="Y","Y","")</f>
        <v/>
      </c>
      <c r="AP4" s="233"/>
      <c r="AS4" s="472" t="s">
        <v>1939</v>
      </c>
      <c r="AT4" s="472">
        <v>50</v>
      </c>
      <c r="AW4" s="505"/>
      <c r="AY4" s="576" t="s">
        <v>2164</v>
      </c>
      <c r="AZ4" s="576" t="str">
        <f>IF(_xlfn.XLOOKUP(BA4,全装!G:G,全装!A:A,"",0,1)="Y","Y","")</f>
        <v>Y</v>
      </c>
      <c r="BA4" s="102" t="s">
        <v>927</v>
      </c>
      <c r="BB4" s="102" t="s">
        <v>928</v>
      </c>
      <c r="BC4" s="577">
        <v>2</v>
      </c>
      <c r="BD4" s="578">
        <v>3</v>
      </c>
      <c r="BE4" s="586">
        <v>4</v>
      </c>
      <c r="BF4" s="578">
        <v>3</v>
      </c>
      <c r="BG4" s="578">
        <v>3</v>
      </c>
      <c r="BH4" s="595"/>
      <c r="BI4">
        <v>3</v>
      </c>
    </row>
    <row r="5" spans="3:61">
      <c r="C5" s="233" t="str">
        <f>IF(_xlfn.XLOOKUP(E5,全装!G:G,全装!A:A,"",0,1)="Y","Y","")</f>
        <v>Y</v>
      </c>
      <c r="D5" s="233">
        <v>4</v>
      </c>
      <c r="E5" s="233" t="s">
        <v>699</v>
      </c>
      <c r="F5" s="233" t="s">
        <v>2165</v>
      </c>
      <c r="G5" s="517">
        <v>1</v>
      </c>
      <c r="H5" s="518">
        <v>4</v>
      </c>
      <c r="I5" s="520">
        <v>2</v>
      </c>
      <c r="J5" s="518">
        <v>4</v>
      </c>
      <c r="K5" s="518">
        <v>4</v>
      </c>
      <c r="L5" s="233"/>
      <c r="M5" s="233"/>
      <c r="O5" s="533" t="str">
        <f>IF(_xlfn.XLOOKUP(Q5,全装!G:G,全装!A:A,"",0,1)="Y","Y","")</f>
        <v/>
      </c>
      <c r="P5" s="521">
        <v>4</v>
      </c>
      <c r="Q5" s="233" t="s">
        <v>2133</v>
      </c>
      <c r="R5" s="233" t="s">
        <v>2134</v>
      </c>
      <c r="S5" s="517">
        <v>1</v>
      </c>
      <c r="T5" s="524">
        <v>3</v>
      </c>
      <c r="U5" s="520">
        <v>2</v>
      </c>
      <c r="V5" s="523">
        <v>5</v>
      </c>
      <c r="W5" s="518">
        <v>4</v>
      </c>
      <c r="X5" s="233" t="s">
        <v>18</v>
      </c>
      <c r="Z5" s="233">
        <v>4</v>
      </c>
      <c r="AA5" s="233" t="s">
        <v>2166</v>
      </c>
      <c r="AB5" s="233" t="s">
        <v>669</v>
      </c>
      <c r="AC5" s="544" t="s">
        <v>2167</v>
      </c>
      <c r="AD5" s="233"/>
      <c r="AE5" s="517">
        <v>1</v>
      </c>
      <c r="AF5" s="518">
        <v>4</v>
      </c>
      <c r="AG5" s="522">
        <v>1</v>
      </c>
      <c r="AH5" s="518">
        <v>4</v>
      </c>
      <c r="AI5" s="523">
        <v>5</v>
      </c>
      <c r="AJ5" s="547" t="s">
        <v>16</v>
      </c>
      <c r="AK5" s="548"/>
      <c r="AL5" s="368" t="s">
        <v>2157</v>
      </c>
      <c r="AM5" s="233" t="s">
        <v>654</v>
      </c>
      <c r="AN5" s="233"/>
      <c r="AO5" s="549" t="str">
        <f>IF(_xlfn.XLOOKUP(AB5,全装!G:G,全装!A:A,"",0,1)="Y","Y","")</f>
        <v>Y</v>
      </c>
      <c r="AP5" s="553"/>
      <c r="AS5" s="474" t="s">
        <v>15</v>
      </c>
      <c r="AT5" s="474" t="s">
        <v>16</v>
      </c>
      <c r="AU5" s="474" t="s">
        <v>17</v>
      </c>
      <c r="AV5" s="474" t="s">
        <v>18</v>
      </c>
      <c r="AW5" s="474" t="s">
        <v>19</v>
      </c>
      <c r="AY5" s="576"/>
      <c r="AZ5" s="576" t="str">
        <f>IF(_xlfn.XLOOKUP(BA5,全装!G:G,全装!A:A,"",0,1)="Y","Y","")</f>
        <v>Y</v>
      </c>
      <c r="BA5" s="102" t="s">
        <v>932</v>
      </c>
      <c r="BB5" s="102" t="s">
        <v>2168</v>
      </c>
      <c r="BC5" s="572">
        <v>1</v>
      </c>
      <c r="BD5" s="575">
        <v>1</v>
      </c>
      <c r="BE5" s="578">
        <v>3</v>
      </c>
      <c r="BF5" s="586">
        <v>4</v>
      </c>
      <c r="BG5" s="573">
        <v>5</v>
      </c>
      <c r="BH5" s="595" t="s">
        <v>19</v>
      </c>
      <c r="BI5">
        <v>4</v>
      </c>
    </row>
    <row r="6" spans="3:61">
      <c r="C6" s="233" t="str">
        <f>IF(_xlfn.XLOOKUP(E6,全装!G:G,全装!A:A,"",0,1)="Y","Y","")</f>
        <v>Y</v>
      </c>
      <c r="D6" s="233">
        <v>5</v>
      </c>
      <c r="E6" s="521" t="s">
        <v>786</v>
      </c>
      <c r="F6" s="521" t="s">
        <v>2169</v>
      </c>
      <c r="G6" s="517">
        <v>1</v>
      </c>
      <c r="H6" s="523">
        <v>5</v>
      </c>
      <c r="I6" s="522">
        <v>1</v>
      </c>
      <c r="J6" s="523">
        <v>5</v>
      </c>
      <c r="K6" s="524">
        <v>3</v>
      </c>
      <c r="L6" s="233"/>
      <c r="M6" s="233" t="s">
        <v>2160</v>
      </c>
      <c r="O6" s="533" t="str">
        <f>IF(_xlfn.XLOOKUP(Q6,全装!G:G,全装!A:A,"",0,1)="Y","Y","")</f>
        <v>Y</v>
      </c>
      <c r="P6" s="521">
        <v>5</v>
      </c>
      <c r="Q6" s="233" t="s">
        <v>1614</v>
      </c>
      <c r="R6" s="233" t="s">
        <v>2170</v>
      </c>
      <c r="S6" s="527">
        <v>4</v>
      </c>
      <c r="T6" s="520">
        <v>2</v>
      </c>
      <c r="U6" s="524">
        <v>3</v>
      </c>
      <c r="V6" s="524">
        <v>3</v>
      </c>
      <c r="W6" s="524">
        <v>3</v>
      </c>
      <c r="X6" s="233"/>
      <c r="Z6" s="233">
        <v>5</v>
      </c>
      <c r="AA6" s="233" t="s">
        <v>2166</v>
      </c>
      <c r="AB6" s="233" t="s">
        <v>661</v>
      </c>
      <c r="AC6" s="544" t="s">
        <v>2171</v>
      </c>
      <c r="AD6" s="233"/>
      <c r="AE6" s="517">
        <v>1</v>
      </c>
      <c r="AF6" s="518">
        <v>4</v>
      </c>
      <c r="AG6" s="522">
        <v>1</v>
      </c>
      <c r="AH6" s="518">
        <v>4</v>
      </c>
      <c r="AI6" s="523">
        <v>5</v>
      </c>
      <c r="AJ6" s="547" t="s">
        <v>16</v>
      </c>
      <c r="AK6" s="548"/>
      <c r="AL6" s="368" t="s">
        <v>2157</v>
      </c>
      <c r="AM6" s="233" t="s">
        <v>646</v>
      </c>
      <c r="AN6" s="233"/>
      <c r="AO6" s="549" t="str">
        <f>IF(_xlfn.XLOOKUP(AB6,全装!G:G,全装!A:A,"",0,1)="Y","Y","")</f>
        <v/>
      </c>
      <c r="AP6" s="553"/>
      <c r="AR6" s="475" t="s">
        <v>1942</v>
      </c>
      <c r="AS6" s="476">
        <f>Combo_D_Calc_Base_Stat_W+((Combo_D_Calc_Level-1)*Combo_D_Calc_Progress_Num_W)</f>
        <v>222</v>
      </c>
      <c r="AT6" s="476">
        <f>Combo_D_Calc_Base_Stat_A+((Combo_D_Calc_Level-1)*Combo_D_Calc_Progress_Num_A)</f>
        <v>336</v>
      </c>
      <c r="AU6" s="476">
        <f>Combo_D_Calc_Base_Stat_I+((Combo_D_Calc_Level-1)*Combo_D_Calc_Progress_Num_I)</f>
        <v>450</v>
      </c>
      <c r="AV6" s="476">
        <f>Combo_D_Calc_Base_Stat_F+((Combo_D_Calc_Level-1)*Combo_D_Calc_Progress_Num_F)</f>
        <v>393</v>
      </c>
      <c r="AW6" s="476">
        <f>Combo_D_Calc_Base_Stat_U+((Combo_D_Calc_Level-1)*Combo_D_Calc_Progress_Num_U)</f>
        <v>279</v>
      </c>
      <c r="AY6" s="576"/>
      <c r="AZ6" s="576" t="str">
        <f>IF(_xlfn.XLOOKUP(BA6,全装!G:G,全装!A:A,"",0,1)="Y","Y","")</f>
        <v>Y</v>
      </c>
      <c r="BA6" s="102" t="s">
        <v>955</v>
      </c>
      <c r="BB6" s="102" t="s">
        <v>956</v>
      </c>
      <c r="BC6" s="577">
        <v>2</v>
      </c>
      <c r="BD6" s="578">
        <v>3</v>
      </c>
      <c r="BE6" s="575">
        <v>1</v>
      </c>
      <c r="BF6" s="586">
        <v>4</v>
      </c>
      <c r="BG6" s="573">
        <v>5</v>
      </c>
      <c r="BH6" s="595" t="s">
        <v>19</v>
      </c>
      <c r="BI6">
        <v>5</v>
      </c>
    </row>
    <row r="7" spans="3:61">
      <c r="C7" s="233" t="str">
        <f>IF(_xlfn.XLOOKUP(E7,全装!G:G,全装!A:A,"",0,1)="Y","Y","")</f>
        <v/>
      </c>
      <c r="D7" s="233">
        <v>6</v>
      </c>
      <c r="E7" s="233" t="s">
        <v>2131</v>
      </c>
      <c r="F7" s="233" t="s">
        <v>2132</v>
      </c>
      <c r="G7" s="517">
        <v>1</v>
      </c>
      <c r="H7" s="524">
        <v>3</v>
      </c>
      <c r="I7" s="520">
        <v>2</v>
      </c>
      <c r="J7" s="523">
        <v>5</v>
      </c>
      <c r="K7" s="518">
        <v>4</v>
      </c>
      <c r="L7" s="233"/>
      <c r="M7" s="233" t="s">
        <v>18</v>
      </c>
      <c r="O7" s="533" t="str">
        <f>IF(_xlfn.XLOOKUP(Q7,全装!G:G,全装!A:A,"",0,1)="Y","Y","")</f>
        <v>Y</v>
      </c>
      <c r="P7" s="521">
        <v>6</v>
      </c>
      <c r="Q7" s="521" t="s">
        <v>1104</v>
      </c>
      <c r="R7" s="521" t="s">
        <v>2172</v>
      </c>
      <c r="S7" s="526">
        <v>3</v>
      </c>
      <c r="T7" s="522">
        <v>1</v>
      </c>
      <c r="U7" s="518">
        <v>4</v>
      </c>
      <c r="V7" s="524">
        <v>3</v>
      </c>
      <c r="W7" s="518">
        <v>4</v>
      </c>
      <c r="X7" s="233"/>
      <c r="Z7" s="233">
        <v>6</v>
      </c>
      <c r="AA7" s="233"/>
      <c r="AB7" s="232"/>
      <c r="AC7" s="543"/>
      <c r="AD7" s="233"/>
      <c r="AE7" s="233"/>
      <c r="AF7" s="233"/>
      <c r="AG7" s="233"/>
      <c r="AH7" s="233"/>
      <c r="AI7" s="233"/>
      <c r="AJ7" s="547"/>
      <c r="AK7" s="548"/>
      <c r="AL7" s="368"/>
      <c r="AM7" s="233"/>
      <c r="AN7" s="233"/>
      <c r="AO7" s="549" t="str">
        <f>IF(_xlfn.XLOOKUP(AB7,全装!G:G,全装!A:A,"",0,1)="Y","Y","")</f>
        <v/>
      </c>
      <c r="AP7" s="233"/>
      <c r="AR7" s="477"/>
      <c r="AS7" s="275"/>
      <c r="AT7" s="275"/>
      <c r="AU7" s="275"/>
      <c r="AV7" s="275"/>
      <c r="AW7" s="506"/>
      <c r="AY7" s="576"/>
      <c r="AZ7" s="576" t="str">
        <f>IF(_xlfn.XLOOKUP(BA7,全装!G:G,全装!A:A,"",0,1)="Y","Y","")</f>
        <v/>
      </c>
      <c r="BA7" s="98" t="s">
        <v>965</v>
      </c>
      <c r="BB7" s="98" t="s">
        <v>2173</v>
      </c>
      <c r="BC7" s="579">
        <v>3</v>
      </c>
      <c r="BD7" s="578">
        <v>3</v>
      </c>
      <c r="BE7" s="578">
        <v>3</v>
      </c>
      <c r="BF7" s="578">
        <v>3</v>
      </c>
      <c r="BG7" s="578">
        <v>3</v>
      </c>
      <c r="BH7" s="596"/>
      <c r="BI7">
        <v>6</v>
      </c>
    </row>
    <row r="8" spans="3:61">
      <c r="C8" s="233" t="str">
        <f>IF(_xlfn.XLOOKUP(E8,全装!G:G,全装!A:A,"",0,1)="Y","Y","")</f>
        <v>Y</v>
      </c>
      <c r="D8" s="233">
        <v>7</v>
      </c>
      <c r="E8" s="233" t="s">
        <v>716</v>
      </c>
      <c r="F8" s="233" t="s">
        <v>2174</v>
      </c>
      <c r="G8" s="525">
        <v>2</v>
      </c>
      <c r="H8" s="522">
        <v>1</v>
      </c>
      <c r="I8" s="518">
        <v>4</v>
      </c>
      <c r="J8" s="518">
        <v>4</v>
      </c>
      <c r="K8" s="518">
        <v>4</v>
      </c>
      <c r="L8" s="233"/>
      <c r="M8" s="233"/>
      <c r="O8" s="533" t="str">
        <f>IF(_xlfn.XLOOKUP(Q8,全装!G:G,全装!A:A,"",0,1)="Y","Y","")</f>
        <v/>
      </c>
      <c r="P8" s="521">
        <v>7</v>
      </c>
      <c r="Q8" s="233" t="s">
        <v>802</v>
      </c>
      <c r="R8" s="233" t="s">
        <v>803</v>
      </c>
      <c r="S8" s="517">
        <v>1</v>
      </c>
      <c r="T8" s="523">
        <v>5</v>
      </c>
      <c r="U8" s="520">
        <v>2</v>
      </c>
      <c r="V8" s="518">
        <v>4</v>
      </c>
      <c r="W8" s="524">
        <v>3</v>
      </c>
      <c r="X8" s="233" t="s">
        <v>16</v>
      </c>
      <c r="Z8" s="233">
        <v>7</v>
      </c>
      <c r="AA8" s="233" t="s">
        <v>2175</v>
      </c>
      <c r="AB8" s="233" t="s">
        <v>699</v>
      </c>
      <c r="AC8" s="544" t="s">
        <v>2165</v>
      </c>
      <c r="AD8" s="233">
        <v>3</v>
      </c>
      <c r="AE8" s="517">
        <v>1</v>
      </c>
      <c r="AF8" s="518">
        <v>4</v>
      </c>
      <c r="AG8" s="520">
        <v>2</v>
      </c>
      <c r="AH8" s="518">
        <v>4</v>
      </c>
      <c r="AI8" s="518">
        <v>4</v>
      </c>
      <c r="AJ8" s="547" t="s">
        <v>16</v>
      </c>
      <c r="AK8" s="548"/>
      <c r="AL8" s="368" t="s">
        <v>2157</v>
      </c>
      <c r="AM8" s="233" t="s">
        <v>654</v>
      </c>
      <c r="AN8" s="233"/>
      <c r="AO8" s="549" t="str">
        <f>IF(_xlfn.XLOOKUP(AB8,全装!G:G,全装!A:A,"",0,1)="Y","Y","")</f>
        <v>Y</v>
      </c>
      <c r="AP8" s="553"/>
      <c r="AR8" s="475" t="s">
        <v>1944</v>
      </c>
      <c r="AS8" s="478">
        <f>VLOOKUP(Combo_D_Calc_Name,Combos!Cloth_D_Calc_Base_Stat_List,2)</f>
        <v>1</v>
      </c>
      <c r="AT8" s="479">
        <f>VLOOKUP(Combo_D_Calc_Name,Combos!Cloth_D_Calc_Base_Stat_List,3)</f>
        <v>3</v>
      </c>
      <c r="AU8" s="480">
        <f>VLOOKUP(Combo_D_Calc_Name,Combos!Cloth_D_Calc_Base_Stat_List,4)</f>
        <v>5</v>
      </c>
      <c r="AV8" s="480">
        <f>VLOOKUP(Combo_D_Calc_Name,Combos!Cloth_D_Calc_Base_Stat_List,5)</f>
        <v>4</v>
      </c>
      <c r="AW8" s="507">
        <f>VLOOKUP(Combo_D_Calc_Name,Combos!Cloth_D_Calc_Base_Stat_List,6)</f>
        <v>2</v>
      </c>
      <c r="AY8" s="574">
        <v>1</v>
      </c>
      <c r="AZ8" s="580" t="str">
        <f>IF(_xlfn.XLOOKUP(BA8,全装!G:G,全装!A:A,"",0,1)="Y","Y","")</f>
        <v>Y</v>
      </c>
      <c r="BA8" s="102" t="s">
        <v>968</v>
      </c>
      <c r="BB8" s="102" t="s">
        <v>2082</v>
      </c>
      <c r="BC8" s="577">
        <v>2</v>
      </c>
      <c r="BD8" s="575">
        <v>1</v>
      </c>
      <c r="BE8" s="586">
        <v>4</v>
      </c>
      <c r="BF8" s="586">
        <v>4</v>
      </c>
      <c r="BG8" s="586">
        <v>4</v>
      </c>
      <c r="BH8" s="596"/>
      <c r="BI8">
        <v>7</v>
      </c>
    </row>
    <row r="9" spans="3:61">
      <c r="C9" s="233" t="str">
        <f>IF(_xlfn.XLOOKUP(E9,全装!G:G,全装!A:A,"",0,1)="Y","Y","")</f>
        <v>Y</v>
      </c>
      <c r="D9" s="233">
        <v>8</v>
      </c>
      <c r="E9" s="521" t="s">
        <v>1109</v>
      </c>
      <c r="F9" s="521" t="s">
        <v>1110</v>
      </c>
      <c r="G9" s="526">
        <v>3</v>
      </c>
      <c r="H9" s="522">
        <v>1</v>
      </c>
      <c r="I9" s="518">
        <v>4</v>
      </c>
      <c r="J9" s="524">
        <v>3</v>
      </c>
      <c r="K9" s="518">
        <v>4</v>
      </c>
      <c r="L9" s="233"/>
      <c r="M9" s="233"/>
      <c r="O9" s="533" t="str">
        <f>IF(_xlfn.XLOOKUP(Q9,全装!G:G,全装!A:A,"",0,1)="Y","Y","")</f>
        <v/>
      </c>
      <c r="P9" s="521">
        <v>8</v>
      </c>
      <c r="Q9" s="233" t="s">
        <v>1469</v>
      </c>
      <c r="R9" s="233" t="s">
        <v>2176</v>
      </c>
      <c r="S9" s="525">
        <v>2</v>
      </c>
      <c r="T9" s="524">
        <v>3</v>
      </c>
      <c r="U9" s="524">
        <v>3</v>
      </c>
      <c r="V9" s="518">
        <v>4</v>
      </c>
      <c r="W9" s="524">
        <v>3</v>
      </c>
      <c r="X9" s="233"/>
      <c r="Z9" s="233">
        <v>8</v>
      </c>
      <c r="AA9" s="233" t="s">
        <v>2175</v>
      </c>
      <c r="AB9" s="233" t="s">
        <v>684</v>
      </c>
      <c r="AC9" s="544" t="s">
        <v>685</v>
      </c>
      <c r="AD9" s="233"/>
      <c r="AE9" s="517">
        <v>1</v>
      </c>
      <c r="AF9" s="518">
        <v>4</v>
      </c>
      <c r="AG9" s="520">
        <v>2</v>
      </c>
      <c r="AH9" s="518">
        <v>4</v>
      </c>
      <c r="AI9" s="518">
        <v>4</v>
      </c>
      <c r="AJ9" s="547" t="s">
        <v>16</v>
      </c>
      <c r="AK9" s="548"/>
      <c r="AL9" s="368" t="s">
        <v>2157</v>
      </c>
      <c r="AM9" s="233" t="s">
        <v>654</v>
      </c>
      <c r="AN9" s="233"/>
      <c r="AO9" s="549" t="str">
        <f>IF(_xlfn.XLOOKUP(AB9,全装!G:G,全装!A:A,"",0,1)="Y","Y","")</f>
        <v>Y</v>
      </c>
      <c r="AP9" s="553"/>
      <c r="AR9" s="475" t="s">
        <v>1945</v>
      </c>
      <c r="AS9" s="481">
        <f>IF(Combo_D_Calc_Tier_W=1,4,IF(Combo_D_Calc_Tier_W=2,5,IF(Combo_D_Calc_Tier_W=3,6,IF(Combo_D_Calc_Tier_W=4,7,IF(Combo_D_Calc_Tier_W=5,8,"error6")))))</f>
        <v>4</v>
      </c>
      <c r="AT9" s="482">
        <f>IF(Combo_D_Calc_Tier_A=1,4,IF(Combo_D_Calc_Tier_A=2,5,IF(Combo_D_Calc_Tier_A=3,6,IF(Combo_D_Calc_Tier_A=4,7,IF(Combo_D_Calc_Tier_A=5,8,"error6")))))</f>
        <v>6</v>
      </c>
      <c r="AU9" s="483">
        <f>IF(Combo_D_Calc_Tier_I=1,4,IF(Combo_D_Calc_Tier_I=2,5,IF(Combo_D_Calc_Tier_I=3,6,IF(Combo_D_Calc_Tier_I=4,7,IF(Combo_D_Calc_Tier_I=5,8,"error6")))))</f>
        <v>8</v>
      </c>
      <c r="AV9" s="483">
        <f>IF(Combo_D_Calc_Tier_F=1,4,IF(Combo_D_Calc_Tier_F=2,5,IF(Combo_D_Calc_Tier_F=3,6,IF(Combo_D_Calc_Tier_F=4,7,IF(Combo_D_Calc_Tier_F=5,8,"error6")))))</f>
        <v>7</v>
      </c>
      <c r="AW9" s="508">
        <f>IF(Combo_D_Calc_Tier_U=1,4,IF(Combo_D_Calc_Tier_U=2,5,IF(Combo_D_Calc_Tier_U=3,6,IF(Combo_D_Calc_Tier_U=4,7,IF(Combo_D_Calc_Tier_U=5,8,"error6")))))</f>
        <v>5</v>
      </c>
      <c r="AY9" s="576"/>
      <c r="AZ9" s="576" t="str">
        <f>IF(_xlfn.XLOOKUP(BA9,全装!G:G,全装!A:A,"",0,1)="Y","Y","")</f>
        <v/>
      </c>
      <c r="BA9" s="98" t="s">
        <v>979</v>
      </c>
      <c r="BB9" s="98" t="s">
        <v>2083</v>
      </c>
      <c r="BC9" s="581">
        <v>0</v>
      </c>
      <c r="BD9" s="567">
        <v>0</v>
      </c>
      <c r="BE9" s="567">
        <v>0</v>
      </c>
      <c r="BF9" s="567">
        <v>0</v>
      </c>
      <c r="BG9" s="567">
        <v>0</v>
      </c>
      <c r="BH9" s="596"/>
      <c r="BI9">
        <v>8</v>
      </c>
    </row>
    <row r="10" spans="3:61">
      <c r="C10" s="233" t="str">
        <f>IF(_xlfn.XLOOKUP(E10,全装!G:G,全装!A:A,"",0,1)="Y","Y","")</f>
        <v>Y</v>
      </c>
      <c r="D10" s="233">
        <v>9</v>
      </c>
      <c r="E10" s="233" t="s">
        <v>794</v>
      </c>
      <c r="F10" s="233" t="s">
        <v>2177</v>
      </c>
      <c r="G10" s="517">
        <v>1</v>
      </c>
      <c r="H10" s="523">
        <v>5</v>
      </c>
      <c r="I10" s="520">
        <v>2</v>
      </c>
      <c r="J10" s="518">
        <v>4</v>
      </c>
      <c r="K10" s="524">
        <v>3</v>
      </c>
      <c r="L10" s="233"/>
      <c r="M10" s="233" t="s">
        <v>16</v>
      </c>
      <c r="O10" s="533" t="str">
        <f>IF(_xlfn.XLOOKUP(Q10,全装!G:G,全装!A:A,"",0,1)="Y","Y","")</f>
        <v>Y</v>
      </c>
      <c r="P10" s="521">
        <v>9</v>
      </c>
      <c r="Q10" s="233" t="s">
        <v>1283</v>
      </c>
      <c r="R10" s="233" t="s">
        <v>2178</v>
      </c>
      <c r="S10" s="517">
        <v>1</v>
      </c>
      <c r="T10" s="518">
        <v>4</v>
      </c>
      <c r="U10" s="524">
        <v>3</v>
      </c>
      <c r="V10" s="518">
        <v>4</v>
      </c>
      <c r="W10" s="524">
        <v>3</v>
      </c>
      <c r="X10" s="233"/>
      <c r="Z10" s="233">
        <v>9</v>
      </c>
      <c r="AA10" s="233" t="s">
        <v>2175</v>
      </c>
      <c r="AB10" s="233" t="s">
        <v>691</v>
      </c>
      <c r="AC10" s="544" t="s">
        <v>691</v>
      </c>
      <c r="AD10" s="233"/>
      <c r="AE10" s="517">
        <v>1</v>
      </c>
      <c r="AF10" s="518">
        <v>4</v>
      </c>
      <c r="AG10" s="520">
        <v>2</v>
      </c>
      <c r="AH10" s="518">
        <v>4</v>
      </c>
      <c r="AI10" s="518">
        <v>4</v>
      </c>
      <c r="AJ10" s="547" t="s">
        <v>16</v>
      </c>
      <c r="AK10" s="548"/>
      <c r="AL10" s="368" t="s">
        <v>2157</v>
      </c>
      <c r="AM10" s="233" t="s">
        <v>646</v>
      </c>
      <c r="AN10" s="233"/>
      <c r="AO10" s="549" t="str">
        <f>IF(_xlfn.XLOOKUP(AB10,全装!G:G,全装!A:A,"",0,1)="Y","Y","")</f>
        <v>Y</v>
      </c>
      <c r="AP10" s="553"/>
      <c r="AR10" s="475" t="s">
        <v>1947</v>
      </c>
      <c r="AS10" s="484">
        <f>IF(Combo_D_Calc_Rarity="common",(IF(Combo_D_Calc_Tier_W=1,15,IF(Combo_D_Calc_Tier_W=2,18,IF(Combo_D_Calc_Tier_W=3,23,IF(Combo_D_Calc_Tier_W=4,26,IF(Combo_D_Calc_Tier_W=5,30)))))),IF(Combo_D_Calc_Rarity="rare",(IF(Combo_D_Calc_Tier_W=1,18,IF(Combo_D_Calc_Tier_W=2,24,IF(Combo_D_Calc_Tier_W=3,30,IF(Combo_D_Calc_Tier_W=4,36,IF(Combo_D_Calc_Tier_W=5,44)))))),IF(Combo_D_Calc_Rarity="epic",(IF(Combo_D_Calc_Tier_W=1,26,IF(Combo_D_Calc_Tier_W=2,34,IF(Combo_D_Calc_Tier_W=3,42,IF(Combo_D_Calc_Tier_W=4,50,IF(Combo_D_Calc_Tier_W=5,58)))))),IF(Combo_D_Calc_Rarity="legendary",(IF(Combo_D_Calc_Tier_W=1,36,IF(Combo_D_Calc_Tier_W=2,46,IF(Combo_D_Calc_Tier_W=3,56,IF(Combo_D_Calc_Tier_W=4,66,IF(Combo_D_Calc_Tier_W=5,78)))))),Error))))</f>
        <v>26</v>
      </c>
      <c r="AT10" s="485">
        <f>IF(Combo_D_Calc_Rarity="common",(IF(Combo_D_Calc_Tier_A=1,15,IF(Combo_D_Calc_Tier_A=2,18,IF(Combo_D_Calc_Tier_A=3,23,IF(Combo_D_Calc_Tier_A=4,26,IF(Combo_D_Calc_Tier_A=5,30)))))),IF(Combo_D_Calc_Rarity="rare",(IF(Combo_D_Calc_Tier_A=1,18,IF(Combo_D_Calc_Tier_A=2,24,IF(Combo_D_Calc_Tier_A=3,30,IF(Combo_D_Calc_Tier_A=4,36,IF(Combo_D_Calc_Tier_A=5,44)))))),IF(Combo_D_Calc_Rarity="epic",(IF(Combo_D_Calc_Tier_A=1,26,IF(Combo_D_Calc_Tier_A=2,34,IF(Combo_D_Calc_Tier_A=3,42,IF(Combo_D_Calc_Tier_A=4,50,IF(Combo_D_Calc_Tier_A=5,58)))))),IF(Combo_D_Calc_Rarity="legendary",(IF(Combo_D_Calc_Tier_A=1,36,IF(Combo_D_Calc_Tier_A=2,46,IF(Combo_D_Calc_Tier_A=3,56,IF(Combo_D_Calc_Tier_A=4,66,IF(Combo_D_Calc_Tier_A=5,78)))))),Error))))</f>
        <v>42</v>
      </c>
      <c r="AU10" s="486">
        <f>IF(Combo_D_Calc_Rarity="common",(IF(Combo_D_Calc_Tier_I=1,15,IF(Combo_D_Calc_Tier_I=2,18,IF(Combo_D_Calc_Tier_I=3,23,IF(Combo_D_Calc_Tier_I=4,26,IF(Combo_D_Calc_Tier_I=5,30)))))),IF(Combo_D_Calc_Rarity="rare",(IF(Combo_D_Calc_Tier_I=1,18,IF(Combo_D_Calc_Tier_I=2,24,IF(Combo_D_Calc_Tier_I=3,30,IF(Combo_D_Calc_Tier_I=4,36,IF(Combo_D_Calc_Tier_I=5,44)))))),IF(Combo_D_Calc_Rarity="epic",(IF(Combo_D_Calc_Tier_I=1,26,IF(Combo_D_Calc_Tier_I=2,34,IF(Combo_D_Calc_Tier_I=3,42,IF(Combo_D_Calc_Tier_I=4,50,IF(Combo_D_Calc_Tier_I=5,58)))))),IF(Combo_D_Calc_Rarity="legendary",(IF(Combo_D_Calc_Tier_I=1,36,IF(Combo_D_Calc_Tier_I=2,46,IF(Combo_D_Calc_Tier_I=3,56,IF(Combo_D_Calc_Tier_I=4,66,IF(Combo_D_Calc_Tier_I=5,78)))))),Error))))</f>
        <v>58</v>
      </c>
      <c r="AV10" s="486">
        <f>IF(Combo_D_Calc_Rarity="common",(IF(Combo_D_Calc_Tier_F=1,15,IF(Combo_D_Calc_Tier_F=2,18,IF(Combo_D_Calc_Tier_F=3,23,IF(Combo_D_Calc_Tier_F=4,26,IF(Combo_D_Calc_Tier_F=5,30)))))),IF(Combo_D_Calc_Rarity="rare",(IF(Combo_D_Calc_Tier_F=1,18,IF(Combo_D_Calc_Tier_F=2,24,IF(Combo_D_Calc_Tier_F=3,30,IF(Combo_D_Calc_Tier_F=4,36,IF(Combo_D_Calc_Tier_F=5,44)))))),IF(Combo_D_Calc_Rarity="epic",(IF(Combo_D_Calc_Tier_F=1,26,IF(Combo_D_Calc_Tier_F=2,34,IF(Combo_D_Calc_Tier_F=3,42,IF(Combo_D_Calc_Tier_F=4,50,IF(Combo_D_Calc_Tier_F=5,58)))))),IF(Combo_D_Calc_Rarity="legendary",(IF(Combo_D_Calc_Tier_F=1,36,IF(Combo_D_Calc_Tier_F=2,46,IF(Combo_D_Calc_Tier_F=3,56,IF(Combo_D_Calc_Tier_F=4,66,IF(Combo_D_Calc_Tier_F=5,78)))))),Error))))</f>
        <v>50</v>
      </c>
      <c r="AW10" s="507">
        <f>IF(Combo_D_Calc_Rarity="common",(IF(Combo_D_Calc_Tier_U=1,15,IF(Combo_D_Calc_Tier_U=2,18,IF(Combo_D_Calc_Tier_U=3,23,IF(Combo_D_Calc_Tier_U=4,26,IF(Combo_D_Calc_Tier_U=5,30)))))),IF(Combo_D_Calc_Rarity="rare",(IF(Combo_D_Calc_Tier_U=1,18,IF(Combo_D_Calc_Tier_U=2,24,IF(Combo_D_Calc_Tier_U=3,30,IF(Combo_D_Calc_Tier_U=4,36,IF(Combo_D_Calc_Tier_U=5,44)))))),IF(Combo_D_Calc_Rarity="epic",(IF(Combo_D_Calc_Tier_U=1,26,IF(Combo_D_Calc_Tier_U=2,34,IF(Combo_D_Calc_Tier_U=3,42,IF(Combo_D_Calc_Tier_U=4,50,IF(Combo_D_Calc_Tier_U=5,58)))))),IF(Combo_D_Calc_Rarity="legendary",(IF(Combo_D_Calc_Tier_U=1,36,IF(Combo_D_Calc_Tier_U=2,46,IF(Combo_D_Calc_Tier_U=3,56,IF(Combo_D_Calc_Tier_U=4,66,IF(Combo_D_Calc_Tier_U=5,78)))))),Error))))</f>
        <v>34</v>
      </c>
      <c r="AY10" s="570">
        <v>1</v>
      </c>
      <c r="AZ10" s="580" t="str">
        <f>IF(_xlfn.XLOOKUP(BA10,全装!G:G,全装!A:A,"",0,1)="Y","Y","")</f>
        <v>Y</v>
      </c>
      <c r="BA10" s="102" t="s">
        <v>989</v>
      </c>
      <c r="BB10" s="102" t="s">
        <v>2084</v>
      </c>
      <c r="BC10" s="572">
        <v>1</v>
      </c>
      <c r="BD10" s="573">
        <v>5</v>
      </c>
      <c r="BE10" s="584">
        <v>2</v>
      </c>
      <c r="BF10" s="586">
        <v>4</v>
      </c>
      <c r="BG10" s="578">
        <v>3</v>
      </c>
      <c r="BH10" s="596" t="s">
        <v>16</v>
      </c>
      <c r="BI10">
        <v>9</v>
      </c>
    </row>
    <row r="11" spans="3:61">
      <c r="C11" s="233" t="str">
        <f>IF(_xlfn.XLOOKUP(E11,全装!G:G,全装!A:A,"",0,1)="Y","Y","")</f>
        <v>Y</v>
      </c>
      <c r="D11" s="233">
        <v>10</v>
      </c>
      <c r="E11" s="233" t="s">
        <v>1199</v>
      </c>
      <c r="F11" s="233" t="s">
        <v>1200</v>
      </c>
      <c r="G11" s="527">
        <v>4</v>
      </c>
      <c r="H11" s="524">
        <v>3</v>
      </c>
      <c r="I11" s="518">
        <v>4</v>
      </c>
      <c r="J11" s="520">
        <v>2</v>
      </c>
      <c r="K11" s="520">
        <v>2</v>
      </c>
      <c r="L11" s="233"/>
      <c r="M11" s="233"/>
      <c r="O11" s="533" t="str">
        <f>IF(_xlfn.XLOOKUP(Q11,全装!G:G,全装!A:A,"",0,1)="Y","Y","")</f>
        <v/>
      </c>
      <c r="P11" s="521">
        <v>10</v>
      </c>
      <c r="Q11" s="233" t="s">
        <v>1189</v>
      </c>
      <c r="R11" s="233" t="s">
        <v>2179</v>
      </c>
      <c r="S11" s="519">
        <v>5</v>
      </c>
      <c r="T11" s="522">
        <v>1</v>
      </c>
      <c r="U11" s="518">
        <v>4</v>
      </c>
      <c r="V11" s="520">
        <v>2</v>
      </c>
      <c r="W11" s="524">
        <v>3</v>
      </c>
      <c r="X11" s="233" t="s">
        <v>15</v>
      </c>
      <c r="Z11" s="233">
        <v>10</v>
      </c>
      <c r="AA11" s="233" t="s">
        <v>2175</v>
      </c>
      <c r="AB11" s="233" t="s">
        <v>677</v>
      </c>
      <c r="AC11" s="544" t="s">
        <v>678</v>
      </c>
      <c r="AD11" s="233">
        <v>3</v>
      </c>
      <c r="AE11" s="517">
        <v>1</v>
      </c>
      <c r="AF11" s="518">
        <v>4</v>
      </c>
      <c r="AG11" s="520">
        <v>2</v>
      </c>
      <c r="AH11" s="518">
        <v>4</v>
      </c>
      <c r="AI11" s="518">
        <v>4</v>
      </c>
      <c r="AJ11" s="547" t="s">
        <v>16</v>
      </c>
      <c r="AK11" s="548"/>
      <c r="AL11" s="368" t="s">
        <v>2157</v>
      </c>
      <c r="AM11" s="233" t="s">
        <v>646</v>
      </c>
      <c r="AN11" s="233"/>
      <c r="AO11" s="549" t="str">
        <f>IF(_xlfn.XLOOKUP(AB11,全装!G:G,全装!A:A,"",0,1)="Y","Y","")</f>
        <v>Y</v>
      </c>
      <c r="AP11" s="553"/>
      <c r="AY11" s="582">
        <v>0</v>
      </c>
      <c r="AZ11" s="576" t="str">
        <f>IF(_xlfn.XLOOKUP(BA11,全装!G:G,全装!A:A,"",0,1)="Y","Y","")</f>
        <v/>
      </c>
      <c r="BA11" s="98" t="s">
        <v>995</v>
      </c>
      <c r="BB11" s="98" t="s">
        <v>996</v>
      </c>
      <c r="BC11" s="583">
        <v>4</v>
      </c>
      <c r="BD11" s="575">
        <v>1</v>
      </c>
      <c r="BE11" s="575">
        <v>1</v>
      </c>
      <c r="BF11" s="586">
        <v>4</v>
      </c>
      <c r="BG11" s="573">
        <v>5</v>
      </c>
      <c r="BH11" s="597"/>
      <c r="BI11">
        <v>10</v>
      </c>
    </row>
    <row r="12" ht="14.25" spans="3:61">
      <c r="C12" s="233" t="str">
        <f>IF(_xlfn.XLOOKUP(E12,全装!G:G,全装!A:A,"",0,1)="Y","Y","")</f>
        <v/>
      </c>
      <c r="D12" s="233">
        <v>11</v>
      </c>
      <c r="E12" s="233" t="s">
        <v>1473</v>
      </c>
      <c r="F12" s="233" t="s">
        <v>2180</v>
      </c>
      <c r="G12" s="525">
        <v>2</v>
      </c>
      <c r="H12" s="524">
        <v>3</v>
      </c>
      <c r="I12" s="524">
        <v>3</v>
      </c>
      <c r="J12" s="523">
        <v>5</v>
      </c>
      <c r="K12" s="520">
        <v>2</v>
      </c>
      <c r="L12" s="233"/>
      <c r="M12" s="233" t="s">
        <v>18</v>
      </c>
      <c r="O12" s="533" t="str">
        <f>IF(_xlfn.XLOOKUP(Q12,全装!G:G,全装!A:A,"",0,1)="Y","Y","")</f>
        <v>Y</v>
      </c>
      <c r="P12" s="521">
        <v>11</v>
      </c>
      <c r="Q12" s="233" t="s">
        <v>1396</v>
      </c>
      <c r="R12" s="233" t="s">
        <v>2181</v>
      </c>
      <c r="S12" s="517">
        <v>1</v>
      </c>
      <c r="T12" s="524">
        <v>3</v>
      </c>
      <c r="U12" s="524">
        <v>3</v>
      </c>
      <c r="V12" s="518">
        <v>4</v>
      </c>
      <c r="W12" s="518">
        <v>4</v>
      </c>
      <c r="X12" s="233"/>
      <c r="Z12" s="233">
        <v>11</v>
      </c>
      <c r="AA12" s="233"/>
      <c r="AB12" s="232"/>
      <c r="AC12" s="543"/>
      <c r="AD12" s="233"/>
      <c r="AE12" s="233"/>
      <c r="AF12" s="233"/>
      <c r="AG12" s="233"/>
      <c r="AH12" s="233"/>
      <c r="AI12" s="233"/>
      <c r="AJ12" s="547"/>
      <c r="AK12" s="548"/>
      <c r="AL12" s="368"/>
      <c r="AM12" s="233"/>
      <c r="AN12" s="233"/>
      <c r="AO12" s="549" t="str">
        <f>IF(_xlfn.XLOOKUP(AB12,全装!G:G,全装!A:A,"",0,1)="Y","Y","")</f>
        <v/>
      </c>
      <c r="AP12" s="233"/>
      <c r="AR12" s="551" t="s">
        <v>2182</v>
      </c>
      <c r="AS12" s="552"/>
      <c r="AT12" s="552"/>
      <c r="AU12" s="552"/>
      <c r="AV12" s="552"/>
      <c r="AW12" s="569"/>
      <c r="AY12" s="576" t="s">
        <v>2164</v>
      </c>
      <c r="AZ12" s="576" t="str">
        <f>IF(_xlfn.XLOOKUP(BA12,全装!G:G,全装!A:A,"",0,1)="Y","Y","")</f>
        <v>Y</v>
      </c>
      <c r="BA12" s="102" t="s">
        <v>1098</v>
      </c>
      <c r="BB12" s="102" t="s">
        <v>2085</v>
      </c>
      <c r="BC12" s="577">
        <v>2</v>
      </c>
      <c r="BD12" s="584">
        <v>2</v>
      </c>
      <c r="BE12" s="586">
        <v>4</v>
      </c>
      <c r="BF12" s="578">
        <v>3</v>
      </c>
      <c r="BG12" s="586">
        <v>4</v>
      </c>
      <c r="BH12" s="596"/>
      <c r="BI12">
        <v>11</v>
      </c>
    </row>
    <row r="13" spans="3:61">
      <c r="C13" s="233" t="str">
        <f>IF(_xlfn.XLOOKUP(E13,全装!G:G,全装!A:A,"",0,1)="Y","Y","")</f>
        <v>Y</v>
      </c>
      <c r="D13" s="233">
        <v>12</v>
      </c>
      <c r="E13" s="233" t="s">
        <v>817</v>
      </c>
      <c r="F13" s="233" t="s">
        <v>818</v>
      </c>
      <c r="G13" s="517">
        <v>1</v>
      </c>
      <c r="H13" s="523">
        <v>5</v>
      </c>
      <c r="I13" s="520">
        <v>2</v>
      </c>
      <c r="J13" s="518">
        <v>4</v>
      </c>
      <c r="K13" s="524">
        <v>3</v>
      </c>
      <c r="L13" s="233"/>
      <c r="M13" s="233" t="s">
        <v>16</v>
      </c>
      <c r="O13" s="533" t="str">
        <f>IF(_xlfn.XLOOKUP(Q13,全装!G:G,全装!A:A,"",0,1)="Y","Y","")</f>
        <v>Y</v>
      </c>
      <c r="P13" s="521">
        <v>12</v>
      </c>
      <c r="Q13" s="233" t="s">
        <v>691</v>
      </c>
      <c r="R13" s="233" t="s">
        <v>2183</v>
      </c>
      <c r="S13" s="517">
        <v>1</v>
      </c>
      <c r="T13" s="518">
        <v>4</v>
      </c>
      <c r="U13" s="520">
        <v>2</v>
      </c>
      <c r="V13" s="518">
        <v>4</v>
      </c>
      <c r="W13" s="518">
        <v>4</v>
      </c>
      <c r="X13" s="233"/>
      <c r="Z13" s="233">
        <v>12</v>
      </c>
      <c r="AA13" s="233" t="s">
        <v>2184</v>
      </c>
      <c r="AB13" s="233" t="s">
        <v>716</v>
      </c>
      <c r="AC13" s="544" t="s">
        <v>717</v>
      </c>
      <c r="AD13" s="233">
        <v>4</v>
      </c>
      <c r="AE13" s="525">
        <v>2</v>
      </c>
      <c r="AF13" s="522">
        <v>1</v>
      </c>
      <c r="AG13" s="518">
        <v>4</v>
      </c>
      <c r="AH13" s="518">
        <v>4</v>
      </c>
      <c r="AI13" s="518">
        <v>4</v>
      </c>
      <c r="AJ13" s="547"/>
      <c r="AK13" s="548" t="s">
        <v>17</v>
      </c>
      <c r="AL13" s="368" t="s">
        <v>2157</v>
      </c>
      <c r="AM13" s="233" t="s">
        <v>654</v>
      </c>
      <c r="AN13" s="233"/>
      <c r="AO13" s="549" t="str">
        <f>IF(_xlfn.XLOOKUP(AB13,全装!G:G,全装!A:A,"",0,1)="Y","Y","")</f>
        <v>Y</v>
      </c>
      <c r="AP13" s="554"/>
      <c r="AR13" s="469" t="s">
        <v>1927</v>
      </c>
      <c r="AS13" s="470" t="s">
        <v>1935</v>
      </c>
      <c r="AT13" s="470" t="s">
        <v>1936</v>
      </c>
      <c r="AU13" s="555"/>
      <c r="AV13" s="467"/>
      <c r="AW13" s="504"/>
      <c r="AY13" s="574"/>
      <c r="AZ13" s="576" t="str">
        <f>IF(_xlfn.XLOOKUP(BA13,全装!G:G,全装!A:A,"",0,1)="Y","Y","")</f>
        <v>Y</v>
      </c>
      <c r="BA13" s="102" t="s">
        <v>1113</v>
      </c>
      <c r="BB13" s="102" t="s">
        <v>2086</v>
      </c>
      <c r="BC13" s="572">
        <v>1</v>
      </c>
      <c r="BD13" s="578">
        <v>3</v>
      </c>
      <c r="BE13" s="573">
        <v>5</v>
      </c>
      <c r="BF13" s="586">
        <v>4</v>
      </c>
      <c r="BG13" s="584">
        <v>2</v>
      </c>
      <c r="BH13" s="595" t="s">
        <v>17</v>
      </c>
      <c r="BI13">
        <v>12</v>
      </c>
    </row>
    <row r="14" ht="14.25" spans="3:61">
      <c r="C14" s="233" t="str">
        <f>IF(_xlfn.XLOOKUP(E14,全装!G:G,全装!A:A,"",0,1)="Y","Y","")</f>
        <v>Y</v>
      </c>
      <c r="D14" s="233">
        <v>13</v>
      </c>
      <c r="E14" s="233" t="s">
        <v>1584</v>
      </c>
      <c r="F14" s="233" t="s">
        <v>1587</v>
      </c>
      <c r="G14" s="527">
        <v>4</v>
      </c>
      <c r="H14" s="522">
        <v>1</v>
      </c>
      <c r="I14" s="524">
        <v>3</v>
      </c>
      <c r="J14" s="524">
        <v>3</v>
      </c>
      <c r="K14" s="518">
        <v>4</v>
      </c>
      <c r="L14" s="233"/>
      <c r="M14" s="233"/>
      <c r="O14" s="533" t="str">
        <f>IF(_xlfn.XLOOKUP(Q14,全装!G:G,全装!A:A,"",0,1)="Y","Y","")</f>
        <v/>
      </c>
      <c r="P14" s="521">
        <v>13</v>
      </c>
      <c r="Q14" s="233" t="s">
        <v>1076</v>
      </c>
      <c r="R14" s="233" t="s">
        <v>2185</v>
      </c>
      <c r="S14" s="526">
        <v>3</v>
      </c>
      <c r="T14" s="522">
        <v>1</v>
      </c>
      <c r="U14" s="518">
        <v>4</v>
      </c>
      <c r="V14" s="518">
        <v>4</v>
      </c>
      <c r="W14" s="524">
        <v>3</v>
      </c>
      <c r="X14" s="233"/>
      <c r="Z14" s="233">
        <v>13</v>
      </c>
      <c r="AA14" s="233" t="s">
        <v>2184</v>
      </c>
      <c r="AB14" s="233" t="s">
        <v>723</v>
      </c>
      <c r="AC14" s="544" t="s">
        <v>2186</v>
      </c>
      <c r="AD14" s="233"/>
      <c r="AE14" s="517">
        <v>1</v>
      </c>
      <c r="AF14" s="522">
        <v>1</v>
      </c>
      <c r="AG14" s="518">
        <v>4</v>
      </c>
      <c r="AH14" s="518">
        <v>4</v>
      </c>
      <c r="AI14" s="523">
        <v>5</v>
      </c>
      <c r="AJ14" s="547"/>
      <c r="AK14" s="548" t="s">
        <v>17</v>
      </c>
      <c r="AL14" s="368" t="s">
        <v>2157</v>
      </c>
      <c r="AM14" s="233" t="s">
        <v>646</v>
      </c>
      <c r="AN14" s="233"/>
      <c r="AO14" s="549" t="str">
        <f>IF(_xlfn.XLOOKUP(AB14,全装!G:G,全装!A:A,"",0,1)="Y","Y","")</f>
        <v>Y</v>
      </c>
      <c r="AP14" s="554"/>
      <c r="AS14" s="472" t="s">
        <v>1939</v>
      </c>
      <c r="AT14" s="472">
        <v>50</v>
      </c>
      <c r="AW14" s="505"/>
      <c r="AY14" s="576"/>
      <c r="AZ14" s="576" t="str">
        <f>IF(_xlfn.XLOOKUP(BA14,全装!G:G,全装!A:A,"",0,1)="Y","Y","")</f>
        <v/>
      </c>
      <c r="BA14" s="102" t="s">
        <v>1149</v>
      </c>
      <c r="BB14" s="102" t="s">
        <v>2087</v>
      </c>
      <c r="BC14" s="585">
        <v>5</v>
      </c>
      <c r="BD14" s="575">
        <v>1</v>
      </c>
      <c r="BE14" s="573">
        <v>5</v>
      </c>
      <c r="BF14" s="575">
        <v>1</v>
      </c>
      <c r="BG14" s="578">
        <v>3</v>
      </c>
      <c r="BH14" s="595" t="s">
        <v>2187</v>
      </c>
      <c r="BI14">
        <v>13</v>
      </c>
    </row>
    <row r="15" spans="3:61">
      <c r="C15" s="233" t="str">
        <f>IF(_xlfn.XLOOKUP(E15,全装!G:G,全装!A:A,"",0,1)="Y","Y","")</f>
        <v>Y</v>
      </c>
      <c r="D15" s="233">
        <v>14</v>
      </c>
      <c r="E15" s="233" t="s">
        <v>1435</v>
      </c>
      <c r="F15" s="233" t="s">
        <v>2188</v>
      </c>
      <c r="G15" s="517">
        <v>1</v>
      </c>
      <c r="H15" s="524">
        <v>3</v>
      </c>
      <c r="I15" s="524">
        <v>3</v>
      </c>
      <c r="J15" s="523">
        <v>5</v>
      </c>
      <c r="K15" s="524">
        <v>3</v>
      </c>
      <c r="L15" s="233"/>
      <c r="M15" s="233" t="s">
        <v>18</v>
      </c>
      <c r="O15" s="533" t="str">
        <f>IF(_xlfn.XLOOKUP(Q15,全装!G:G,全装!A:A,"",0,1)="Y","Y","")</f>
        <v/>
      </c>
      <c r="P15" s="521">
        <v>14</v>
      </c>
      <c r="Q15" s="233" t="s">
        <v>1525</v>
      </c>
      <c r="R15" s="233" t="s">
        <v>2189</v>
      </c>
      <c r="S15" s="527">
        <v>4</v>
      </c>
      <c r="T15" s="518">
        <v>4</v>
      </c>
      <c r="U15" s="524">
        <v>3</v>
      </c>
      <c r="V15" s="524">
        <v>3</v>
      </c>
      <c r="W15" s="522">
        <v>1</v>
      </c>
      <c r="X15" s="233"/>
      <c r="Z15" s="233">
        <v>14</v>
      </c>
      <c r="AA15" s="233" t="s">
        <v>2184</v>
      </c>
      <c r="AB15" s="233" t="s">
        <v>708</v>
      </c>
      <c r="AC15" s="544" t="s">
        <v>2190</v>
      </c>
      <c r="AD15" s="233">
        <v>4</v>
      </c>
      <c r="AE15" s="517">
        <v>1</v>
      </c>
      <c r="AF15" s="522">
        <v>1</v>
      </c>
      <c r="AG15" s="518">
        <v>4</v>
      </c>
      <c r="AH15" s="523">
        <v>5</v>
      </c>
      <c r="AI15" s="518">
        <v>4</v>
      </c>
      <c r="AJ15" s="547"/>
      <c r="AK15" s="548" t="s">
        <v>17</v>
      </c>
      <c r="AL15" s="368" t="s">
        <v>2157</v>
      </c>
      <c r="AM15" s="233" t="s">
        <v>646</v>
      </c>
      <c r="AN15" s="233"/>
      <c r="AO15" s="549" t="str">
        <f>IF(_xlfn.XLOOKUP(AB15,全装!G:G,全装!A:A,"",0,1)="Y","Y","")</f>
        <v>Y</v>
      </c>
      <c r="AP15" s="554"/>
      <c r="AS15" s="474" t="s">
        <v>15</v>
      </c>
      <c r="AT15" s="474" t="s">
        <v>16</v>
      </c>
      <c r="AU15" s="474" t="s">
        <v>17</v>
      </c>
      <c r="AV15" s="474" t="s">
        <v>18</v>
      </c>
      <c r="AW15" s="474" t="s">
        <v>19</v>
      </c>
      <c r="AY15" s="576"/>
      <c r="AZ15" s="576" t="str">
        <f>IF(_xlfn.XLOOKUP(BA15,全装!G:G,全装!A:A,"",0,1)="Y","Y","")</f>
        <v>Y</v>
      </c>
      <c r="BA15" s="102" t="s">
        <v>1171</v>
      </c>
      <c r="BB15" s="102" t="s">
        <v>1172</v>
      </c>
      <c r="BC15" s="577">
        <v>2</v>
      </c>
      <c r="BD15" s="586">
        <v>4</v>
      </c>
      <c r="BE15" s="578">
        <v>3</v>
      </c>
      <c r="BF15" s="586">
        <v>4</v>
      </c>
      <c r="BG15" s="584">
        <v>2</v>
      </c>
      <c r="BH15" s="596"/>
      <c r="BI15">
        <v>14</v>
      </c>
    </row>
    <row r="16" spans="3:61">
      <c r="C16" s="233" t="str">
        <f>IF(_xlfn.XLOOKUP(E16,全装!G:G,全装!A:A,"",0,1)="Y","Y","")</f>
        <v>Y</v>
      </c>
      <c r="D16" s="233">
        <v>15</v>
      </c>
      <c r="E16" s="233" t="s">
        <v>1273</v>
      </c>
      <c r="F16" s="233" t="s">
        <v>2191</v>
      </c>
      <c r="G16" s="517">
        <v>1</v>
      </c>
      <c r="H16" s="518">
        <v>4</v>
      </c>
      <c r="I16" s="524">
        <v>3</v>
      </c>
      <c r="J16" s="518">
        <v>4</v>
      </c>
      <c r="K16" s="524">
        <v>3</v>
      </c>
      <c r="L16" s="233"/>
      <c r="M16" s="233"/>
      <c r="O16" s="533" t="str">
        <f>IF(_xlfn.XLOOKUP(Q16,全装!G:G,全装!A:A,"",0,1)="Y","Y","")</f>
        <v/>
      </c>
      <c r="P16" s="521">
        <v>15</v>
      </c>
      <c r="Q16" s="233" t="s">
        <v>661</v>
      </c>
      <c r="R16" s="233" t="s">
        <v>662</v>
      </c>
      <c r="S16" s="517">
        <v>1</v>
      </c>
      <c r="T16" s="518">
        <v>4</v>
      </c>
      <c r="U16" s="522">
        <v>1</v>
      </c>
      <c r="V16" s="518">
        <v>4</v>
      </c>
      <c r="W16" s="523">
        <v>5</v>
      </c>
      <c r="X16" s="233" t="s">
        <v>19</v>
      </c>
      <c r="Z16" s="233">
        <v>15</v>
      </c>
      <c r="AA16" s="233"/>
      <c r="AB16" s="232"/>
      <c r="AC16" s="543"/>
      <c r="AD16" s="233"/>
      <c r="AE16" s="233"/>
      <c r="AF16" s="233"/>
      <c r="AG16" s="233"/>
      <c r="AH16" s="233"/>
      <c r="AI16" s="233"/>
      <c r="AJ16" s="547"/>
      <c r="AK16" s="548"/>
      <c r="AL16" s="368"/>
      <c r="AM16" s="233"/>
      <c r="AN16" s="233"/>
      <c r="AO16" s="549" t="str">
        <f>IF(_xlfn.XLOOKUP(AB16,全装!G:G,全装!A:A,"",0,1)="Y","Y","")</f>
        <v/>
      </c>
      <c r="AP16" s="233"/>
      <c r="AR16" s="475" t="s">
        <v>1942</v>
      </c>
      <c r="AS16" s="476">
        <f>Combo_T_Calc_Base_Stat_W+((Combo_T_Calc_Level-1)*Combo_T_Calc_Progress_Num_W)</f>
        <v>111</v>
      </c>
      <c r="AT16" s="476">
        <f>Combo_T_Calc_Base_Stat_A+((Combo_T_Calc_Level-1)*Combo_T_Calc_Progress_Num_A)</f>
        <v>111</v>
      </c>
      <c r="AU16" s="476">
        <f>Combo_T_Calc_Base_Stat_I+((Combo_T_Calc_Level-1)*Combo_T_Calc_Progress_Num_I)</f>
        <v>225</v>
      </c>
      <c r="AV16" s="476">
        <f>Combo_T_Calc_Base_Stat_F+((Combo_T_Calc_Level-1)*Combo_T_Calc_Progress_Num_F)</f>
        <v>196.5</v>
      </c>
      <c r="AW16" s="476">
        <f>Combo_T_Calc_Base_Stat_U+((Combo_T_Calc_Level-1)*Combo_T_Calc_Progress_Num_U)</f>
        <v>196.5</v>
      </c>
      <c r="AY16" s="574">
        <v>1</v>
      </c>
      <c r="AZ16" s="580" t="str">
        <f>IF(_xlfn.XLOOKUP(BA16,全装!G:G,全装!A:A,"",0,1)="Y","Y","")</f>
        <v>Y</v>
      </c>
      <c r="BA16" s="102" t="s">
        <v>1212</v>
      </c>
      <c r="BB16" s="102" t="s">
        <v>2088</v>
      </c>
      <c r="BC16" s="572">
        <v>1</v>
      </c>
      <c r="BD16" s="584">
        <v>2</v>
      </c>
      <c r="BE16" s="586">
        <v>4</v>
      </c>
      <c r="BF16" s="586">
        <v>4</v>
      </c>
      <c r="BG16" s="586">
        <v>4</v>
      </c>
      <c r="BH16" s="596"/>
      <c r="BI16">
        <v>15</v>
      </c>
    </row>
    <row r="17" spans="3:61">
      <c r="C17" s="233" t="str">
        <f>IF(_xlfn.XLOOKUP(E17,全装!G:G,全装!A:A,"",0,1)="Y","Y","")</f>
        <v>Y</v>
      </c>
      <c r="D17" s="233">
        <v>16</v>
      </c>
      <c r="E17" s="233" t="s">
        <v>1602</v>
      </c>
      <c r="F17" s="233" t="s">
        <v>1603</v>
      </c>
      <c r="G17" s="527">
        <v>4</v>
      </c>
      <c r="H17" s="524">
        <v>3</v>
      </c>
      <c r="I17" s="524">
        <v>3</v>
      </c>
      <c r="J17" s="524">
        <v>3</v>
      </c>
      <c r="K17" s="520">
        <v>2</v>
      </c>
      <c r="L17" s="233"/>
      <c r="M17" s="233"/>
      <c r="O17" s="533" t="str">
        <f>IF(_xlfn.XLOOKUP(Q17,全装!G:G,全装!A:A,"",0,1)="Y","Y","")</f>
        <v>Y</v>
      </c>
      <c r="P17" s="521">
        <v>16</v>
      </c>
      <c r="Q17" s="233" t="s">
        <v>1573</v>
      </c>
      <c r="R17" s="233" t="s">
        <v>1574</v>
      </c>
      <c r="S17" s="527">
        <v>4</v>
      </c>
      <c r="T17" s="522">
        <v>1</v>
      </c>
      <c r="U17" s="524">
        <v>3</v>
      </c>
      <c r="V17" s="524">
        <v>3</v>
      </c>
      <c r="W17" s="518">
        <v>4</v>
      </c>
      <c r="X17" s="233"/>
      <c r="Z17" s="233">
        <v>16</v>
      </c>
      <c r="AA17" s="233" t="s">
        <v>2192</v>
      </c>
      <c r="AB17" s="233" t="s">
        <v>749</v>
      </c>
      <c r="AC17" s="544" t="s">
        <v>750</v>
      </c>
      <c r="AD17" s="521"/>
      <c r="AE17" s="517">
        <v>1</v>
      </c>
      <c r="AF17" s="522">
        <v>1</v>
      </c>
      <c r="AG17" s="524">
        <v>3</v>
      </c>
      <c r="AH17" s="523">
        <v>5</v>
      </c>
      <c r="AI17" s="523">
        <v>5</v>
      </c>
      <c r="AJ17" s="547" t="s">
        <v>2193</v>
      </c>
      <c r="AK17" s="548"/>
      <c r="AL17" s="368" t="s">
        <v>2194</v>
      </c>
      <c r="AM17" s="233" t="s">
        <v>654</v>
      </c>
      <c r="AN17" s="233"/>
      <c r="AO17" s="549" t="str">
        <f>IF(_xlfn.XLOOKUP(AB17,全装!G:G,全装!A:A,"",0,1)="Y","Y","")</f>
        <v>Y</v>
      </c>
      <c r="AP17" s="233"/>
      <c r="AR17" s="477"/>
      <c r="AS17" s="275"/>
      <c r="AT17" s="275"/>
      <c r="AU17" s="275"/>
      <c r="AV17" s="275"/>
      <c r="AW17" s="506"/>
      <c r="AY17" s="576"/>
      <c r="AZ17" s="576" t="str">
        <f>IF(_xlfn.XLOOKUP(BA17,全装!G:G,全装!A:A,"",0,1)="Y","Y","")</f>
        <v/>
      </c>
      <c r="BA17" s="98" t="s">
        <v>1217</v>
      </c>
      <c r="BB17" s="98" t="s">
        <v>1218</v>
      </c>
      <c r="BC17" s="587">
        <v>0</v>
      </c>
      <c r="BD17" s="588">
        <v>0</v>
      </c>
      <c r="BE17" s="588">
        <v>0</v>
      </c>
      <c r="BF17" s="588">
        <v>0</v>
      </c>
      <c r="BG17" s="588">
        <v>0</v>
      </c>
      <c r="BH17" s="595"/>
      <c r="BI17">
        <v>16</v>
      </c>
    </row>
    <row r="18" spans="3:61">
      <c r="C18" s="233" t="str">
        <f>IF(_xlfn.XLOOKUP(E18,全装!G:G,全装!A:A,"",0,1)="Y","Y","")</f>
        <v>Y</v>
      </c>
      <c r="D18" s="233">
        <v>17</v>
      </c>
      <c r="E18" s="233" t="s">
        <v>1127</v>
      </c>
      <c r="F18" s="233" t="s">
        <v>2195</v>
      </c>
      <c r="G18" s="526">
        <v>3</v>
      </c>
      <c r="H18" s="524">
        <v>3</v>
      </c>
      <c r="I18" s="518">
        <v>4</v>
      </c>
      <c r="J18" s="524">
        <v>3</v>
      </c>
      <c r="K18" s="520">
        <v>2</v>
      </c>
      <c r="L18" s="233"/>
      <c r="M18" s="233"/>
      <c r="O18" s="533" t="str">
        <f>IF(_xlfn.XLOOKUP(Q18,全装!G:G,全装!A:A,"",0,1)="Y","Y","")</f>
        <v>Y</v>
      </c>
      <c r="P18" s="521">
        <v>17</v>
      </c>
      <c r="Q18" s="233" t="s">
        <v>1631</v>
      </c>
      <c r="R18" s="233" t="s">
        <v>2196</v>
      </c>
      <c r="S18" s="527">
        <v>4</v>
      </c>
      <c r="T18" s="520">
        <v>2</v>
      </c>
      <c r="U18" s="524">
        <v>3</v>
      </c>
      <c r="V18" s="524">
        <v>3</v>
      </c>
      <c r="W18" s="524">
        <v>3</v>
      </c>
      <c r="X18" s="233"/>
      <c r="Z18" s="233">
        <v>17</v>
      </c>
      <c r="AA18" s="233" t="s">
        <v>2192</v>
      </c>
      <c r="AB18" s="233" t="s">
        <v>757</v>
      </c>
      <c r="AC18" s="544" t="s">
        <v>2197</v>
      </c>
      <c r="AD18" s="521"/>
      <c r="AE18" s="517">
        <v>1</v>
      </c>
      <c r="AF18" s="524">
        <v>3</v>
      </c>
      <c r="AG18" s="522">
        <v>1</v>
      </c>
      <c r="AH18" s="523">
        <v>5</v>
      </c>
      <c r="AI18" s="523">
        <v>5</v>
      </c>
      <c r="AJ18" s="547" t="s">
        <v>2193</v>
      </c>
      <c r="AK18" s="548"/>
      <c r="AL18" s="368" t="s">
        <v>2194</v>
      </c>
      <c r="AM18" s="233" t="s">
        <v>646</v>
      </c>
      <c r="AN18" s="233"/>
      <c r="AO18" s="549" t="str">
        <f>IF(_xlfn.XLOOKUP(AB18,全装!G:G,全装!A:A,"",0,1)="Y","Y","")</f>
        <v>Y</v>
      </c>
      <c r="AP18" s="233"/>
      <c r="AR18" s="475" t="s">
        <v>1944</v>
      </c>
      <c r="AS18" s="478">
        <f>VLOOKUP(Combo_T_Calc_Name,Combos!Cloth_T_Calc_Base_Stat_List,2)</f>
        <v>1</v>
      </c>
      <c r="AT18" s="479">
        <f>VLOOKUP(Combo_T_Calc_Name,Combos!Cloth_T_Calc_Base_Stat_List,3)</f>
        <v>1</v>
      </c>
      <c r="AU18" s="480">
        <f>VLOOKUP(Combo_T_Calc_Name,Combos!Cloth_T_Calc_Base_Stat_List,4)</f>
        <v>5</v>
      </c>
      <c r="AV18" s="480">
        <f>VLOOKUP(Combo_T_Calc_Name,Combos!Cloth_T_Calc_Base_Stat_List,5)</f>
        <v>4</v>
      </c>
      <c r="AW18" s="507">
        <f>VLOOKUP(Combo_T_Calc_Name,Combos!Cloth_T_Calc_Base_Stat_List,6)</f>
        <v>4</v>
      </c>
      <c r="AY18" s="570"/>
      <c r="AZ18" s="576" t="str">
        <f>IF(_xlfn.XLOOKUP(BA18,全装!G:G,全装!A:A,"",0,1)="Y","Y","")</f>
        <v>Y</v>
      </c>
      <c r="BA18" s="102" t="s">
        <v>1220</v>
      </c>
      <c r="BB18" s="102" t="s">
        <v>1221</v>
      </c>
      <c r="BC18" s="577">
        <v>2</v>
      </c>
      <c r="BD18" s="586">
        <v>4</v>
      </c>
      <c r="BE18" s="584">
        <v>2</v>
      </c>
      <c r="BF18" s="586">
        <v>4</v>
      </c>
      <c r="BG18" s="578">
        <v>3</v>
      </c>
      <c r="BH18" s="595"/>
      <c r="BI18">
        <v>17</v>
      </c>
    </row>
    <row r="19" spans="3:61">
      <c r="C19" s="233" t="str">
        <f>IF(_xlfn.XLOOKUP(E19,全装!G:G,全装!A:A,"",0,1)="Y","Y","")</f>
        <v/>
      </c>
      <c r="D19" s="233">
        <v>18</v>
      </c>
      <c r="E19" s="233" t="s">
        <v>1760</v>
      </c>
      <c r="F19" s="233" t="s">
        <v>2198</v>
      </c>
      <c r="G19" s="517">
        <v>1</v>
      </c>
      <c r="H19" s="524">
        <v>3</v>
      </c>
      <c r="I19" s="520">
        <v>2</v>
      </c>
      <c r="J19" s="523">
        <v>5</v>
      </c>
      <c r="K19" s="518">
        <v>4</v>
      </c>
      <c r="L19" s="233"/>
      <c r="M19" s="233" t="s">
        <v>18</v>
      </c>
      <c r="O19" s="533" t="str">
        <f>IF(_xlfn.XLOOKUP(Q19,全装!G:G,全装!A:A,"",0,1)="Y","Y","")</f>
        <v>Y</v>
      </c>
      <c r="P19" s="521">
        <v>18</v>
      </c>
      <c r="Q19" s="233" t="s">
        <v>1017</v>
      </c>
      <c r="R19" s="233" t="s">
        <v>2199</v>
      </c>
      <c r="S19" s="525">
        <v>2</v>
      </c>
      <c r="T19" s="518">
        <v>4</v>
      </c>
      <c r="U19" s="518">
        <v>4</v>
      </c>
      <c r="V19" s="524">
        <v>3</v>
      </c>
      <c r="W19" s="520">
        <v>2</v>
      </c>
      <c r="X19" s="233"/>
      <c r="Z19" s="233">
        <v>18</v>
      </c>
      <c r="AA19" s="233"/>
      <c r="AB19" s="232"/>
      <c r="AC19" s="543"/>
      <c r="AD19" s="233"/>
      <c r="AE19" s="233"/>
      <c r="AF19" s="233"/>
      <c r="AG19" s="233"/>
      <c r="AH19" s="233"/>
      <c r="AI19" s="233"/>
      <c r="AJ19" s="547"/>
      <c r="AK19" s="548"/>
      <c r="AL19" s="368"/>
      <c r="AM19" s="233"/>
      <c r="AN19" s="233"/>
      <c r="AO19" s="549" t="str">
        <f>IF(_xlfn.XLOOKUP(AB19,全装!G:G,全装!A:A,"",0,1)="Y","Y","")</f>
        <v/>
      </c>
      <c r="AP19" s="233"/>
      <c r="AR19" s="475" t="s">
        <v>1945</v>
      </c>
      <c r="AS19" s="556">
        <f>IF(Combo_T_Calc_Tier_W=1,2,IF(Combo_T_Calc_Tier_W=2,2.5,IF(Combo_T_Calc_Tier_W=3,3,IF(Combo_T_Calc_Tier_W=4,3.5,IF(Combo_T_Calc_Tier_W=5,4,"error6")))))</f>
        <v>2</v>
      </c>
      <c r="AT19" s="557">
        <f>IF(Combo_T_Calc_Tier_A=1,2,IF(Combo_T_Calc_Tier_A=2,2.5,IF(Combo_T_Calc_Tier_A=3,3,IF(Combo_T_Calc_Tier_A=4,3.5,IF(Combo_T_Calc_Tier_A=5,4,"error6")))))</f>
        <v>2</v>
      </c>
      <c r="AU19" s="558">
        <f>IF(Combo_T_Calc_Tier_I=1,2,IF(Combo_T_Calc_Tier_I=2,2.5,IF(Combo_T_Calc_Tier_I=3,3,IF(Combo_T_Calc_Tier_I=4,3.5,IF(Combo_T_Calc_Tier_I=5,4,"error6")))))</f>
        <v>4</v>
      </c>
      <c r="AV19" s="558">
        <f>IF(Combo_T_Calc_Tier_F=1,2,IF(Combo_T_Calc_Tier_F=2,2.5,IF(Combo_T_Calc_Tier_F=3,3,IF(Combo_T_Calc_Tier_F=4,3.5,IF(Combo_T_Calc_Tier_F=5,4,"error6")))))</f>
        <v>3.5</v>
      </c>
      <c r="AW19" s="589">
        <f>IF(Combo_T_Calc_Tier_U=1,2,IF(Combo_T_Calc_Tier_U=2,2.5,IF(Combo_T_Calc_Tier_U=3,3,IF(Combo_T_Calc_Tier_U=4,3.5,IF(Combo_T_Calc_Tier_U=5,4,"error6")))))</f>
        <v>3.5</v>
      </c>
      <c r="AY19" s="574">
        <v>0</v>
      </c>
      <c r="AZ19" s="571" t="str">
        <f>IF(_xlfn.XLOOKUP(BA19,全装!G:G,全装!A:A,"",0,1)="Y","Y","")</f>
        <v/>
      </c>
      <c r="BA19" s="98" t="s">
        <v>1227</v>
      </c>
      <c r="BB19" s="98" t="s">
        <v>2089</v>
      </c>
      <c r="BC19" s="572">
        <v>1</v>
      </c>
      <c r="BD19" s="575">
        <v>1</v>
      </c>
      <c r="BE19" s="573">
        <v>5</v>
      </c>
      <c r="BF19" s="573">
        <v>5</v>
      </c>
      <c r="BG19" s="586">
        <v>4</v>
      </c>
      <c r="BH19" s="597" t="s">
        <v>2200</v>
      </c>
      <c r="BI19">
        <v>18</v>
      </c>
    </row>
    <row r="20" spans="3:61">
      <c r="C20" s="233" t="str">
        <f>IF(_xlfn.XLOOKUP(E20,全装!G:G,全装!A:A,"",0,1)="Y","Y","")</f>
        <v/>
      </c>
      <c r="D20" s="233">
        <v>19</v>
      </c>
      <c r="E20" s="233" t="s">
        <v>1400</v>
      </c>
      <c r="F20" s="233" t="s">
        <v>2201</v>
      </c>
      <c r="G20" s="517">
        <v>1</v>
      </c>
      <c r="H20" s="524">
        <v>3</v>
      </c>
      <c r="I20" s="524">
        <v>3</v>
      </c>
      <c r="J20" s="518">
        <v>4</v>
      </c>
      <c r="K20" s="518">
        <v>4</v>
      </c>
      <c r="L20" s="233"/>
      <c r="M20" s="233"/>
      <c r="O20" s="533" t="str">
        <f>IF(_xlfn.XLOOKUP(Q20,全装!G:G,全装!A:A,"",0,1)="Y","Y","")</f>
        <v>Y</v>
      </c>
      <c r="P20" s="521">
        <v>19</v>
      </c>
      <c r="Q20" s="233" t="s">
        <v>1793</v>
      </c>
      <c r="R20" s="233" t="s">
        <v>1794</v>
      </c>
      <c r="S20" s="517">
        <v>1</v>
      </c>
      <c r="T20" s="520">
        <v>2</v>
      </c>
      <c r="U20" s="520">
        <v>2</v>
      </c>
      <c r="V20" s="518">
        <v>4</v>
      </c>
      <c r="W20" s="523">
        <v>5</v>
      </c>
      <c r="X20" s="233" t="s">
        <v>19</v>
      </c>
      <c r="Z20" s="233">
        <v>19</v>
      </c>
      <c r="AA20" s="233" t="s">
        <v>2202</v>
      </c>
      <c r="AB20" s="521" t="s">
        <v>766</v>
      </c>
      <c r="AC20" s="521" t="s">
        <v>2203</v>
      </c>
      <c r="AD20" s="233"/>
      <c r="AE20" s="519">
        <v>5</v>
      </c>
      <c r="AF20" s="523">
        <v>5</v>
      </c>
      <c r="AG20" s="518">
        <v>4</v>
      </c>
      <c r="AH20" s="522">
        <v>1</v>
      </c>
      <c r="AI20" s="522">
        <v>1</v>
      </c>
      <c r="AJ20" s="547" t="s">
        <v>2204</v>
      </c>
      <c r="AK20" s="548" t="s">
        <v>17</v>
      </c>
      <c r="AL20" s="368" t="s">
        <v>2194</v>
      </c>
      <c r="AM20" s="233" t="s">
        <v>654</v>
      </c>
      <c r="AN20" s="233"/>
      <c r="AO20" s="549" t="str">
        <f>IF(_xlfn.XLOOKUP(AB20,全装!G:G,全装!A:A,"",0,1)="Y","Y","")</f>
        <v>Y</v>
      </c>
      <c r="AP20" s="550"/>
      <c r="AR20" s="475" t="s">
        <v>1947</v>
      </c>
      <c r="AS20" s="484">
        <f>IF(Combo_T_Calc_Rarity="common",(IF(Combo_T_Calc_Tier_W=1,8,IF(Combo_T_Calc_Tier_W=2,9,IF(Combo_T_Calc_Tier_W=3,12,IF(Combo_T_Calc_Tier_W=4,13,IF(Combo_T_Calc_Tier_W=5,15)))))),IF(Combo_T_Calc_Rarity="rare",(IF(Combo_T_Calc_Tier_W=1,9,IF(Combo_T_Calc_Tier_W=2,12,IF(Combo_T_Calc_Tier_W=3,15,IF(Combo_T_Calc_Tier_W=4,18,IF(Combo_T_Calc_Tier_W=5,22)))))),IF(Combo_T_Calc_Rarity="epic",(IF(Combo_T_Calc_Tier_W=1,13,IF(Combo_T_Calc_Tier_W=2,17,IF(Combo_T_Calc_Tier_W=3,21,IF(Combo_T_Calc_Tier_W=4,25,IF(Combo_T_Calc_Tier_W=5,29)))))),IF(Combo_T_Calc_Rarity="legendary",(IF(Combo_T_Calc_Tier_W=1,18,IF(Combo_T_Calc_Tier_W=2,23,IF(Combo_T_Calc_Tier_W=3,28,IF(Combo_T_Calc_Tier_W=4,33,IF(Combo_T_Calc_Tier_W=5,39)))))),Error))))</f>
        <v>13</v>
      </c>
      <c r="AT20" s="485">
        <f>IF(Combo_T_Calc_Rarity="common",(IF(Combo_T_Calc_Tier_A=1,8,IF(Combo_T_Calc_Tier_A=2,9,IF(Combo_T_Calc_Tier_A=3,12,IF(Combo_T_Calc_Tier_A=4,13,IF(Combo_T_Calc_Tier_A=5,15)))))),IF(Combo_T_Calc_Rarity="rare",(IF(Combo_T_Calc_Tier_A=1,9,IF(Combo_T_Calc_Tier_A=2,12,IF(Combo_T_Calc_Tier_A=3,15,IF(Combo_T_Calc_Tier_A=4,18,IF(Combo_T_Calc_Tier_A=5,22)))))),IF(Combo_T_Calc_Rarity="epic",(IF(Combo_T_Calc_Tier_A=1,13,IF(Combo_T_Calc_Tier_A=2,17,IF(Combo_T_Calc_Tier_A=3,21,IF(Combo_T_Calc_Tier_A=4,25,IF(Combo_T_Calc_Tier_A=5,29)))))),IF(Combo_T_Calc_Rarity="legendary",(IF(Combo_T_Calc_Tier_A=1,18,IF(Combo_T_Calc_Tier_A=2,23,IF(Combo_T_Calc_Tier_A=3,28,IF(Combo_T_Calc_Tier_A=4,33,IF(Combo_T_Calc_Tier_A=5,39)))))),Error))))</f>
        <v>13</v>
      </c>
      <c r="AU20" s="486">
        <f>IF(Combo_T_Calc_Rarity="common",(IF(Combo_T_Calc_Tier_I=1,8,IF(Combo_T_Calc_Tier_I=2,9,IF(Combo_T_Calc_Tier_I=3,12,IF(Combo_T_Calc_Tier_I=4,13,IF(Combo_T_Calc_Tier_I=5,15)))))),IF(Combo_T_Calc_Rarity="rare",(IF(Combo_T_Calc_Tier_I=1,9,IF(Combo_T_Calc_Tier_I=2,12,IF(Combo_T_Calc_Tier_I=3,15,IF(Combo_T_Calc_Tier_I=4,18,IF(Combo_T_Calc_Tier_I=5,22)))))),IF(Combo_T_Calc_Rarity="epic",(IF(Combo_T_Calc_Tier_I=1,13,IF(Combo_T_Calc_Tier_I=2,17,IF(Combo_T_Calc_Tier_I=3,21,IF(Combo_T_Calc_Tier_I=4,25,IF(Combo_T_Calc_Tier_I=5,29)))))),IF(Combo_T_Calc_Rarity="legendary",(IF(Combo_T_Calc_Tier_I=1,18,IF(Combo_T_Calc_Tier_I=2,23,IF(Combo_T_Calc_Tier_I=3,28,IF(Combo_T_Calc_Tier_I=4,33,IF(Combo_T_Calc_Tier_I=5,39)))))),Error))))</f>
        <v>29</v>
      </c>
      <c r="AV20" s="486">
        <f>IF(Combo_T_Calc_Rarity="common",(IF(Combo_T_Calc_Tier_F=1,8,IF(Combo_T_Calc_Tier_F=2,9,IF(Combo_T_Calc_Tier_F=3,12,IF(Combo_T_Calc_Tier_F=4,13,IF(Combo_T_Calc_Tier_F=5,15)))))),IF(Combo_T_Calc_Rarity="rare",(IF(Combo_T_Calc_Tier_F=1,9,IF(Combo_T_Calc_Tier_F=2,12,IF(Combo_T_Calc_Tier_F=3,15,IF(Combo_T_Calc_Tier_F=4,18,IF(Combo_T_Calc_Tier_F=5,22)))))),IF(Combo_T_Calc_Rarity="epic",(IF(Combo_T_Calc_Tier_F=1,13,IF(Combo_T_Calc_Tier_F=2,17,IF(Combo_T_Calc_Tier_F=3,21,IF(Combo_T_Calc_Tier_F=4,25,IF(Combo_T_Calc_Tier_F=5,29)))))),IF(Combo_T_Calc_Rarity="legendary",(IF(Combo_T_Calc_Tier_F=1,18,IF(Combo_T_Calc_Tier_F=2,23,IF(Combo_T_Calc_Tier_F=3,28,IF(Combo_T_Calc_Tier_F=4,33,IF(Combo_T_Calc_Tier_F=5,39)))))),Error))))</f>
        <v>25</v>
      </c>
      <c r="AW20" s="507">
        <f>IF(Combo_T_Calc_Rarity="common",(IF(Combo_T_Calc_Tier_U=1,8,IF(Combo_T_Calc_Tier_U=2,9,IF(Combo_T_Calc_Tier_U=3,12,IF(Combo_T_Calc_Tier_U=4,13,IF(Combo_T_Calc_Tier_U=5,15)))))),IF(Combo_T_Calc_Rarity="rare",(IF(Combo_T_Calc_Tier_U=1,9,IF(Combo_T_Calc_Tier_U=2,12,IF(Combo_T_Calc_Tier_U=3,15,IF(Combo_T_Calc_Tier_U=4,18,IF(Combo_T_Calc_Tier_U=5,22)))))),IF(Combo_T_Calc_Rarity="epic",(IF(Combo_T_Calc_Tier_U=1,13,IF(Combo_T_Calc_Tier_U=2,17,IF(Combo_T_Calc_Tier_U=3,21,IF(Combo_T_Calc_Tier_U=4,25,IF(Combo_T_Calc_Tier_U=5,29)))))),IF(Combo_T_Calc_Rarity="legendary",(IF(Combo_T_Calc_Tier_U=1,18,IF(Combo_T_Calc_Tier_U=2,23,IF(Combo_T_Calc_Tier_U=3,28,IF(Combo_T_Calc_Tier_U=4,33,IF(Combo_T_Calc_Tier_U=5,39)))))),Error))))</f>
        <v>25</v>
      </c>
      <c r="AY20" s="576" t="s">
        <v>2205</v>
      </c>
      <c r="AZ20" s="576" t="str">
        <f>IF(_xlfn.XLOOKUP(BA20,全装!G:G,全装!A:A,"",0,1)="Y","Y","")</f>
        <v/>
      </c>
      <c r="BA20" s="102" t="s">
        <v>1311</v>
      </c>
      <c r="BB20" s="102" t="s">
        <v>2090</v>
      </c>
      <c r="BC20" s="577">
        <v>2</v>
      </c>
      <c r="BD20" s="586">
        <v>4</v>
      </c>
      <c r="BE20" s="584">
        <v>2</v>
      </c>
      <c r="BF20" s="578">
        <v>3</v>
      </c>
      <c r="BG20" s="586">
        <v>4</v>
      </c>
      <c r="BH20" s="596"/>
      <c r="BI20">
        <v>19</v>
      </c>
    </row>
    <row r="21" spans="3:61">
      <c r="C21" s="233" t="str">
        <f>IF(_xlfn.XLOOKUP(E21,全装!G:G,全装!A:A,"",0,1)="Y","Y","")</f>
        <v/>
      </c>
      <c r="D21" s="233">
        <v>20</v>
      </c>
      <c r="E21" s="233" t="s">
        <v>1625</v>
      </c>
      <c r="F21" s="233" t="s">
        <v>1626</v>
      </c>
      <c r="G21" s="519">
        <v>5</v>
      </c>
      <c r="H21" s="522">
        <v>1</v>
      </c>
      <c r="I21" s="524">
        <v>3</v>
      </c>
      <c r="J21" s="524">
        <v>3</v>
      </c>
      <c r="K21" s="524">
        <v>3</v>
      </c>
      <c r="L21" s="233"/>
      <c r="M21" s="233" t="s">
        <v>15</v>
      </c>
      <c r="O21" s="533" t="str">
        <f>IF(_xlfn.XLOOKUP(Q21,全装!G:G,全装!A:A,"",0,1)="Y","Y","")</f>
        <v>Y</v>
      </c>
      <c r="P21" s="521">
        <v>20</v>
      </c>
      <c r="Q21" s="233" t="s">
        <v>1065</v>
      </c>
      <c r="R21" s="233" t="s">
        <v>1066</v>
      </c>
      <c r="S21" s="525">
        <v>2</v>
      </c>
      <c r="T21" s="524">
        <v>3</v>
      </c>
      <c r="U21" s="518">
        <v>4</v>
      </c>
      <c r="V21" s="518">
        <v>4</v>
      </c>
      <c r="W21" s="520">
        <v>2</v>
      </c>
      <c r="X21" s="233"/>
      <c r="Z21" s="233">
        <v>20</v>
      </c>
      <c r="AA21" s="233" t="s">
        <v>2202</v>
      </c>
      <c r="AB21" s="521" t="s">
        <v>772</v>
      </c>
      <c r="AC21" s="521" t="s">
        <v>2206</v>
      </c>
      <c r="AD21" s="233"/>
      <c r="AE21" s="519">
        <v>5</v>
      </c>
      <c r="AF21" s="523">
        <v>5</v>
      </c>
      <c r="AG21" s="518">
        <v>4</v>
      </c>
      <c r="AH21" s="522">
        <v>1</v>
      </c>
      <c r="AI21" s="522">
        <v>1</v>
      </c>
      <c r="AJ21" s="547" t="s">
        <v>2204</v>
      </c>
      <c r="AK21" s="548" t="s">
        <v>17</v>
      </c>
      <c r="AL21" s="368" t="s">
        <v>2194</v>
      </c>
      <c r="AM21" s="233" t="s">
        <v>646</v>
      </c>
      <c r="AN21" s="233"/>
      <c r="AO21" s="549" t="str">
        <f>IF(_xlfn.XLOOKUP(AB21,全装!G:G,全装!A:A,"",0,1)="Y","Y","")</f>
        <v>Y</v>
      </c>
      <c r="AP21" s="553"/>
      <c r="AY21" s="576"/>
      <c r="AZ21" s="576" t="str">
        <f>IF(_xlfn.XLOOKUP(BA21,全装!G:G,全装!A:A,"",0,1)="Y","Y","")</f>
        <v/>
      </c>
      <c r="BA21" s="98" t="s">
        <v>1392</v>
      </c>
      <c r="BB21" s="98" t="s">
        <v>1393</v>
      </c>
      <c r="BC21" s="581">
        <v>0</v>
      </c>
      <c r="BD21" s="567">
        <v>0</v>
      </c>
      <c r="BE21" s="567">
        <v>0</v>
      </c>
      <c r="BF21" s="567">
        <v>0</v>
      </c>
      <c r="BG21" s="567">
        <v>0</v>
      </c>
      <c r="BH21" s="596"/>
      <c r="BI21">
        <v>20</v>
      </c>
    </row>
    <row r="22" ht="14.25" spans="3:61">
      <c r="C22" s="233" t="str">
        <f>IF(_xlfn.XLOOKUP(E22,全装!G:G,全装!A:A,"",0,1)="Y","Y","")</f>
        <v>Y</v>
      </c>
      <c r="D22" s="233">
        <v>21</v>
      </c>
      <c r="E22" s="233" t="s">
        <v>1024</v>
      </c>
      <c r="F22" s="233" t="s">
        <v>2207</v>
      </c>
      <c r="G22" s="525">
        <v>2</v>
      </c>
      <c r="H22" s="518">
        <v>4</v>
      </c>
      <c r="I22" s="518">
        <v>4</v>
      </c>
      <c r="J22" s="524">
        <v>3</v>
      </c>
      <c r="K22" s="520">
        <v>2</v>
      </c>
      <c r="L22" s="233"/>
      <c r="M22" s="233"/>
      <c r="O22" s="533" t="str">
        <f>IF(_xlfn.XLOOKUP(Q22,全装!G:G,全装!A:A,"",0,1)="Y","Y","")</f>
        <v/>
      </c>
      <c r="P22" s="521">
        <v>21</v>
      </c>
      <c r="Q22" s="233" t="s">
        <v>1351</v>
      </c>
      <c r="R22" s="233" t="s">
        <v>1352</v>
      </c>
      <c r="S22" s="525">
        <v>2</v>
      </c>
      <c r="T22" s="518">
        <v>4</v>
      </c>
      <c r="U22" s="524">
        <v>3</v>
      </c>
      <c r="V22" s="524">
        <v>3</v>
      </c>
      <c r="W22" s="524">
        <v>3</v>
      </c>
      <c r="X22" s="233"/>
      <c r="Z22" s="233">
        <v>21</v>
      </c>
      <c r="AA22" s="233"/>
      <c r="AB22" s="232"/>
      <c r="AC22" s="543"/>
      <c r="AD22" s="233"/>
      <c r="AE22" s="233"/>
      <c r="AF22" s="233"/>
      <c r="AG22" s="233"/>
      <c r="AH22" s="233"/>
      <c r="AI22" s="233"/>
      <c r="AJ22" s="547"/>
      <c r="AK22" s="548"/>
      <c r="AL22" s="368"/>
      <c r="AM22" s="233"/>
      <c r="AN22" s="233"/>
      <c r="AO22" s="549" t="str">
        <f>IF(_xlfn.XLOOKUP(AB22,全装!G:G,全装!A:A,"",0,1)="Y","Y","")</f>
        <v/>
      </c>
      <c r="AP22" s="233"/>
      <c r="AR22" s="551" t="s">
        <v>2208</v>
      </c>
      <c r="AS22" s="552"/>
      <c r="AT22" s="552"/>
      <c r="AU22" s="552"/>
      <c r="AV22" s="552"/>
      <c r="AW22" s="569"/>
      <c r="AY22" s="576"/>
      <c r="AZ22" s="576" t="str">
        <f>IF(_xlfn.XLOOKUP(BA22,全装!G:G,全装!A:A,"",0,1)="Y","Y","")</f>
        <v/>
      </c>
      <c r="BA22" s="102" t="s">
        <v>1430</v>
      </c>
      <c r="BB22" s="102" t="s">
        <v>1431</v>
      </c>
      <c r="BC22" s="572">
        <v>1</v>
      </c>
      <c r="BD22" s="575">
        <v>1</v>
      </c>
      <c r="BE22" s="575">
        <v>1</v>
      </c>
      <c r="BF22" s="573">
        <v>5</v>
      </c>
      <c r="BG22" s="573">
        <v>5</v>
      </c>
      <c r="BH22" s="595"/>
      <c r="BI22">
        <v>21</v>
      </c>
    </row>
    <row r="23" spans="3:61">
      <c r="C23" s="233" t="str">
        <f>IF(_xlfn.XLOOKUP(E23,全装!G:G,全装!A:A,"",0,1)="Y","Y","")</f>
        <v>Y</v>
      </c>
      <c r="D23" s="233">
        <v>22</v>
      </c>
      <c r="E23" s="233" t="s">
        <v>1611</v>
      </c>
      <c r="F23" s="233" t="s">
        <v>1612</v>
      </c>
      <c r="G23" s="527">
        <v>4</v>
      </c>
      <c r="H23" s="524">
        <v>3</v>
      </c>
      <c r="I23" s="524">
        <v>3</v>
      </c>
      <c r="J23" s="520">
        <v>2</v>
      </c>
      <c r="K23" s="524">
        <v>3</v>
      </c>
      <c r="L23" s="233"/>
      <c r="M23" s="233"/>
      <c r="O23" s="533" t="str">
        <f>IF(_xlfn.XLOOKUP(Q23,全装!G:G,全装!A:A,"",0,1)="Y","Y","")</f>
        <v/>
      </c>
      <c r="P23" s="521">
        <v>22</v>
      </c>
      <c r="Q23" s="233" t="s">
        <v>1521</v>
      </c>
      <c r="R23" s="233" t="s">
        <v>1522</v>
      </c>
      <c r="S23" s="525">
        <v>2</v>
      </c>
      <c r="T23" s="524">
        <v>3</v>
      </c>
      <c r="U23" s="524">
        <v>3</v>
      </c>
      <c r="V23" s="524">
        <v>3</v>
      </c>
      <c r="W23" s="518">
        <v>4</v>
      </c>
      <c r="X23" s="233"/>
      <c r="Z23" s="233">
        <v>22</v>
      </c>
      <c r="AA23" s="233" t="s">
        <v>2209</v>
      </c>
      <c r="AB23" s="521" t="s">
        <v>786</v>
      </c>
      <c r="AC23" s="521" t="s">
        <v>2210</v>
      </c>
      <c r="AD23" s="233"/>
      <c r="AE23" s="517">
        <v>1</v>
      </c>
      <c r="AF23" s="523">
        <v>5</v>
      </c>
      <c r="AG23" s="522">
        <v>1</v>
      </c>
      <c r="AH23" s="523">
        <v>5</v>
      </c>
      <c r="AI23" s="524">
        <v>3</v>
      </c>
      <c r="AJ23" s="547" t="s">
        <v>2160</v>
      </c>
      <c r="AK23" s="548"/>
      <c r="AL23" s="368" t="s">
        <v>2194</v>
      </c>
      <c r="AM23" s="233" t="s">
        <v>654</v>
      </c>
      <c r="AN23" s="233"/>
      <c r="AO23" s="549" t="str">
        <f>IF(_xlfn.XLOOKUP(AB23,全装!G:G,全装!A:A,"",0,1)="Y","Y","")</f>
        <v>Y</v>
      </c>
      <c r="AP23" s="553"/>
      <c r="AR23" s="469" t="s">
        <v>1927</v>
      </c>
      <c r="AS23" s="470" t="s">
        <v>1935</v>
      </c>
      <c r="AT23" s="470" t="s">
        <v>1936</v>
      </c>
      <c r="AU23" s="555"/>
      <c r="AV23" s="467"/>
      <c r="AW23" s="504"/>
      <c r="AY23" s="570"/>
      <c r="AZ23" s="576" t="str">
        <f>IF(_xlfn.XLOOKUP(BA23,全装!G:G,全装!A:A,"",0,1)="Y","Y","")</f>
        <v/>
      </c>
      <c r="BA23" s="98" t="s">
        <v>1495</v>
      </c>
      <c r="BB23" s="98" t="s">
        <v>2091</v>
      </c>
      <c r="BC23" s="572">
        <v>1</v>
      </c>
      <c r="BD23" s="586">
        <v>4</v>
      </c>
      <c r="BE23" s="584">
        <v>2</v>
      </c>
      <c r="BF23" s="573">
        <v>5</v>
      </c>
      <c r="BG23" s="578">
        <v>3</v>
      </c>
      <c r="BH23" s="595"/>
      <c r="BI23">
        <v>22</v>
      </c>
    </row>
    <row r="24" ht="14.25" spans="3:61">
      <c r="C24" s="233" t="str">
        <f>IF(_xlfn.XLOOKUP(E24,全装!G:G,全装!A:A,"",0,1)="Y","Y","")</f>
        <v/>
      </c>
      <c r="D24" s="233">
        <v>23</v>
      </c>
      <c r="E24" s="233" t="s">
        <v>1779</v>
      </c>
      <c r="F24" s="233" t="s">
        <v>2211</v>
      </c>
      <c r="G24" s="517">
        <v>1</v>
      </c>
      <c r="H24" s="524">
        <v>3</v>
      </c>
      <c r="I24" s="520">
        <v>2</v>
      </c>
      <c r="J24" s="523">
        <v>5</v>
      </c>
      <c r="K24" s="518">
        <v>4</v>
      </c>
      <c r="L24" s="233"/>
      <c r="M24" s="233" t="s">
        <v>18</v>
      </c>
      <c r="O24" s="533" t="str">
        <f>IF(_xlfn.XLOOKUP(Q24,全装!G:G,全装!A:A,"",0,1)="Y","Y","")</f>
        <v>Y</v>
      </c>
      <c r="P24" s="521">
        <v>23</v>
      </c>
      <c r="Q24" s="233" t="s">
        <v>1492</v>
      </c>
      <c r="R24" s="233" t="s">
        <v>2212</v>
      </c>
      <c r="S24" s="525">
        <v>2</v>
      </c>
      <c r="T24" s="524">
        <v>3</v>
      </c>
      <c r="U24" s="524">
        <v>3</v>
      </c>
      <c r="V24" s="518">
        <v>4</v>
      </c>
      <c r="W24" s="520">
        <v>2</v>
      </c>
      <c r="X24" s="233"/>
      <c r="Z24" s="233">
        <v>23</v>
      </c>
      <c r="AA24" s="233" t="s">
        <v>2209</v>
      </c>
      <c r="AB24" s="521" t="s">
        <v>779</v>
      </c>
      <c r="AC24" s="521" t="s">
        <v>2213</v>
      </c>
      <c r="AD24" s="521"/>
      <c r="AE24" s="517">
        <v>1</v>
      </c>
      <c r="AF24" s="523">
        <v>5</v>
      </c>
      <c r="AG24" s="522">
        <v>1</v>
      </c>
      <c r="AH24" s="523">
        <v>5</v>
      </c>
      <c r="AI24" s="524">
        <v>3</v>
      </c>
      <c r="AJ24" s="547" t="s">
        <v>2160</v>
      </c>
      <c r="AK24" s="548"/>
      <c r="AL24" s="368" t="s">
        <v>2194</v>
      </c>
      <c r="AM24" s="233" t="s">
        <v>646</v>
      </c>
      <c r="AN24" s="233"/>
      <c r="AO24" s="549" t="str">
        <f>IF(_xlfn.XLOOKUP(AB24,全装!G:G,全装!A:A,"",0,1)="Y","Y","")</f>
        <v>Y</v>
      </c>
      <c r="AP24" s="553"/>
      <c r="AS24" s="559" t="s">
        <v>1939</v>
      </c>
      <c r="AT24" s="472">
        <v>50</v>
      </c>
      <c r="AW24" s="505"/>
      <c r="AY24" s="576" t="s">
        <v>2164</v>
      </c>
      <c r="AZ24" s="576" t="str">
        <f>IF(_xlfn.XLOOKUP(BA24,全装!G:G,全装!A:A,"",0,1)="Y","Y","")</f>
        <v>Y</v>
      </c>
      <c r="BA24" s="102" t="s">
        <v>1501</v>
      </c>
      <c r="BB24" s="102" t="s">
        <v>2092</v>
      </c>
      <c r="BC24" s="579">
        <v>3</v>
      </c>
      <c r="BD24" s="575">
        <v>1</v>
      </c>
      <c r="BE24" s="586">
        <v>4</v>
      </c>
      <c r="BF24" s="578">
        <v>3</v>
      </c>
      <c r="BG24" s="586">
        <v>4</v>
      </c>
      <c r="BH24" s="596"/>
      <c r="BI24">
        <v>23</v>
      </c>
    </row>
    <row r="25" spans="3:61">
      <c r="C25" s="233" t="str">
        <f>IF(_xlfn.XLOOKUP(E25,全装!G:G,全装!A:A,"",0,1)="Y","Y","")</f>
        <v/>
      </c>
      <c r="D25" s="233">
        <v>24</v>
      </c>
      <c r="E25" s="233" t="s">
        <v>1424</v>
      </c>
      <c r="F25" s="233" t="s">
        <v>2214</v>
      </c>
      <c r="G25" s="517">
        <v>1</v>
      </c>
      <c r="H25" s="524">
        <v>3</v>
      </c>
      <c r="I25" s="524">
        <v>3</v>
      </c>
      <c r="J25" s="518">
        <v>4</v>
      </c>
      <c r="K25" s="518">
        <v>4</v>
      </c>
      <c r="L25" s="233"/>
      <c r="M25" s="233"/>
      <c r="O25" s="533" t="str">
        <f>IF(_xlfn.XLOOKUP(Q25,全装!G:G,全装!A:A,"",0,1)="Y","Y","")</f>
        <v>Y</v>
      </c>
      <c r="P25" s="521">
        <v>24</v>
      </c>
      <c r="Q25" s="233" t="s">
        <v>1715</v>
      </c>
      <c r="R25" s="233" t="s">
        <v>2215</v>
      </c>
      <c r="S25" s="517">
        <v>1</v>
      </c>
      <c r="T25" s="518">
        <v>4</v>
      </c>
      <c r="U25" s="520">
        <v>2</v>
      </c>
      <c r="V25" s="523">
        <v>5</v>
      </c>
      <c r="W25" s="524">
        <v>3</v>
      </c>
      <c r="X25" s="233" t="s">
        <v>18</v>
      </c>
      <c r="Z25" s="233">
        <v>24</v>
      </c>
      <c r="AA25" s="233"/>
      <c r="AB25" s="232"/>
      <c r="AC25" s="543"/>
      <c r="AD25" s="521"/>
      <c r="AE25" s="233"/>
      <c r="AF25" s="233"/>
      <c r="AG25" s="233"/>
      <c r="AH25" s="233"/>
      <c r="AI25" s="233"/>
      <c r="AJ25" s="547"/>
      <c r="AK25" s="548"/>
      <c r="AL25" s="368"/>
      <c r="AM25" s="233"/>
      <c r="AN25" s="233"/>
      <c r="AO25" s="549" t="str">
        <f>IF(_xlfn.XLOOKUP(AB25,全装!G:G,全装!A:A,"",0,1)="Y","Y","")</f>
        <v/>
      </c>
      <c r="AP25" s="233"/>
      <c r="AS25" s="474" t="s">
        <v>15</v>
      </c>
      <c r="AT25" s="474" t="s">
        <v>16</v>
      </c>
      <c r="AU25" s="474" t="s">
        <v>17</v>
      </c>
      <c r="AV25" s="474" t="s">
        <v>18</v>
      </c>
      <c r="AW25" s="474" t="s">
        <v>19</v>
      </c>
      <c r="AY25" s="576"/>
      <c r="AZ25" s="576" t="str">
        <f>IF(_xlfn.XLOOKUP(BA25,全装!G:G,全装!A:A,"",0,1)="Y","Y","")</f>
        <v>Y</v>
      </c>
      <c r="BA25" s="102" t="s">
        <v>1516</v>
      </c>
      <c r="BB25" s="102" t="s">
        <v>2093</v>
      </c>
      <c r="BC25" s="579">
        <v>3</v>
      </c>
      <c r="BD25" s="578">
        <v>3</v>
      </c>
      <c r="BE25" s="578">
        <v>3</v>
      </c>
      <c r="BF25" s="578">
        <v>3</v>
      </c>
      <c r="BG25" s="578">
        <v>3</v>
      </c>
      <c r="BH25" s="595"/>
      <c r="BI25">
        <v>24</v>
      </c>
    </row>
    <row r="26" spans="3:61">
      <c r="C26" s="233" t="str">
        <f>IF(_xlfn.XLOOKUP(E26,全装!G:G,全装!A:A,"",0,1)="Y","Y","")</f>
        <v>Y</v>
      </c>
      <c r="D26" s="233">
        <v>25</v>
      </c>
      <c r="E26" s="233" t="s">
        <v>1594</v>
      </c>
      <c r="F26" s="233" t="s">
        <v>1595</v>
      </c>
      <c r="G26" s="527">
        <v>4</v>
      </c>
      <c r="H26" s="520">
        <v>2</v>
      </c>
      <c r="I26" s="524">
        <v>3</v>
      </c>
      <c r="J26" s="524">
        <v>3</v>
      </c>
      <c r="K26" s="524">
        <v>3</v>
      </c>
      <c r="L26" s="233"/>
      <c r="M26" s="233"/>
      <c r="O26" s="533" t="str">
        <f>IF(_xlfn.XLOOKUP(Q26,全装!G:G,全装!A:A,"",0,1)="Y","Y","")</f>
        <v>Y</v>
      </c>
      <c r="P26" s="521">
        <v>25</v>
      </c>
      <c r="Q26" s="233" t="s">
        <v>723</v>
      </c>
      <c r="R26" s="233" t="s">
        <v>2216</v>
      </c>
      <c r="S26" s="517">
        <v>1</v>
      </c>
      <c r="T26" s="522">
        <v>1</v>
      </c>
      <c r="U26" s="518">
        <v>4</v>
      </c>
      <c r="V26" s="518">
        <v>4</v>
      </c>
      <c r="W26" s="523">
        <v>5</v>
      </c>
      <c r="X26" s="233" t="s">
        <v>19</v>
      </c>
      <c r="Z26" s="233">
        <v>25</v>
      </c>
      <c r="AA26" s="233" t="s">
        <v>2217</v>
      </c>
      <c r="AB26" s="233" t="s">
        <v>794</v>
      </c>
      <c r="AC26" s="544" t="s">
        <v>795</v>
      </c>
      <c r="AD26" s="233"/>
      <c r="AE26" s="517">
        <v>1</v>
      </c>
      <c r="AF26" s="523">
        <v>5</v>
      </c>
      <c r="AG26" s="520">
        <v>2</v>
      </c>
      <c r="AH26" s="518">
        <v>4</v>
      </c>
      <c r="AI26" s="524">
        <v>3</v>
      </c>
      <c r="AJ26" s="547" t="s">
        <v>16</v>
      </c>
      <c r="AK26" s="548" t="s">
        <v>18</v>
      </c>
      <c r="AL26" s="368" t="s">
        <v>2194</v>
      </c>
      <c r="AM26" s="233" t="s">
        <v>654</v>
      </c>
      <c r="AN26" s="233"/>
      <c r="AO26" s="549" t="str">
        <f>IF(_xlfn.XLOOKUP(AB26,全装!G:G,全装!A:A,"",0,1)="Y","Y","")</f>
        <v>Y</v>
      </c>
      <c r="AP26" s="553"/>
      <c r="AR26" s="475" t="s">
        <v>1942</v>
      </c>
      <c r="AS26" s="476">
        <f>Combo_B_Calc_Base_Stat_W+((Combo_B_Calc_Level-1)*Cloth_B_Calc_Progress_Num_W)</f>
        <v>111</v>
      </c>
      <c r="AT26" s="476">
        <f>Combo_B_Calc_Base_Stat_A+((Combo_B_Calc_Level-1)*Cloth_B_Calc_Progress_Num_A)</f>
        <v>111</v>
      </c>
      <c r="AU26" s="476">
        <f>Combo_B_Calc_Base_Stat_I+((Combo_B_Calc_Level-1)*Cloth_B_Calc_Progress_Num_I)</f>
        <v>225</v>
      </c>
      <c r="AV26" s="476">
        <f>Combo_B_Calc_Base_Stat_F+((Combo_B_Calc_Level-1)*Cloth_B_Calc_Progress_Num_F)</f>
        <v>196.5</v>
      </c>
      <c r="AW26" s="476">
        <f>Combo_B_Calc_Base_Stat_U+((Combo_B_Calc_Level-1)*Cloth_B_Calc_Progress_Num_U)</f>
        <v>196.5</v>
      </c>
      <c r="AY26" s="582">
        <v>1</v>
      </c>
      <c r="AZ26" s="571" t="str">
        <f>IF(_xlfn.XLOOKUP(BA26,全装!G:G,全装!A:A,"",0,1)="Y","Y","")</f>
        <v>Y</v>
      </c>
      <c r="BA26" s="102" t="s">
        <v>1637</v>
      </c>
      <c r="BB26" s="102" t="s">
        <v>2094</v>
      </c>
      <c r="BC26" s="585">
        <v>5</v>
      </c>
      <c r="BD26" s="575">
        <v>1</v>
      </c>
      <c r="BE26" s="575">
        <v>1</v>
      </c>
      <c r="BF26" s="573">
        <v>5</v>
      </c>
      <c r="BG26" s="578">
        <v>3</v>
      </c>
      <c r="BH26" s="596" t="s">
        <v>2218</v>
      </c>
      <c r="BI26">
        <v>25</v>
      </c>
    </row>
    <row r="27" spans="3:61">
      <c r="C27" s="233" t="str">
        <f>IF(_xlfn.XLOOKUP(E27,全装!G:G,全装!A:A,"",0,1)="Y","Y","")</f>
        <v>Y</v>
      </c>
      <c r="D27" s="233">
        <v>26</v>
      </c>
      <c r="E27" s="233" t="s">
        <v>684</v>
      </c>
      <c r="F27" s="233" t="s">
        <v>2219</v>
      </c>
      <c r="G27" s="517">
        <v>1</v>
      </c>
      <c r="H27" s="518">
        <v>4</v>
      </c>
      <c r="I27" s="520">
        <v>2</v>
      </c>
      <c r="J27" s="518">
        <v>4</v>
      </c>
      <c r="K27" s="518">
        <v>4</v>
      </c>
      <c r="L27" s="233"/>
      <c r="M27" s="233"/>
      <c r="O27" s="533" t="str">
        <f>IF(_xlfn.XLOOKUP(Q27,全装!G:G,全装!A:A,"",0,1)="Y","Y","")</f>
        <v/>
      </c>
      <c r="P27" s="521">
        <v>26</v>
      </c>
      <c r="Q27" s="233" t="s">
        <v>1820</v>
      </c>
      <c r="R27" s="233" t="s">
        <v>2220</v>
      </c>
      <c r="S27" s="527">
        <v>4</v>
      </c>
      <c r="T27" s="524">
        <v>3</v>
      </c>
      <c r="U27" s="520">
        <v>2</v>
      </c>
      <c r="V27" s="524">
        <v>3</v>
      </c>
      <c r="W27" s="524">
        <v>3</v>
      </c>
      <c r="X27" s="233"/>
      <c r="Z27" s="233">
        <v>26</v>
      </c>
      <c r="AA27" s="233" t="s">
        <v>2217</v>
      </c>
      <c r="AB27" s="233" t="s">
        <v>802</v>
      </c>
      <c r="AC27" s="544" t="s">
        <v>803</v>
      </c>
      <c r="AD27" s="521"/>
      <c r="AE27" s="517">
        <v>1</v>
      </c>
      <c r="AF27" s="523">
        <v>5</v>
      </c>
      <c r="AG27" s="520">
        <v>2</v>
      </c>
      <c r="AH27" s="518">
        <v>4</v>
      </c>
      <c r="AI27" s="524">
        <v>3</v>
      </c>
      <c r="AJ27" s="547" t="s">
        <v>16</v>
      </c>
      <c r="AK27" s="548" t="s">
        <v>18</v>
      </c>
      <c r="AL27" s="368" t="s">
        <v>2194</v>
      </c>
      <c r="AM27" s="233" t="s">
        <v>646</v>
      </c>
      <c r="AN27" s="233"/>
      <c r="AO27" s="549" t="str">
        <f>IF(_xlfn.XLOOKUP(AB27,全装!G:G,全装!A:A,"",0,1)="Y","Y","")</f>
        <v/>
      </c>
      <c r="AP27" s="553"/>
      <c r="AR27" s="477"/>
      <c r="AS27" s="275"/>
      <c r="AT27" s="275"/>
      <c r="AU27" s="275"/>
      <c r="AV27" s="275"/>
      <c r="AW27" s="506"/>
      <c r="AY27" s="576"/>
      <c r="AZ27" s="576" t="str">
        <f>IF(_xlfn.XLOOKUP(BA27,全装!G:G,全装!A:A,"",0,1)="Y","Y","")</f>
        <v>Y</v>
      </c>
      <c r="BA27" s="102" t="s">
        <v>1650</v>
      </c>
      <c r="BB27" s="102" t="s">
        <v>1651</v>
      </c>
      <c r="BC27" s="572">
        <v>1</v>
      </c>
      <c r="BD27" s="578">
        <v>3</v>
      </c>
      <c r="BE27" s="584">
        <v>2</v>
      </c>
      <c r="BF27" s="573">
        <v>5</v>
      </c>
      <c r="BG27" s="586">
        <v>4</v>
      </c>
      <c r="BH27" s="595" t="s">
        <v>18</v>
      </c>
      <c r="BI27">
        <v>26</v>
      </c>
    </row>
    <row r="28" spans="3:61">
      <c r="C28" s="233" t="str">
        <f>IF(_xlfn.XLOOKUP(E28,全装!G:G,全装!A:A,"",0,1)="Y","Y","")</f>
        <v>Y</v>
      </c>
      <c r="D28" s="233">
        <v>27</v>
      </c>
      <c r="E28" s="233" t="s">
        <v>749</v>
      </c>
      <c r="F28" s="233" t="s">
        <v>2221</v>
      </c>
      <c r="G28" s="517">
        <v>1</v>
      </c>
      <c r="H28" s="522">
        <v>1</v>
      </c>
      <c r="I28" s="524">
        <v>3</v>
      </c>
      <c r="J28" s="523">
        <v>5</v>
      </c>
      <c r="K28" s="523">
        <v>5</v>
      </c>
      <c r="L28" s="233"/>
      <c r="M28" s="233" t="s">
        <v>2193</v>
      </c>
      <c r="O28" s="533" t="str">
        <f>IF(_xlfn.XLOOKUP(Q28,全装!G:G,全装!A:A,"",0,1)="Y","Y","")</f>
        <v>Y</v>
      </c>
      <c r="P28" s="521">
        <v>27</v>
      </c>
      <c r="Q28" s="233" t="s">
        <v>708</v>
      </c>
      <c r="R28" s="233" t="s">
        <v>709</v>
      </c>
      <c r="S28" s="517">
        <v>1</v>
      </c>
      <c r="T28" s="522">
        <v>1</v>
      </c>
      <c r="U28" s="518">
        <v>4</v>
      </c>
      <c r="V28" s="523">
        <v>5</v>
      </c>
      <c r="W28" s="518">
        <v>4</v>
      </c>
      <c r="X28" s="233" t="s">
        <v>18</v>
      </c>
      <c r="Z28" s="233">
        <v>27</v>
      </c>
      <c r="AA28" s="233"/>
      <c r="AB28" s="232"/>
      <c r="AC28" s="543"/>
      <c r="AD28" s="521"/>
      <c r="AE28" s="233"/>
      <c r="AF28" s="233"/>
      <c r="AG28" s="233"/>
      <c r="AH28" s="233"/>
      <c r="AI28" s="233"/>
      <c r="AJ28" s="547"/>
      <c r="AK28" s="548"/>
      <c r="AL28" s="368"/>
      <c r="AM28" s="233"/>
      <c r="AN28" s="233"/>
      <c r="AO28" s="549" t="str">
        <f>IF(_xlfn.XLOOKUP(AB28,全装!G:G,全装!A:A,"",0,1)="Y","Y","")</f>
        <v/>
      </c>
      <c r="AP28" s="233"/>
      <c r="AR28" s="475" t="s">
        <v>1944</v>
      </c>
      <c r="AS28" s="478">
        <f>VLOOKUP(Combo_B_Calc_Name,Combos!Cloth_B_Calc_Base_Stat_List,2)</f>
        <v>1</v>
      </c>
      <c r="AT28" s="479">
        <f>VLOOKUP(Combo_B_Calc_Name,Combos!Cloth_B_Calc_Base_Stat_List,3)</f>
        <v>1</v>
      </c>
      <c r="AU28" s="480">
        <f>VLOOKUP(Combo_B_Calc_Name,Combos!Cloth_B_Calc_Base_Stat_List,4)</f>
        <v>5</v>
      </c>
      <c r="AV28" s="480">
        <f>VLOOKUP(Combo_B_Calc_Name,Combos!Cloth_B_Calc_Base_Stat_List,5)</f>
        <v>4</v>
      </c>
      <c r="AW28" s="507">
        <f>VLOOKUP(Combo_B_Calc_Name,Combos!Cloth_B_Calc_Base_Stat_List,6)</f>
        <v>4</v>
      </c>
      <c r="AY28" s="576"/>
      <c r="AZ28" s="576" t="str">
        <f>IF(_xlfn.XLOOKUP(BA28,全装!G:G,全装!A:A,"",0,1)="Y","Y","")</f>
        <v/>
      </c>
      <c r="BA28" s="102" t="s">
        <v>2095</v>
      </c>
      <c r="BB28" s="102" t="s">
        <v>2096</v>
      </c>
      <c r="BC28" s="587">
        <v>0</v>
      </c>
      <c r="BD28" s="588">
        <v>0</v>
      </c>
      <c r="BE28" s="588">
        <v>0</v>
      </c>
      <c r="BF28" s="588">
        <v>0</v>
      </c>
      <c r="BG28" s="588">
        <v>0</v>
      </c>
      <c r="BH28" s="595"/>
      <c r="BI28">
        <v>27</v>
      </c>
    </row>
    <row r="29" spans="3:61">
      <c r="C29" s="233" t="str">
        <f>IF(_xlfn.XLOOKUP(E29,全装!G:G,全装!A:A,"",0,1)="Y","Y","")</f>
        <v>Y</v>
      </c>
      <c r="D29" s="233">
        <v>28</v>
      </c>
      <c r="E29" s="233" t="s">
        <v>1669</v>
      </c>
      <c r="F29" s="233" t="s">
        <v>1669</v>
      </c>
      <c r="G29" s="519">
        <v>5</v>
      </c>
      <c r="H29" s="522">
        <v>1</v>
      </c>
      <c r="I29" s="520">
        <v>2</v>
      </c>
      <c r="J29" s="518">
        <v>4</v>
      </c>
      <c r="K29" s="524">
        <v>3</v>
      </c>
      <c r="L29" s="233"/>
      <c r="M29" s="233" t="s">
        <v>15</v>
      </c>
      <c r="O29" s="533" t="str">
        <f>IF(_xlfn.XLOOKUP(Q29,全装!G:G,全装!A:A,"",0,1)="Y","Y","")</f>
        <v/>
      </c>
      <c r="P29" s="521">
        <v>28</v>
      </c>
      <c r="Q29" s="521" t="s">
        <v>731</v>
      </c>
      <c r="R29" s="521" t="s">
        <v>2222</v>
      </c>
      <c r="S29" s="517">
        <v>1</v>
      </c>
      <c r="T29" s="522">
        <v>1</v>
      </c>
      <c r="U29" s="523">
        <v>5</v>
      </c>
      <c r="V29" s="518">
        <v>4</v>
      </c>
      <c r="W29" s="518">
        <v>4</v>
      </c>
      <c r="X29" s="233" t="s">
        <v>17</v>
      </c>
      <c r="Z29" s="233">
        <v>28</v>
      </c>
      <c r="AA29" s="233" t="s">
        <v>2223</v>
      </c>
      <c r="AB29" s="233" t="s">
        <v>817</v>
      </c>
      <c r="AC29" s="544" t="s">
        <v>818</v>
      </c>
      <c r="AD29" s="233"/>
      <c r="AE29" s="517">
        <v>1</v>
      </c>
      <c r="AF29" s="523">
        <v>5</v>
      </c>
      <c r="AG29" s="520">
        <v>2</v>
      </c>
      <c r="AH29" s="518">
        <v>4</v>
      </c>
      <c r="AI29" s="524">
        <v>3</v>
      </c>
      <c r="AJ29" s="547" t="s">
        <v>16</v>
      </c>
      <c r="AK29" s="548" t="s">
        <v>18</v>
      </c>
      <c r="AL29" s="368" t="s">
        <v>2194</v>
      </c>
      <c r="AM29" s="233" t="s">
        <v>654</v>
      </c>
      <c r="AN29" s="233"/>
      <c r="AO29" s="549" t="str">
        <f>IF(_xlfn.XLOOKUP(AB29,全装!G:G,全装!A:A,"",0,1)="Y","Y","")</f>
        <v>Y</v>
      </c>
      <c r="AP29" s="553"/>
      <c r="AR29" s="475" t="s">
        <v>1945</v>
      </c>
      <c r="AS29" s="481">
        <f>IF(Combo_B_Calc_Tier_W=1,2,IF(Combo_B_Calc_Tier_W=2,2.5,IF(Combo_B_Calc_Tier_W=3,3,IF(Combo_B_Calc_Tier_W=4,3.5,IF(Combo_B_Calc_Tier_W=5,4,"error6")))))</f>
        <v>2</v>
      </c>
      <c r="AT29" s="482">
        <f>IF(Combo_B_Calc_Tier_A=1,2,IF(Combo_B_Calc_Tier_A=2,2.5,IF(Combo_B_Calc_Tier_A=3,3,IF(Combo_B_Calc_Tier_A=4,3.5,IF(Combo_B_Calc_Tier_A=5,4,"error6")))))</f>
        <v>2</v>
      </c>
      <c r="AU29" s="483">
        <f>IF(Combo_B_Calc_Tier_I=1,2,IF(Combo_B_Calc_Tier_I=2,2.5,IF(Combo_B_Calc_Tier_I=3,3,IF(Combo_B_Calc_Tier_I=4,3.5,IF(Combo_B_Calc_Tier_I=5,4,"error6")))))</f>
        <v>4</v>
      </c>
      <c r="AV29" s="483">
        <f>IF(Combo_B_Calc_Tier_F=1,2,IF(Combo_B_Calc_Tier_F=2,2.5,IF(Combo_B_Calc_Tier_F=3,3,IF(Combo_B_Calc_Tier_F=4,3.5,IF(Combo_B_Calc_Tier_F=5,4,"error6")))))</f>
        <v>3.5</v>
      </c>
      <c r="AW29" s="508">
        <f>IF(Combo_B_Calc_Tier_U=1,2,IF(Combo_B_Calc_Tier_U=2,2.5,IF(Combo_B_Calc_Tier_U=3,3,IF(Combo_B_Calc_Tier_U=4,3.5,IF(Combo_B_Calc_Tier_U=5,4,"error6")))))</f>
        <v>3.5</v>
      </c>
      <c r="AY29" s="576"/>
      <c r="AZ29" s="576" t="str">
        <f>IF(_xlfn.XLOOKUP(BA29,全装!G:G,全装!A:A,"",0,1)="Y","Y","")</f>
        <v/>
      </c>
      <c r="BA29" s="98" t="s">
        <v>1658</v>
      </c>
      <c r="BB29" s="98" t="s">
        <v>2097</v>
      </c>
      <c r="BC29" s="585">
        <v>5</v>
      </c>
      <c r="BD29" s="586">
        <v>4</v>
      </c>
      <c r="BE29" s="573">
        <v>5</v>
      </c>
      <c r="BF29" s="575">
        <v>1</v>
      </c>
      <c r="BG29" s="575">
        <v>1</v>
      </c>
      <c r="BH29" s="596"/>
      <c r="BI29">
        <v>28</v>
      </c>
    </row>
    <row r="30" spans="3:61">
      <c r="C30" s="233" t="str">
        <f>IF(_xlfn.XLOOKUP(E30,全装!G:G,全装!A:A,"",0,1)="Y","Y","")</f>
        <v/>
      </c>
      <c r="D30" s="233">
        <v>29</v>
      </c>
      <c r="E30" s="528" t="s">
        <v>2224</v>
      </c>
      <c r="F30" s="529" t="s">
        <v>2225</v>
      </c>
      <c r="G30" s="448">
        <v>0</v>
      </c>
      <c r="H30" s="449">
        <v>0</v>
      </c>
      <c r="I30" s="449">
        <v>0</v>
      </c>
      <c r="J30" s="449">
        <v>0</v>
      </c>
      <c r="K30" s="449">
        <v>0</v>
      </c>
      <c r="L30" s="233"/>
      <c r="M30" s="233"/>
      <c r="O30" s="533" t="str">
        <f>IF(_xlfn.XLOOKUP(Q30,全装!G:G,全装!A:A,"",0,1)="Y","Y","")</f>
        <v>Y</v>
      </c>
      <c r="P30" s="521">
        <v>29</v>
      </c>
      <c r="Q30" s="521" t="s">
        <v>867</v>
      </c>
      <c r="R30" s="521" t="s">
        <v>2226</v>
      </c>
      <c r="S30" s="519">
        <v>5</v>
      </c>
      <c r="T30" s="518">
        <v>4</v>
      </c>
      <c r="U30" s="523">
        <v>5</v>
      </c>
      <c r="V30" s="522">
        <v>1</v>
      </c>
      <c r="W30" s="522">
        <v>1</v>
      </c>
      <c r="X30" s="233" t="s">
        <v>2187</v>
      </c>
      <c r="Z30" s="233">
        <v>29</v>
      </c>
      <c r="AA30" s="233" t="s">
        <v>2223</v>
      </c>
      <c r="AB30" s="233" t="s">
        <v>810</v>
      </c>
      <c r="AC30" s="544" t="s">
        <v>811</v>
      </c>
      <c r="AD30" s="233"/>
      <c r="AE30" s="517">
        <v>1</v>
      </c>
      <c r="AF30" s="523">
        <v>5</v>
      </c>
      <c r="AG30" s="524">
        <v>3</v>
      </c>
      <c r="AH30" s="518">
        <v>4</v>
      </c>
      <c r="AI30" s="520">
        <v>2</v>
      </c>
      <c r="AJ30" s="547" t="s">
        <v>16</v>
      </c>
      <c r="AK30" s="548" t="s">
        <v>18</v>
      </c>
      <c r="AL30" s="368" t="s">
        <v>2194</v>
      </c>
      <c r="AM30" s="233" t="s">
        <v>646</v>
      </c>
      <c r="AN30" s="233"/>
      <c r="AO30" s="549" t="str">
        <f>IF(_xlfn.XLOOKUP(AB30,全装!G:G,全装!A:A,"",0,1)="Y","Y","")</f>
        <v>Y</v>
      </c>
      <c r="AP30" s="553"/>
      <c r="AR30" s="475" t="s">
        <v>1947</v>
      </c>
      <c r="AS30" s="484">
        <f>IF(Combo_B_Calc_Rarity="common",(IF(Combo_B_Calc_Tier_W=1,8,IF(Combo_B_Calc_Tier_W=2,9,IF(Combo_B_Calc_Tier_W=3,12,IF(Combo_B_Calc_Tier_W=4,13,IF(Combo_B_Calc_Tier_W=5,15)))))),IF(Combo_B_Calc_Rarity="rare",(IF(Combo_B_Calc_Tier_W=1,9,IF(Combo_B_Calc_Tier_W=2,12,IF(Combo_B_Calc_Tier_W=3,15,IF(Combo_B_Calc_Tier_W=4,18,IF(Combo_B_Calc_Tier_W=5,22)))))),IF(Combo_B_Calc_Rarity="epic",(IF(Combo_B_Calc_Tier_W=1,13,IF(Combo_B_Calc_Tier_W=2,17,IF(Combo_B_Calc_Tier_W=3,21,IF(Combo_B_Calc_Tier_W=4,25,IF(Combo_B_Calc_Tier_W=5,29)))))),IF(Combo_B_Calc_Rarity="legendary",(IF(Combo_B_Calc_Tier_W=1,18,IF(Combo_B_Calc_Tier_W=2,23,IF(Combo_B_Calc_Tier_W=3,28,IF(Combo_B_Calc_Tier_W=4,33,IF(Combo_B_Calc_Tier_W=5,39)))))),Error))))</f>
        <v>13</v>
      </c>
      <c r="AT30" s="485">
        <f>IF(Combo_B_Calc_Rarity="common",(IF(Combo_B_Calc_Tier_A=1,8,IF(Combo_B_Calc_Tier_A=2,9,IF(Combo_B_Calc_Tier_A=3,12,IF(Combo_B_Calc_Tier_A=4,13,IF(Combo_B_Calc_Tier_A=5,15)))))),IF(Combo_B_Calc_Rarity="rare",(IF(Combo_B_Calc_Tier_A=1,9,IF(Combo_B_Calc_Tier_A=2,12,IF(Combo_B_Calc_Tier_A=3,15,IF(Combo_B_Calc_Tier_A=4,18,IF(Combo_B_Calc_Tier_A=5,22)))))),IF(Combo_B_Calc_Rarity="epic",(IF(Combo_B_Calc_Tier_A=1,13,IF(Combo_B_Calc_Tier_A=2,17,IF(Combo_B_Calc_Tier_A=3,21,IF(Combo_B_Calc_Tier_A=4,25,IF(Combo_B_Calc_Tier_A=5,29)))))),IF(Combo_B_Calc_Rarity="legendary",(IF(Combo_B_Calc_Tier_A=1,18,IF(Combo_B_Calc_Tier_A=2,23,IF(Combo_B_Calc_Tier_A=3,28,IF(Combo_B_Calc_Tier_A=4,33,IF(Combo_B_Calc_Tier_A=5,39)))))),Error))))</f>
        <v>13</v>
      </c>
      <c r="AU30" s="486">
        <f>IF(Combo_B_Calc_Rarity="common",(IF(Combo_B_Calc_Tier_I=1,8,IF(Combo_B_Calc_Tier_I=2,9,IF(Combo_B_Calc_Tier_I=3,12,IF(Combo_B_Calc_Tier_I=4,13,IF(Combo_B_Calc_Tier_I=5,15)))))),IF(Combo_B_Calc_Rarity="rare",(IF(Combo_B_Calc_Tier_I=1,9,IF(Combo_B_Calc_Tier_I=2,12,IF(Combo_B_Calc_Tier_I=3,15,IF(Combo_B_Calc_Tier_I=4,18,IF(Combo_B_Calc_Tier_I=5,22)))))),IF(Combo_B_Calc_Rarity="epic",(IF(Combo_B_Calc_Tier_I=1,13,IF(Combo_B_Calc_Tier_I=2,17,IF(Combo_B_Calc_Tier_I=3,21,IF(Combo_B_Calc_Tier_I=4,25,IF(Combo_B_Calc_Tier_I=5,29)))))),IF(Combo_B_Calc_Rarity="legendary",(IF(Combo_B_Calc_Tier_I=1,18,IF(Combo_B_Calc_Tier_I=2,23,IF(Combo_B_Calc_Tier_I=3,28,IF(Combo_B_Calc_Tier_I=4,33,IF(Combo_B_Calc_Tier_I=5,39)))))),Error))))</f>
        <v>29</v>
      </c>
      <c r="AV30" s="486">
        <f>IF(Combo_B_Calc_Rarity="common",(IF(Combo_B_Calc_Tier_F=1,8,IF(Combo_B_Calc_Tier_F=2,9,IF(Combo_B_Calc_Tier_F=3,12,IF(Combo_B_Calc_Tier_F=4,13,IF(Combo_B_Calc_Tier_F=5,15)))))),IF(Combo_B_Calc_Rarity="rare",(IF(Combo_B_Calc_Tier_F=1,9,IF(Combo_B_Calc_Tier_F=2,12,IF(Combo_B_Calc_Tier_F=3,15,IF(Combo_B_Calc_Tier_F=4,18,IF(Combo_B_Calc_Tier_F=5,22)))))),IF(Combo_B_Calc_Rarity="epic",(IF(Combo_B_Calc_Tier_F=1,13,IF(Combo_B_Calc_Tier_F=2,17,IF(Combo_B_Calc_Tier_F=3,21,IF(Combo_B_Calc_Tier_F=4,25,IF(Combo_B_Calc_Tier_F=5,29)))))),IF(Combo_B_Calc_Rarity="legendary",(IF(Combo_B_Calc_Tier_F=1,18,IF(Combo_B_Calc_Tier_F=2,23,IF(Combo_B_Calc_Tier_F=3,28,IF(Combo_B_Calc_Tier_F=4,33,IF(Combo_B_Calc_Tier_F=5,39)))))),Error))))</f>
        <v>25</v>
      </c>
      <c r="AW30" s="507">
        <f>IF(Combo_B_Calc_Rarity="common",(IF(Combo_B_Calc_Tier_U=1,8,IF(Combo_B_Calc_Tier_U=2,9,IF(Combo_B_Calc_Tier_U=3,12,IF(Combo_B_Calc_Tier_U=4,13,IF(Combo_B_Calc_Tier_U=5,15)))))),IF(Combo_B_Calc_Rarity="rare",(IF(Combo_B_Calc_Tier_U=1,9,IF(Combo_B_Calc_Tier_U=2,12,IF(Combo_B_Calc_Tier_U=3,15,IF(Combo_B_Calc_Tier_U=4,18,IF(Combo_B_Calc_Tier_U=5,22)))))),IF(Combo_B_Calc_Rarity="epic",(IF(Combo_B_Calc_Tier_U=1,13,IF(Combo_B_Calc_Tier_U=2,17,IF(Combo_B_Calc_Tier_U=3,21,IF(Combo_B_Calc_Tier_U=4,25,IF(Combo_B_Calc_Tier_U=5,29)))))),IF(Combo_B_Calc_Rarity="legendary",(IF(Combo_B_Calc_Tier_U=1,18,IF(Combo_B_Calc_Tier_U=2,23,IF(Combo_B_Calc_Tier_U=3,28,IF(Combo_B_Calc_Tier_U=4,33,IF(Combo_B_Calc_Tier_U=5,39)))))),Error))))</f>
        <v>25</v>
      </c>
      <c r="AY30" s="576"/>
      <c r="AZ30" s="576" t="str">
        <f>IF(_xlfn.XLOOKUP(BA30,全装!G:G,全装!A:A,"",0,1)="Y","Y","")</f>
        <v/>
      </c>
      <c r="BA30" s="102" t="s">
        <v>2098</v>
      </c>
      <c r="BB30" s="102" t="s">
        <v>2099</v>
      </c>
      <c r="BC30" s="587">
        <v>0</v>
      </c>
      <c r="BD30" s="588">
        <v>0</v>
      </c>
      <c r="BE30" s="588">
        <v>0</v>
      </c>
      <c r="BF30" s="588">
        <v>0</v>
      </c>
      <c r="BG30" s="588">
        <v>0</v>
      </c>
      <c r="BH30" s="595"/>
      <c r="BI30">
        <v>29</v>
      </c>
    </row>
    <row r="31" spans="3:61">
      <c r="C31" s="233" t="str">
        <f>IF(_xlfn.XLOOKUP(E31,全装!G:G,全装!A:A,"",0,1)="Y","Y","")</f>
        <v>Y</v>
      </c>
      <c r="D31" s="233">
        <v>30</v>
      </c>
      <c r="E31" s="233" t="s">
        <v>1132</v>
      </c>
      <c r="F31" s="233" t="s">
        <v>2227</v>
      </c>
      <c r="G31" s="526">
        <v>3</v>
      </c>
      <c r="H31" s="520">
        <v>2</v>
      </c>
      <c r="I31" s="518">
        <v>4</v>
      </c>
      <c r="J31" s="524">
        <v>3</v>
      </c>
      <c r="K31" s="524">
        <v>3</v>
      </c>
      <c r="L31" s="233"/>
      <c r="M31" s="233"/>
      <c r="O31" s="533" t="str">
        <f>IF(_xlfn.XLOOKUP(Q31,全装!G:G,全装!A:A,"",0,1)="Y","Y","")</f>
        <v>Y</v>
      </c>
      <c r="P31" s="521">
        <v>30</v>
      </c>
      <c r="Q31" s="521" t="s">
        <v>896</v>
      </c>
      <c r="R31" s="521" t="s">
        <v>2228</v>
      </c>
      <c r="S31" s="517">
        <v>1</v>
      </c>
      <c r="T31" s="522">
        <v>1</v>
      </c>
      <c r="U31" s="522">
        <v>1</v>
      </c>
      <c r="V31" s="523">
        <v>5</v>
      </c>
      <c r="W31" s="523">
        <v>5</v>
      </c>
      <c r="X31" s="233" t="s">
        <v>2193</v>
      </c>
      <c r="Z31" s="233">
        <v>30</v>
      </c>
      <c r="AA31" s="233"/>
      <c r="AB31" s="232"/>
      <c r="AC31" s="543"/>
      <c r="AD31" s="233"/>
      <c r="AE31" s="233"/>
      <c r="AF31" s="233"/>
      <c r="AG31" s="233"/>
      <c r="AH31" s="233"/>
      <c r="AI31" s="233"/>
      <c r="AJ31" s="547"/>
      <c r="AK31" s="548"/>
      <c r="AL31" s="368"/>
      <c r="AM31" s="233"/>
      <c r="AN31" s="233"/>
      <c r="AO31" s="549" t="str">
        <f>IF(_xlfn.XLOOKUP(AB31,全装!G:G,全装!A:A,"",0,1)="Y","Y","")</f>
        <v/>
      </c>
      <c r="AP31" s="233"/>
      <c r="AY31" s="582"/>
      <c r="AZ31" s="576" t="str">
        <f>IF(_xlfn.XLOOKUP(BA31,全装!G:G,全装!A:A,"",0,1)="Y","Y","")</f>
        <v>Y</v>
      </c>
      <c r="BA31" s="102" t="s">
        <v>1663</v>
      </c>
      <c r="BB31" s="102" t="s">
        <v>2229</v>
      </c>
      <c r="BC31" s="583">
        <v>4</v>
      </c>
      <c r="BD31" s="575">
        <v>1</v>
      </c>
      <c r="BE31" s="578">
        <v>3</v>
      </c>
      <c r="BF31" s="586">
        <v>4</v>
      </c>
      <c r="BG31" s="578">
        <v>3</v>
      </c>
      <c r="BH31" s="596"/>
      <c r="BI31">
        <v>30</v>
      </c>
    </row>
    <row r="32" ht="14.25" spans="3:61">
      <c r="C32" s="233" t="str">
        <f>IF(_xlfn.XLOOKUP(E32,全装!G:G,全装!A:A,"",0,1)="Y","Y","")</f>
        <v>Y</v>
      </c>
      <c r="D32" s="233">
        <v>31</v>
      </c>
      <c r="E32" s="521" t="s">
        <v>739</v>
      </c>
      <c r="F32" s="521" t="s">
        <v>2230</v>
      </c>
      <c r="G32" s="517">
        <v>1</v>
      </c>
      <c r="H32" s="522">
        <v>1</v>
      </c>
      <c r="I32" s="523">
        <v>5</v>
      </c>
      <c r="J32" s="518">
        <v>4</v>
      </c>
      <c r="K32" s="518">
        <v>4</v>
      </c>
      <c r="L32" s="233"/>
      <c r="M32" s="233" t="s">
        <v>17</v>
      </c>
      <c r="O32" s="533" t="str">
        <f>IF(_xlfn.XLOOKUP(Q32,全装!G:G,全装!A:A,"",0,1)="Y","Y","")</f>
        <v>Y</v>
      </c>
      <c r="P32" s="521">
        <v>31</v>
      </c>
      <c r="Q32" s="233" t="s">
        <v>1529</v>
      </c>
      <c r="R32" s="233" t="s">
        <v>1533</v>
      </c>
      <c r="S32" s="527">
        <v>4</v>
      </c>
      <c r="T32" s="518">
        <v>4</v>
      </c>
      <c r="U32" s="524">
        <v>3</v>
      </c>
      <c r="V32" s="520">
        <v>2</v>
      </c>
      <c r="W32" s="520">
        <v>2</v>
      </c>
      <c r="X32" s="233"/>
      <c r="Z32" s="233">
        <v>31</v>
      </c>
      <c r="AA32" s="132" t="s">
        <v>2231</v>
      </c>
      <c r="AB32" s="521" t="s">
        <v>739</v>
      </c>
      <c r="AC32" s="521" t="s">
        <v>2137</v>
      </c>
      <c r="AD32" s="233"/>
      <c r="AE32" s="517">
        <v>1</v>
      </c>
      <c r="AF32" s="522">
        <v>1</v>
      </c>
      <c r="AG32" s="523">
        <v>5</v>
      </c>
      <c r="AH32" s="518">
        <v>4</v>
      </c>
      <c r="AI32" s="518">
        <v>4</v>
      </c>
      <c r="AJ32" s="547" t="s">
        <v>17</v>
      </c>
      <c r="AK32" s="548"/>
      <c r="AL32" s="368" t="s">
        <v>2157</v>
      </c>
      <c r="AM32" s="233" t="s">
        <v>654</v>
      </c>
      <c r="AN32" s="233"/>
      <c r="AO32" s="549" t="str">
        <f>IF(_xlfn.XLOOKUP(AB32,全装!G:G,全装!A:A,"",0,1)="Y","Y","")</f>
        <v>Y</v>
      </c>
      <c r="AP32" s="554"/>
      <c r="AR32" s="560" t="s">
        <v>739</v>
      </c>
      <c r="AS32" s="352" t="s">
        <v>2232</v>
      </c>
      <c r="AT32" s="561"/>
      <c r="AU32" s="561"/>
      <c r="AV32" s="561"/>
      <c r="AW32" s="277"/>
      <c r="AY32" s="576"/>
      <c r="AZ32" s="576" t="str">
        <f>IF(_xlfn.XLOOKUP(BA32,全装!G:G,全装!A:A,"",0,1)="Y","Y","")</f>
        <v/>
      </c>
      <c r="BA32" s="98" t="s">
        <v>1675</v>
      </c>
      <c r="BB32" s="98" t="s">
        <v>1676</v>
      </c>
      <c r="BC32" s="590">
        <v>0</v>
      </c>
      <c r="BD32" s="591">
        <v>0</v>
      </c>
      <c r="BE32" s="591">
        <v>0</v>
      </c>
      <c r="BF32" s="591">
        <v>0</v>
      </c>
      <c r="BG32" s="591">
        <v>0</v>
      </c>
      <c r="BH32" s="595"/>
      <c r="BI32">
        <v>31</v>
      </c>
    </row>
    <row r="33" spans="3:61">
      <c r="C33" s="233" t="str">
        <f>IF(_xlfn.XLOOKUP(E33,全装!G:G,全装!A:A,"",0,1)="Y","Y","")</f>
        <v>Y</v>
      </c>
      <c r="D33" s="233">
        <v>32</v>
      </c>
      <c r="E33" s="233" t="s">
        <v>1277</v>
      </c>
      <c r="F33" s="233" t="s">
        <v>1281</v>
      </c>
      <c r="G33" s="525">
        <v>2</v>
      </c>
      <c r="H33" s="518">
        <v>4</v>
      </c>
      <c r="I33" s="524">
        <v>3</v>
      </c>
      <c r="J33" s="518">
        <v>4</v>
      </c>
      <c r="K33" s="520">
        <v>2</v>
      </c>
      <c r="L33" s="233"/>
      <c r="M33" s="233"/>
      <c r="O33" s="533" t="str">
        <f>IF(_xlfn.XLOOKUP(Q33,全装!G:G,全装!A:A,"",0,1)="Y","Y","")</f>
        <v>Y</v>
      </c>
      <c r="P33" s="521">
        <v>32</v>
      </c>
      <c r="Q33" s="521" t="s">
        <v>1876</v>
      </c>
      <c r="R33" s="521" t="s">
        <v>1879</v>
      </c>
      <c r="S33" s="527">
        <v>4</v>
      </c>
      <c r="T33" s="524">
        <v>3</v>
      </c>
      <c r="U33" s="522">
        <v>1</v>
      </c>
      <c r="V33" s="524">
        <v>3</v>
      </c>
      <c r="W33" s="518">
        <v>4</v>
      </c>
      <c r="X33" s="233"/>
      <c r="Z33" s="233">
        <v>32</v>
      </c>
      <c r="AA33" s="132" t="s">
        <v>2231</v>
      </c>
      <c r="AB33" s="521" t="s">
        <v>731</v>
      </c>
      <c r="AC33" s="521" t="s">
        <v>2222</v>
      </c>
      <c r="AD33" s="233"/>
      <c r="AE33" s="517">
        <v>1</v>
      </c>
      <c r="AF33" s="522">
        <v>1</v>
      </c>
      <c r="AG33" s="523">
        <v>5</v>
      </c>
      <c r="AH33" s="518">
        <v>4</v>
      </c>
      <c r="AI33" s="518">
        <v>4</v>
      </c>
      <c r="AJ33" s="547" t="s">
        <v>17</v>
      </c>
      <c r="AK33" s="548"/>
      <c r="AL33" s="368" t="s">
        <v>2157</v>
      </c>
      <c r="AM33" s="233" t="s">
        <v>646</v>
      </c>
      <c r="AN33" s="233"/>
      <c r="AO33" s="549" t="str">
        <f>IF(_xlfn.XLOOKUP(AB33,全装!G:G,全装!A:A,"",0,1)="Y","Y","")</f>
        <v/>
      </c>
      <c r="AP33" s="554"/>
      <c r="AR33" s="473" t="str">
        <f>_xlfn.XLOOKUP(AR32,全装!G:G,全装!H:H,"",0,1)</f>
        <v>霓虹灯光（上装）</v>
      </c>
      <c r="AS33" s="562" t="s">
        <v>2233</v>
      </c>
      <c r="AT33" s="562"/>
      <c r="AU33" s="562"/>
      <c r="AV33" s="562"/>
      <c r="AW33" s="562"/>
      <c r="AY33" s="576"/>
      <c r="AZ33" s="576" t="str">
        <f>IF(_xlfn.XLOOKUP(BA33,全装!G:G,全装!A:A,"",0,1)="Y","Y","")</f>
        <v>Y</v>
      </c>
      <c r="BA33" s="102" t="s">
        <v>1679</v>
      </c>
      <c r="BB33" s="102" t="s">
        <v>2101</v>
      </c>
      <c r="BC33" s="583">
        <v>4</v>
      </c>
      <c r="BD33" s="584">
        <v>2</v>
      </c>
      <c r="BE33" s="578">
        <v>3</v>
      </c>
      <c r="BF33" s="586">
        <v>4</v>
      </c>
      <c r="BG33" s="584">
        <v>2</v>
      </c>
      <c r="BH33" s="596" t="s">
        <v>2234</v>
      </c>
      <c r="BI33">
        <v>32</v>
      </c>
    </row>
    <row r="34" ht="14.25" spans="3:61">
      <c r="C34" s="233" t="str">
        <f>IF(_xlfn.XLOOKUP(E34,全装!G:G,全装!A:A,"",0,1)="Y","Y","")</f>
        <v>Y</v>
      </c>
      <c r="D34" s="233">
        <v>33</v>
      </c>
      <c r="E34" s="521" t="s">
        <v>766</v>
      </c>
      <c r="F34" s="521" t="s">
        <v>2235</v>
      </c>
      <c r="G34" s="519">
        <v>5</v>
      </c>
      <c r="H34" s="523">
        <v>5</v>
      </c>
      <c r="I34" s="518">
        <v>4</v>
      </c>
      <c r="J34" s="522">
        <v>1</v>
      </c>
      <c r="K34" s="522">
        <v>1</v>
      </c>
      <c r="L34" s="233"/>
      <c r="M34" s="233" t="s">
        <v>2204</v>
      </c>
      <c r="O34" s="533" t="str">
        <f>IF(_xlfn.XLOOKUP(Q34,全装!G:G,全装!A:A,"",0,1)="Y","Y","")</f>
        <v>Y</v>
      </c>
      <c r="P34" s="521">
        <v>33</v>
      </c>
      <c r="Q34" s="233" t="s">
        <v>1764</v>
      </c>
      <c r="R34" s="233" t="s">
        <v>2236</v>
      </c>
      <c r="S34" s="525">
        <v>2</v>
      </c>
      <c r="T34" s="524">
        <v>3</v>
      </c>
      <c r="U34" s="520">
        <v>2</v>
      </c>
      <c r="V34" s="518">
        <v>4</v>
      </c>
      <c r="W34" s="518">
        <v>4</v>
      </c>
      <c r="X34" s="233"/>
      <c r="Z34" s="233">
        <v>33</v>
      </c>
      <c r="AA34" s="233"/>
      <c r="AB34" s="232"/>
      <c r="AC34" s="543"/>
      <c r="AD34" s="233"/>
      <c r="AE34" s="233"/>
      <c r="AF34" s="233"/>
      <c r="AG34" s="233"/>
      <c r="AH34" s="233"/>
      <c r="AI34" s="233"/>
      <c r="AJ34" s="547"/>
      <c r="AK34" s="548"/>
      <c r="AL34" s="368"/>
      <c r="AM34" s="233"/>
      <c r="AN34" s="233"/>
      <c r="AO34" s="549" t="str">
        <f>IF(_xlfn.XLOOKUP(AB34,全装!G:G,全装!A:A,"",0,1)="Y","Y","")</f>
        <v/>
      </c>
      <c r="AP34" s="233"/>
      <c r="AR34" s="563" t="s">
        <v>731</v>
      </c>
      <c r="AS34" s="474" t="s">
        <v>15</v>
      </c>
      <c r="AT34" s="474" t="s">
        <v>16</v>
      </c>
      <c r="AU34" s="474" t="s">
        <v>17</v>
      </c>
      <c r="AV34" s="474" t="s">
        <v>18</v>
      </c>
      <c r="AW34" s="474" t="s">
        <v>19</v>
      </c>
      <c r="AY34" s="576"/>
      <c r="AZ34" s="576" t="str">
        <f>IF(_xlfn.XLOOKUP(BA34,全装!G:G,全装!A:A,"",0,1)="Y","Y","")</f>
        <v>Y</v>
      </c>
      <c r="BA34" s="102" t="s">
        <v>1689</v>
      </c>
      <c r="BB34" s="102" t="s">
        <v>1690</v>
      </c>
      <c r="BC34" s="579">
        <v>3</v>
      </c>
      <c r="BD34" s="578">
        <v>3</v>
      </c>
      <c r="BE34" s="578">
        <v>3</v>
      </c>
      <c r="BF34" s="578">
        <v>3</v>
      </c>
      <c r="BG34" s="578">
        <v>3</v>
      </c>
      <c r="BH34" s="595"/>
      <c r="BI34">
        <v>33</v>
      </c>
    </row>
    <row r="35" spans="3:61">
      <c r="C35" s="233" t="str">
        <f>IF(_xlfn.XLOOKUP(E35,全装!G:G,全装!A:A,"",0,1)="Y","Y","")</f>
        <v>Y</v>
      </c>
      <c r="D35" s="233">
        <v>34</v>
      </c>
      <c r="E35" s="521" t="s">
        <v>874</v>
      </c>
      <c r="F35" s="521" t="s">
        <v>2237</v>
      </c>
      <c r="G35" s="519">
        <v>5</v>
      </c>
      <c r="H35" s="518">
        <v>4</v>
      </c>
      <c r="I35" s="523">
        <v>5</v>
      </c>
      <c r="J35" s="522">
        <v>1</v>
      </c>
      <c r="K35" s="522">
        <v>1</v>
      </c>
      <c r="L35" s="233"/>
      <c r="M35" s="233" t="s">
        <v>2187</v>
      </c>
      <c r="O35" s="533" t="str">
        <f>IF(_xlfn.XLOOKUP(Q35,全装!G:G,全装!A:A,"",0,1)="Y","Y","")</f>
        <v>Y</v>
      </c>
      <c r="P35" s="521">
        <v>34</v>
      </c>
      <c r="Q35" s="233" t="s">
        <v>810</v>
      </c>
      <c r="R35" s="233" t="s">
        <v>811</v>
      </c>
      <c r="S35" s="517">
        <v>1</v>
      </c>
      <c r="T35" s="523">
        <v>5</v>
      </c>
      <c r="U35" s="524">
        <v>3</v>
      </c>
      <c r="V35" s="518">
        <v>4</v>
      </c>
      <c r="W35" s="520">
        <v>2</v>
      </c>
      <c r="X35" s="233" t="s">
        <v>16</v>
      </c>
      <c r="Z35" s="233">
        <v>34</v>
      </c>
      <c r="AA35" s="233" t="s">
        <v>2238</v>
      </c>
      <c r="AB35" s="233" t="s">
        <v>2131</v>
      </c>
      <c r="AC35" s="544" t="s">
        <v>2239</v>
      </c>
      <c r="AD35" s="233"/>
      <c r="AE35" s="517">
        <v>1</v>
      </c>
      <c r="AF35" s="524">
        <v>3</v>
      </c>
      <c r="AG35" s="520">
        <v>2</v>
      </c>
      <c r="AH35" s="523">
        <v>5</v>
      </c>
      <c r="AI35" s="518">
        <v>4</v>
      </c>
      <c r="AJ35" s="547" t="s">
        <v>18</v>
      </c>
      <c r="AK35" s="548" t="s">
        <v>19</v>
      </c>
      <c r="AL35" s="368" t="s">
        <v>2194</v>
      </c>
      <c r="AM35" s="233" t="s">
        <v>654</v>
      </c>
      <c r="AN35" s="233"/>
      <c r="AO35" s="549" t="str">
        <f>IF(_xlfn.XLOOKUP(AB35,全装!G:G,全装!A:A,"",0,1)="Y","Y","")</f>
        <v/>
      </c>
      <c r="AP35" s="233"/>
      <c r="AR35" s="473" t="str">
        <f>_xlfn.XLOOKUP(AR34,全装!G:G,全装!H:H,"",0,1)</f>
        <v>霓虹灯光（下装）</v>
      </c>
      <c r="AS35" s="564">
        <f t="shared" ref="AS35:AW35" si="0">AS16+AS26</f>
        <v>222</v>
      </c>
      <c r="AT35" s="564">
        <f t="shared" si="0"/>
        <v>222</v>
      </c>
      <c r="AU35" s="564">
        <f t="shared" si="0"/>
        <v>450</v>
      </c>
      <c r="AV35" s="564">
        <f t="shared" si="0"/>
        <v>393</v>
      </c>
      <c r="AW35" s="564">
        <f t="shared" si="0"/>
        <v>393</v>
      </c>
      <c r="AY35" s="576"/>
      <c r="AZ35" s="576" t="str">
        <f>IF(_xlfn.XLOOKUP(BA35,全装!G:G,全装!A:A,"",0,1)="Y","Y","")</f>
        <v>Y</v>
      </c>
      <c r="BA35" s="102" t="s">
        <v>1727</v>
      </c>
      <c r="BB35" s="102" t="s">
        <v>2102</v>
      </c>
      <c r="BC35" s="577">
        <v>2</v>
      </c>
      <c r="BD35" s="586">
        <v>4</v>
      </c>
      <c r="BE35" s="578">
        <v>3</v>
      </c>
      <c r="BF35" s="584">
        <v>2</v>
      </c>
      <c r="BG35" s="586">
        <v>4</v>
      </c>
      <c r="BH35" s="596"/>
      <c r="BI35">
        <v>34</v>
      </c>
    </row>
    <row r="36" spans="3:61">
      <c r="C36" s="233" t="str">
        <f>IF(_xlfn.XLOOKUP(E36,全装!G:G,全装!A:A,"",0,1)="Y","Y","")</f>
        <v/>
      </c>
      <c r="D36" s="233">
        <v>35</v>
      </c>
      <c r="E36" s="521" t="s">
        <v>904</v>
      </c>
      <c r="F36" s="521" t="s">
        <v>2143</v>
      </c>
      <c r="G36" s="517">
        <v>1</v>
      </c>
      <c r="H36" s="522">
        <v>1</v>
      </c>
      <c r="I36" s="522">
        <v>1</v>
      </c>
      <c r="J36" s="523">
        <v>5</v>
      </c>
      <c r="K36" s="523">
        <v>5</v>
      </c>
      <c r="L36" s="233"/>
      <c r="M36" s="233" t="s">
        <v>2193</v>
      </c>
      <c r="O36" s="533" t="str">
        <f>IF(_xlfn.XLOOKUP(Q36,全装!G:G,全装!A:A,"",0,1)="Y","Y","")</f>
        <v>Y</v>
      </c>
      <c r="P36" s="521">
        <v>35</v>
      </c>
      <c r="Q36" s="521" t="s">
        <v>1814</v>
      </c>
      <c r="R36" s="521" t="s">
        <v>2240</v>
      </c>
      <c r="S36" s="527">
        <v>4</v>
      </c>
      <c r="T36" s="524">
        <v>3</v>
      </c>
      <c r="U36" s="520">
        <v>2</v>
      </c>
      <c r="V36" s="524">
        <v>3</v>
      </c>
      <c r="W36" s="524">
        <v>3</v>
      </c>
      <c r="X36" s="233"/>
      <c r="Z36" s="233">
        <v>35</v>
      </c>
      <c r="AA36" s="233" t="s">
        <v>2238</v>
      </c>
      <c r="AB36" s="233" t="s">
        <v>2133</v>
      </c>
      <c r="AC36" s="544" t="s">
        <v>2134</v>
      </c>
      <c r="AD36" s="233"/>
      <c r="AE36" s="517">
        <v>1</v>
      </c>
      <c r="AF36" s="524">
        <v>3</v>
      </c>
      <c r="AG36" s="520">
        <v>2</v>
      </c>
      <c r="AH36" s="523">
        <v>5</v>
      </c>
      <c r="AI36" s="518">
        <v>4</v>
      </c>
      <c r="AJ36" s="547" t="s">
        <v>18</v>
      </c>
      <c r="AK36" s="548" t="s">
        <v>19</v>
      </c>
      <c r="AL36" s="368" t="s">
        <v>2194</v>
      </c>
      <c r="AM36" s="233" t="s">
        <v>646</v>
      </c>
      <c r="AN36" s="233"/>
      <c r="AO36" s="549" t="str">
        <f>IF(_xlfn.XLOOKUP(AB36,全装!G:G,全装!A:A,"",0,1)="Y","Y","")</f>
        <v/>
      </c>
      <c r="AP36" s="233"/>
      <c r="AY36" s="574">
        <v>1</v>
      </c>
      <c r="AZ36" s="580" t="str">
        <f>IF(_xlfn.XLOOKUP(BA36,全装!G:G,全装!A:A,"",0,1)="Y","Y","")</f>
        <v>Y</v>
      </c>
      <c r="BA36" s="102" t="s">
        <v>1731</v>
      </c>
      <c r="BB36" s="102" t="s">
        <v>2103</v>
      </c>
      <c r="BC36" s="572">
        <v>1</v>
      </c>
      <c r="BD36" s="584">
        <v>2</v>
      </c>
      <c r="BE36" s="586">
        <v>4</v>
      </c>
      <c r="BF36" s="586">
        <v>4</v>
      </c>
      <c r="BG36" s="586">
        <v>4</v>
      </c>
      <c r="BH36" s="596"/>
      <c r="BI36">
        <v>35</v>
      </c>
    </row>
    <row r="37" spans="3:61">
      <c r="C37" s="233" t="str">
        <f>IF(_xlfn.XLOOKUP(E37,全装!G:G,全装!A:A,"",0,1)="Y","Y","")</f>
        <v>Y</v>
      </c>
      <c r="D37" s="233">
        <v>36</v>
      </c>
      <c r="E37" s="521" t="s">
        <v>1871</v>
      </c>
      <c r="F37" s="521" t="s">
        <v>2241</v>
      </c>
      <c r="G37" s="527">
        <v>4</v>
      </c>
      <c r="H37" s="524">
        <v>3</v>
      </c>
      <c r="I37" s="522">
        <v>1</v>
      </c>
      <c r="J37" s="524">
        <v>3</v>
      </c>
      <c r="K37" s="518">
        <v>4</v>
      </c>
      <c r="L37" s="233"/>
      <c r="M37" s="233"/>
      <c r="O37" s="533" t="str">
        <f>IF(_xlfn.XLOOKUP(Q37,全装!G:G,全装!A:A,"",0,1)="Y","Y","")</f>
        <v>Y</v>
      </c>
      <c r="P37" s="521">
        <v>36</v>
      </c>
      <c r="Q37" s="521" t="s">
        <v>881</v>
      </c>
      <c r="R37" s="521" t="s">
        <v>2242</v>
      </c>
      <c r="S37" s="517">
        <v>1</v>
      </c>
      <c r="T37" s="523">
        <v>5</v>
      </c>
      <c r="U37" s="522">
        <v>1</v>
      </c>
      <c r="V37" s="523">
        <v>5</v>
      </c>
      <c r="W37" s="524">
        <v>3</v>
      </c>
      <c r="X37" s="233" t="s">
        <v>2160</v>
      </c>
      <c r="Z37" s="233">
        <v>36</v>
      </c>
      <c r="AA37" s="233"/>
      <c r="AB37" s="232"/>
      <c r="AC37" s="543"/>
      <c r="AD37" s="233"/>
      <c r="AE37" s="233"/>
      <c r="AF37" s="233"/>
      <c r="AG37" s="233"/>
      <c r="AH37" s="233"/>
      <c r="AI37" s="233"/>
      <c r="AJ37" s="547"/>
      <c r="AK37" s="548"/>
      <c r="AL37" s="368"/>
      <c r="AM37" s="233"/>
      <c r="AN37" s="233"/>
      <c r="AO37" s="549" t="str">
        <f>IF(_xlfn.XLOOKUP(AB37,全装!G:G,全装!A:A,"",0,1)="Y","Y","")</f>
        <v/>
      </c>
      <c r="AP37" s="233"/>
      <c r="AR37" s="565" t="s">
        <v>2243</v>
      </c>
      <c r="AS37" s="566">
        <f>AS40-AS35</f>
        <v>0</v>
      </c>
      <c r="AT37" s="566">
        <f>AT40-AT35</f>
        <v>114</v>
      </c>
      <c r="AU37" s="566">
        <f>AU40-AU35</f>
        <v>0</v>
      </c>
      <c r="AV37" s="566">
        <f>AV40-AV35</f>
        <v>0</v>
      </c>
      <c r="AW37" s="566">
        <f>AW40-AW35</f>
        <v>-114</v>
      </c>
      <c r="AY37" s="574">
        <v>1</v>
      </c>
      <c r="AZ37" s="580" t="str">
        <f>IF(_xlfn.XLOOKUP(BA37,全装!G:G,全装!A:A,"",0,1)="Y","Y","")</f>
        <v>Y</v>
      </c>
      <c r="BA37" s="102" t="s">
        <v>1736</v>
      </c>
      <c r="BB37" s="102" t="s">
        <v>2104</v>
      </c>
      <c r="BC37" s="572">
        <v>1</v>
      </c>
      <c r="BD37" s="584">
        <v>2</v>
      </c>
      <c r="BE37" s="586">
        <v>4</v>
      </c>
      <c r="BF37" s="586">
        <v>4</v>
      </c>
      <c r="BG37" s="586">
        <v>4</v>
      </c>
      <c r="BH37" s="597"/>
      <c r="BI37">
        <v>36</v>
      </c>
    </row>
    <row r="38" spans="3:61">
      <c r="C38" s="233" t="str">
        <f>IF(_xlfn.XLOOKUP(E38,全装!G:G,全装!A:A,"",0,1)="Y","Y","")</f>
        <v>Y</v>
      </c>
      <c r="D38" s="233">
        <v>37</v>
      </c>
      <c r="E38" s="233" t="s">
        <v>1817</v>
      </c>
      <c r="F38" s="233" t="s">
        <v>1818</v>
      </c>
      <c r="G38" s="527">
        <v>4</v>
      </c>
      <c r="H38" s="524">
        <v>3</v>
      </c>
      <c r="I38" s="520">
        <v>2</v>
      </c>
      <c r="J38" s="524">
        <v>3</v>
      </c>
      <c r="K38" s="524">
        <v>3</v>
      </c>
      <c r="L38" s="233"/>
      <c r="M38" s="233"/>
      <c r="O38" s="533" t="str">
        <f>IF(_xlfn.XLOOKUP(Q38,全装!G:G,全装!A:A,"",0,1)="Y","Y","")</f>
        <v/>
      </c>
      <c r="P38" s="521">
        <v>37</v>
      </c>
      <c r="Q38" s="233" t="s">
        <v>1506</v>
      </c>
      <c r="R38" s="233" t="s">
        <v>1507</v>
      </c>
      <c r="S38" s="525">
        <v>2</v>
      </c>
      <c r="T38" s="524">
        <v>3</v>
      </c>
      <c r="U38" s="524">
        <v>3</v>
      </c>
      <c r="V38" s="524">
        <v>3</v>
      </c>
      <c r="W38" s="518">
        <v>4</v>
      </c>
      <c r="X38" s="233"/>
      <c r="Z38" s="233">
        <v>37</v>
      </c>
      <c r="AA38" s="233">
        <v>12</v>
      </c>
      <c r="AB38" s="521" t="s">
        <v>845</v>
      </c>
      <c r="AC38" s="521" t="s">
        <v>2244</v>
      </c>
      <c r="AD38" s="233"/>
      <c r="AE38" s="526">
        <v>3</v>
      </c>
      <c r="AF38" s="524">
        <v>3</v>
      </c>
      <c r="AG38" s="524">
        <v>3</v>
      </c>
      <c r="AH38" s="524">
        <v>3</v>
      </c>
      <c r="AI38" s="524">
        <v>3</v>
      </c>
      <c r="AJ38" s="547"/>
      <c r="AK38" s="548"/>
      <c r="AL38" s="368" t="s">
        <v>2245</v>
      </c>
      <c r="AM38" s="233"/>
      <c r="AN38" s="233"/>
      <c r="AO38" s="549" t="str">
        <f>IF(_xlfn.XLOOKUP(AB38,全装!G:G,全装!A:A,"",0,1)="Y","Y","")</f>
        <v/>
      </c>
      <c r="AP38" s="233"/>
      <c r="AS38" s="561" t="s">
        <v>914</v>
      </c>
      <c r="AT38" s="561"/>
      <c r="AU38" s="561"/>
      <c r="AV38" s="561"/>
      <c r="AW38" s="561"/>
      <c r="AY38" s="570"/>
      <c r="AZ38" s="580" t="str">
        <f>IF(_xlfn.XLOOKUP(BA38,全装!G:G,全装!A:A,"",0,1)="Y","Y","")</f>
        <v/>
      </c>
      <c r="BA38" s="98" t="s">
        <v>1755</v>
      </c>
      <c r="BB38" s="98" t="s">
        <v>1756</v>
      </c>
      <c r="BC38" s="572">
        <v>1</v>
      </c>
      <c r="BD38" s="573">
        <v>5</v>
      </c>
      <c r="BE38" s="584">
        <v>2</v>
      </c>
      <c r="BF38" s="586">
        <v>4</v>
      </c>
      <c r="BG38" s="578">
        <v>3</v>
      </c>
      <c r="BH38" s="595"/>
      <c r="BI38">
        <v>37</v>
      </c>
    </row>
    <row r="39" ht="14.25" spans="3:61">
      <c r="C39" s="233" t="str">
        <f>IF(_xlfn.XLOOKUP(E39,全装!G:G,全装!A:A,"",0,1)="Y","Y","")</f>
        <v>Y</v>
      </c>
      <c r="D39" s="233">
        <v>38</v>
      </c>
      <c r="E39" s="233" t="s">
        <v>1330</v>
      </c>
      <c r="F39" s="233" t="s">
        <v>1334</v>
      </c>
      <c r="G39" s="525">
        <v>2</v>
      </c>
      <c r="H39" s="518">
        <v>4</v>
      </c>
      <c r="I39" s="524">
        <v>3</v>
      </c>
      <c r="J39" s="524">
        <v>3</v>
      </c>
      <c r="K39" s="524">
        <v>3</v>
      </c>
      <c r="L39" s="233"/>
      <c r="M39" s="233"/>
      <c r="O39" s="533" t="str">
        <f>IF(_xlfn.XLOOKUP(Q39,全装!G:G,全装!A:A,"",0,1)="Y","Y","")</f>
        <v/>
      </c>
      <c r="P39" s="521">
        <v>38</v>
      </c>
      <c r="Q39" s="233" t="s">
        <v>1300</v>
      </c>
      <c r="R39" s="233" t="s">
        <v>1301</v>
      </c>
      <c r="S39" s="517">
        <v>1</v>
      </c>
      <c r="T39" s="518">
        <v>4</v>
      </c>
      <c r="U39" s="524">
        <v>3</v>
      </c>
      <c r="V39" s="518">
        <v>4</v>
      </c>
      <c r="W39" s="524">
        <v>3</v>
      </c>
      <c r="X39" s="233"/>
      <c r="Z39" s="233">
        <v>38</v>
      </c>
      <c r="AA39" s="233">
        <v>12</v>
      </c>
      <c r="AB39" s="521" t="s">
        <v>839</v>
      </c>
      <c r="AC39" s="521" t="s">
        <v>2246</v>
      </c>
      <c r="AD39" s="521"/>
      <c r="AE39" s="526">
        <v>3</v>
      </c>
      <c r="AF39" s="524">
        <v>3</v>
      </c>
      <c r="AG39" s="524">
        <v>3</v>
      </c>
      <c r="AH39" s="524">
        <v>3</v>
      </c>
      <c r="AI39" s="524">
        <v>3</v>
      </c>
      <c r="AJ39" s="547"/>
      <c r="AK39" s="548"/>
      <c r="AL39" s="368" t="s">
        <v>2245</v>
      </c>
      <c r="AM39" s="233"/>
      <c r="AN39" s="233"/>
      <c r="AO39" s="549" t="str">
        <f>IF(_xlfn.XLOOKUP(AB39,全装!G:G,全装!A:A,"",0,1)="Y","Y","")</f>
        <v>Y</v>
      </c>
      <c r="AP39" s="233"/>
      <c r="AR39" s="567" t="s">
        <v>1113</v>
      </c>
      <c r="AS39" s="474" t="s">
        <v>15</v>
      </c>
      <c r="AT39" s="474" t="s">
        <v>16</v>
      </c>
      <c r="AU39" s="474" t="s">
        <v>17</v>
      </c>
      <c r="AV39" s="474" t="s">
        <v>18</v>
      </c>
      <c r="AW39" s="474" t="s">
        <v>19</v>
      </c>
      <c r="AY39" s="570"/>
      <c r="AZ39" s="576" t="str">
        <f>IF(_xlfn.XLOOKUP(BA39,全装!G:G,全装!A:A,"",0,1)="Y","Y","")</f>
        <v>Y</v>
      </c>
      <c r="BA39" s="102" t="s">
        <v>1769</v>
      </c>
      <c r="BB39" s="102" t="s">
        <v>2105</v>
      </c>
      <c r="BC39" s="572">
        <v>1</v>
      </c>
      <c r="BD39" s="586">
        <v>4</v>
      </c>
      <c r="BE39" s="584">
        <v>2</v>
      </c>
      <c r="BF39" s="573">
        <v>5</v>
      </c>
      <c r="BG39" s="578">
        <v>3</v>
      </c>
      <c r="BH39" s="596" t="s">
        <v>18</v>
      </c>
      <c r="BI39">
        <v>38</v>
      </c>
    </row>
    <row r="40" spans="3:61">
      <c r="C40" s="233" t="str">
        <f>IF(_xlfn.XLOOKUP(E40,全装!G:G,全装!A:A,"",0,1)="Y","Y","")</f>
        <v/>
      </c>
      <c r="D40" s="233">
        <v>39</v>
      </c>
      <c r="E40" s="521" t="s">
        <v>888</v>
      </c>
      <c r="F40" s="521" t="s">
        <v>2247</v>
      </c>
      <c r="G40" s="517">
        <v>1</v>
      </c>
      <c r="H40" s="523">
        <v>5</v>
      </c>
      <c r="I40" s="522">
        <v>1</v>
      </c>
      <c r="J40" s="523">
        <v>5</v>
      </c>
      <c r="K40" s="524">
        <v>3</v>
      </c>
      <c r="L40" s="233"/>
      <c r="M40" s="233" t="s">
        <v>2160</v>
      </c>
      <c r="O40" s="533" t="str">
        <f>IF(_xlfn.XLOOKUP(Q40,全装!G:G,全装!A:A,"",0,1)="Y","Y","")</f>
        <v>Y</v>
      </c>
      <c r="P40" s="521">
        <v>39</v>
      </c>
      <c r="Q40" s="233" t="s">
        <v>1254</v>
      </c>
      <c r="R40" s="233" t="s">
        <v>2248</v>
      </c>
      <c r="S40" s="517">
        <v>1</v>
      </c>
      <c r="T40" s="518">
        <v>4</v>
      </c>
      <c r="U40" s="524">
        <v>3</v>
      </c>
      <c r="V40" s="518">
        <v>4</v>
      </c>
      <c r="W40" s="524">
        <v>3</v>
      </c>
      <c r="X40" s="233"/>
      <c r="Z40" s="233">
        <v>39</v>
      </c>
      <c r="AA40" s="233"/>
      <c r="AB40" s="232"/>
      <c r="AC40" s="543"/>
      <c r="AD40" s="521"/>
      <c r="AE40" s="233"/>
      <c r="AF40" s="233"/>
      <c r="AG40" s="233"/>
      <c r="AH40" s="233"/>
      <c r="AI40" s="233"/>
      <c r="AJ40" s="547"/>
      <c r="AK40" s="548"/>
      <c r="AL40" s="368"/>
      <c r="AM40" s="233"/>
      <c r="AN40" s="233"/>
      <c r="AO40" s="549" t="str">
        <f>IF(_xlfn.XLOOKUP(AB40,全装!G:G,全装!A:A,"",0,1)="Y","Y","")</f>
        <v/>
      </c>
      <c r="AP40" s="233"/>
      <c r="AR40" s="473" t="str">
        <f>_xlfn.XLOOKUP(AR39,全装!G:G,全装!H:H,"",0,1)</f>
        <v>克洛伊的套装</v>
      </c>
      <c r="AS40" s="564">
        <f>Combo_D_Calc_Base_Stat_W+((Combo_D_Calc_Level-1)*Combo_D_Calc_Progress_Num_W)</f>
        <v>222</v>
      </c>
      <c r="AT40" s="564">
        <f>Combo_D_Calc_Base_Stat_A+((Combo_D_Calc_Level-1)*Combo_D_Calc_Progress_Num_A)</f>
        <v>336</v>
      </c>
      <c r="AU40" s="564">
        <f>Combo_D_Calc_Base_Stat_I+((Combo_D_Calc_Level-1)*Combo_D_Calc_Progress_Num_I)</f>
        <v>450</v>
      </c>
      <c r="AV40" s="564">
        <f>Combo_D_Calc_Base_Stat_F+((Combo_D_Calc_Level-1)*Combo_D_Calc_Progress_Num_F)</f>
        <v>393</v>
      </c>
      <c r="AW40" s="564">
        <f>Combo_D_Calc_Base_Stat_U+((Combo_D_Calc_Level-1)*Combo_D_Calc_Progress_Num_U)</f>
        <v>279</v>
      </c>
      <c r="AY40" s="576"/>
      <c r="AZ40" s="576" t="str">
        <f>IF(_xlfn.XLOOKUP(BA40,全装!G:G,全装!A:A,"",0,1)="Y","Y","")</f>
        <v>Y</v>
      </c>
      <c r="BA40" s="102" t="s">
        <v>1799</v>
      </c>
      <c r="BB40" s="102" t="s">
        <v>2106</v>
      </c>
      <c r="BC40" s="572">
        <v>1</v>
      </c>
      <c r="BD40" s="578">
        <v>3</v>
      </c>
      <c r="BE40" s="578">
        <v>3</v>
      </c>
      <c r="BF40" s="586">
        <v>4</v>
      </c>
      <c r="BG40" s="586">
        <v>4</v>
      </c>
      <c r="BH40" s="596"/>
      <c r="BI40">
        <v>39</v>
      </c>
    </row>
    <row r="41" spans="3:61">
      <c r="C41" s="233" t="str">
        <f>IF(_xlfn.XLOOKUP(E41,全装!G:G,全装!A:A,"",0,1)="Y","Y","")</f>
        <v>Y</v>
      </c>
      <c r="D41" s="233">
        <v>40</v>
      </c>
      <c r="E41" s="233" t="s">
        <v>1442</v>
      </c>
      <c r="F41" s="233" t="s">
        <v>2249</v>
      </c>
      <c r="G41" s="525">
        <v>2</v>
      </c>
      <c r="H41" s="524">
        <v>3</v>
      </c>
      <c r="I41" s="524">
        <v>3</v>
      </c>
      <c r="J41" s="518">
        <v>4</v>
      </c>
      <c r="K41" s="524">
        <v>3</v>
      </c>
      <c r="L41" s="233"/>
      <c r="M41" s="233"/>
      <c r="O41" s="533" t="str">
        <f>IF(_xlfn.XLOOKUP(Q41,全装!G:G,全装!A:A,"",0,1)="Y","Y","")</f>
        <v>Y</v>
      </c>
      <c r="P41" s="521">
        <v>40</v>
      </c>
      <c r="Q41" s="233" t="s">
        <v>1385</v>
      </c>
      <c r="R41" s="233" t="s">
        <v>2250</v>
      </c>
      <c r="S41" s="526">
        <v>3</v>
      </c>
      <c r="T41" s="522">
        <v>1</v>
      </c>
      <c r="U41" s="524">
        <v>3</v>
      </c>
      <c r="V41" s="518">
        <v>4</v>
      </c>
      <c r="W41" s="518">
        <v>4</v>
      </c>
      <c r="X41" s="233"/>
      <c r="Z41" s="233">
        <v>40</v>
      </c>
      <c r="AA41" s="233">
        <v>13</v>
      </c>
      <c r="AB41" s="521" t="s">
        <v>859</v>
      </c>
      <c r="AC41" s="521" t="s">
        <v>860</v>
      </c>
      <c r="AD41" s="233"/>
      <c r="AE41" s="519">
        <v>5</v>
      </c>
      <c r="AF41" s="522">
        <v>1</v>
      </c>
      <c r="AG41" s="522">
        <v>1</v>
      </c>
      <c r="AH41" s="524">
        <v>3</v>
      </c>
      <c r="AI41" s="523">
        <v>5</v>
      </c>
      <c r="AJ41" s="547" t="s">
        <v>2251</v>
      </c>
      <c r="AK41" s="548"/>
      <c r="AL41" s="368" t="s">
        <v>2194</v>
      </c>
      <c r="AM41" s="233" t="s">
        <v>654</v>
      </c>
      <c r="AN41" s="233"/>
      <c r="AO41" s="549" t="str">
        <f>IF(_xlfn.XLOOKUP(AB41,全装!G:G,全装!A:A,"",0,1)="Y","Y","")</f>
        <v/>
      </c>
      <c r="AP41" s="550"/>
      <c r="AY41" s="576" t="s">
        <v>2205</v>
      </c>
      <c r="AZ41" s="576" t="str">
        <f>IF(_xlfn.XLOOKUP(BA41,全装!G:G,全装!A:A,"",0,1)="Y","Y","")</f>
        <v/>
      </c>
      <c r="BA41" s="102" t="s">
        <v>1824</v>
      </c>
      <c r="BB41" s="102" t="s">
        <v>2107</v>
      </c>
      <c r="BC41" s="577">
        <v>2</v>
      </c>
      <c r="BD41" s="586">
        <v>4</v>
      </c>
      <c r="BE41" s="584">
        <v>2</v>
      </c>
      <c r="BF41" s="578">
        <v>3</v>
      </c>
      <c r="BG41" s="573">
        <v>5</v>
      </c>
      <c r="BH41" s="596"/>
      <c r="BI41">
        <v>40</v>
      </c>
    </row>
    <row r="42" spans="3:61">
      <c r="C42" s="233" t="str">
        <f>IF(_xlfn.XLOOKUP(E42,全装!G:G,全装!A:A,"",0,1)="Y","Y","")</f>
        <v/>
      </c>
      <c r="D42" s="233">
        <v>41</v>
      </c>
      <c r="E42" s="233" t="s">
        <v>1260</v>
      </c>
      <c r="F42" s="233" t="s">
        <v>1264</v>
      </c>
      <c r="G42" s="517">
        <v>1</v>
      </c>
      <c r="H42" s="518">
        <v>4</v>
      </c>
      <c r="I42" s="524">
        <v>3</v>
      </c>
      <c r="J42" s="518">
        <v>4</v>
      </c>
      <c r="K42" s="524">
        <v>3</v>
      </c>
      <c r="L42" s="233"/>
      <c r="M42" s="233"/>
      <c r="O42" s="533" t="str">
        <f>IF(_xlfn.XLOOKUP(Q42,全装!G:G,全装!A:A,"",0,1)="Y","Y","")</f>
        <v>Y</v>
      </c>
      <c r="P42" s="521">
        <v>41</v>
      </c>
      <c r="Q42" s="233" t="s">
        <v>677</v>
      </c>
      <c r="R42" s="233" t="s">
        <v>678</v>
      </c>
      <c r="S42" s="517">
        <v>1</v>
      </c>
      <c r="T42" s="518">
        <v>4</v>
      </c>
      <c r="U42" s="520">
        <v>2</v>
      </c>
      <c r="V42" s="518">
        <v>4</v>
      </c>
      <c r="W42" s="518">
        <v>4</v>
      </c>
      <c r="X42" s="233"/>
      <c r="Z42" s="233">
        <v>41</v>
      </c>
      <c r="AA42" s="233">
        <v>13</v>
      </c>
      <c r="AB42" s="521" t="s">
        <v>852</v>
      </c>
      <c r="AC42" s="521" t="s">
        <v>2252</v>
      </c>
      <c r="AD42" s="521"/>
      <c r="AE42" s="519">
        <v>5</v>
      </c>
      <c r="AF42" s="522">
        <v>1</v>
      </c>
      <c r="AG42" s="522">
        <v>1</v>
      </c>
      <c r="AH42" s="524">
        <v>3</v>
      </c>
      <c r="AI42" s="523">
        <v>5</v>
      </c>
      <c r="AJ42" s="547" t="s">
        <v>2251</v>
      </c>
      <c r="AK42" s="548"/>
      <c r="AL42" s="368" t="s">
        <v>2194</v>
      </c>
      <c r="AM42" s="233" t="s">
        <v>646</v>
      </c>
      <c r="AN42" s="233"/>
      <c r="AO42" s="549" t="str">
        <f>IF(_xlfn.XLOOKUP(AB42,全装!G:G,全装!A:A,"",0,1)="Y","Y","")</f>
        <v>Y</v>
      </c>
      <c r="AP42" s="550"/>
      <c r="AY42" s="576"/>
      <c r="AZ42" s="576" t="str">
        <f>IF(_xlfn.XLOOKUP(BA42,全装!G:G,全装!A:A,"",0,1)="Y","Y","")</f>
        <v>Y</v>
      </c>
      <c r="BA42" s="102" t="s">
        <v>1829</v>
      </c>
      <c r="BB42" s="102" t="s">
        <v>2108</v>
      </c>
      <c r="BC42" s="577">
        <v>2</v>
      </c>
      <c r="BD42" s="578">
        <v>3</v>
      </c>
      <c r="BE42" s="584">
        <v>2</v>
      </c>
      <c r="BF42" s="586">
        <v>4</v>
      </c>
      <c r="BG42" s="586">
        <v>4</v>
      </c>
      <c r="BH42" s="596"/>
      <c r="BI42">
        <v>41</v>
      </c>
    </row>
    <row r="43" spans="3:61">
      <c r="C43" s="233" t="str">
        <f>IF(_xlfn.XLOOKUP(E43,全装!G:G,全装!A:A,"",0,1)="Y","Y","")</f>
        <v>Y</v>
      </c>
      <c r="D43" s="233">
        <v>42</v>
      </c>
      <c r="E43" s="233" t="s">
        <v>1205</v>
      </c>
      <c r="F43" s="233" t="s">
        <v>1206</v>
      </c>
      <c r="G43" s="527">
        <v>4</v>
      </c>
      <c r="H43" s="522">
        <v>1</v>
      </c>
      <c r="I43" s="524">
        <v>3</v>
      </c>
      <c r="J43" s="518">
        <v>4</v>
      </c>
      <c r="K43" s="524">
        <v>3</v>
      </c>
      <c r="L43" s="233"/>
      <c r="M43" s="233"/>
      <c r="O43" s="533" t="str">
        <f>IF(_xlfn.XLOOKUP(Q43,全装!G:G,全装!A:A,"",0,1)="Y","Y","")</f>
        <v/>
      </c>
      <c r="P43" s="521">
        <v>42</v>
      </c>
      <c r="Q43" s="233" t="s">
        <v>1295</v>
      </c>
      <c r="R43" s="233" t="s">
        <v>1296</v>
      </c>
      <c r="S43" s="525">
        <v>2</v>
      </c>
      <c r="T43" s="518">
        <v>4</v>
      </c>
      <c r="U43" s="524">
        <v>3</v>
      </c>
      <c r="V43" s="518">
        <v>4</v>
      </c>
      <c r="W43" s="520">
        <v>2</v>
      </c>
      <c r="X43" s="233"/>
      <c r="Z43" s="233">
        <v>42</v>
      </c>
      <c r="AA43" s="233"/>
      <c r="AB43" s="232"/>
      <c r="AC43" s="543"/>
      <c r="AD43" s="521"/>
      <c r="AE43" s="233"/>
      <c r="AF43" s="233"/>
      <c r="AG43" s="233"/>
      <c r="AH43" s="233"/>
      <c r="AI43" s="233"/>
      <c r="AJ43" s="547"/>
      <c r="AK43" s="548"/>
      <c r="AL43" s="368"/>
      <c r="AM43" s="233"/>
      <c r="AN43" s="233"/>
      <c r="AO43" s="549" t="str">
        <f>IF(_xlfn.XLOOKUP(AB43,全装!G:G,全装!A:A,"",0,1)="Y","Y","")</f>
        <v/>
      </c>
      <c r="AP43" s="233"/>
      <c r="AY43" s="570">
        <v>1</v>
      </c>
      <c r="AZ43" s="576" t="str">
        <f>IF(_xlfn.XLOOKUP(BA43,全装!G:G,全装!A:A,"",0,1)="Y","Y","")</f>
        <v/>
      </c>
      <c r="BA43" s="98" t="s">
        <v>1834</v>
      </c>
      <c r="BB43" s="98" t="s">
        <v>1835</v>
      </c>
      <c r="BC43" s="572">
        <v>1</v>
      </c>
      <c r="BD43" s="586">
        <v>4</v>
      </c>
      <c r="BE43" s="575">
        <v>1</v>
      </c>
      <c r="BF43" s="573">
        <v>5</v>
      </c>
      <c r="BG43" s="586">
        <v>4</v>
      </c>
      <c r="BH43" s="597"/>
      <c r="BI43">
        <v>42</v>
      </c>
    </row>
    <row r="44" spans="3:61">
      <c r="C44" s="233" t="str">
        <f>IF(_xlfn.XLOOKUP(E44,全装!G:G,全装!A:A,"",0,1)="Y","Y","")</f>
        <v>Y</v>
      </c>
      <c r="D44" s="233">
        <v>43</v>
      </c>
      <c r="E44" s="233" t="s">
        <v>1742</v>
      </c>
      <c r="F44" s="233" t="s">
        <v>1743</v>
      </c>
      <c r="G44" s="526">
        <v>3</v>
      </c>
      <c r="H44" s="518">
        <v>4</v>
      </c>
      <c r="I44" s="520">
        <v>2</v>
      </c>
      <c r="J44" s="524">
        <v>3</v>
      </c>
      <c r="K44" s="524">
        <v>3</v>
      </c>
      <c r="L44" s="233"/>
      <c r="M44" s="233"/>
      <c r="O44" s="533" t="str">
        <f>IF(_xlfn.XLOOKUP(Q44,全装!G:G,全装!A:A,"",0,1)="Y","Y","")</f>
        <v>Y</v>
      </c>
      <c r="P44" s="521">
        <v>43</v>
      </c>
      <c r="Q44" s="233" t="s">
        <v>1305</v>
      </c>
      <c r="R44" s="233" t="s">
        <v>1306</v>
      </c>
      <c r="S44" s="517">
        <v>1</v>
      </c>
      <c r="T44" s="518">
        <v>4</v>
      </c>
      <c r="U44" s="524">
        <v>3</v>
      </c>
      <c r="V44" s="524">
        <v>3</v>
      </c>
      <c r="W44" s="518">
        <v>4</v>
      </c>
      <c r="X44" s="233"/>
      <c r="Z44" s="233">
        <v>43</v>
      </c>
      <c r="AA44" s="233"/>
      <c r="AB44" s="232"/>
      <c r="AC44" s="543"/>
      <c r="AD44" s="521"/>
      <c r="AE44" s="233"/>
      <c r="AF44" s="233"/>
      <c r="AG44" s="233"/>
      <c r="AH44" s="233"/>
      <c r="AI44" s="233"/>
      <c r="AJ44" s="547"/>
      <c r="AK44" s="548"/>
      <c r="AL44" s="368"/>
      <c r="AM44" s="233"/>
      <c r="AN44" s="233"/>
      <c r="AO44" s="549" t="str">
        <f>IF(_xlfn.XLOOKUP(AB44,全装!G:G,全装!A:A,"",0,1)="Y","Y","")</f>
        <v/>
      </c>
      <c r="AP44" s="233"/>
      <c r="AY44" s="576"/>
      <c r="AZ44" s="576" t="str">
        <f>IF(_xlfn.XLOOKUP(BA44,全装!G:G,全装!A:A,"",0,1)="Y","Y","")</f>
        <v/>
      </c>
      <c r="BA44" s="102" t="s">
        <v>1839</v>
      </c>
      <c r="BB44" s="102" t="s">
        <v>1842</v>
      </c>
      <c r="BC44" s="577">
        <v>2</v>
      </c>
      <c r="BD44" s="578">
        <v>3</v>
      </c>
      <c r="BE44" s="578">
        <v>3</v>
      </c>
      <c r="BF44" s="578">
        <v>3</v>
      </c>
      <c r="BG44" s="586">
        <v>4</v>
      </c>
      <c r="BH44" s="595"/>
      <c r="BI44">
        <v>43</v>
      </c>
    </row>
    <row r="45" spans="3:61">
      <c r="C45" s="233" t="str">
        <f>IF(_xlfn.XLOOKUP(E45,全装!G:G,全装!A:A,"",0,1)="Y","Y","")</f>
        <v>Y</v>
      </c>
      <c r="D45" s="233">
        <v>44</v>
      </c>
      <c r="E45" s="233" t="s">
        <v>1746</v>
      </c>
      <c r="F45" s="233" t="s">
        <v>2253</v>
      </c>
      <c r="G45" s="526">
        <v>3</v>
      </c>
      <c r="H45" s="518">
        <v>4</v>
      </c>
      <c r="I45" s="520">
        <v>2</v>
      </c>
      <c r="J45" s="524">
        <v>3</v>
      </c>
      <c r="K45" s="524">
        <v>3</v>
      </c>
      <c r="L45" s="233"/>
      <c r="M45" s="233"/>
      <c r="O45" s="533" t="str">
        <f>IF(_xlfn.XLOOKUP(Q45,全装!G:G,全装!A:A,"",0,1)="Y","Y","")</f>
        <v>Y</v>
      </c>
      <c r="P45" s="521">
        <v>44</v>
      </c>
      <c r="Q45" s="233" t="s">
        <v>1194</v>
      </c>
      <c r="R45" s="233" t="s">
        <v>2254</v>
      </c>
      <c r="S45" s="527">
        <v>4</v>
      </c>
      <c r="T45" s="522">
        <v>1</v>
      </c>
      <c r="U45" s="518">
        <v>4</v>
      </c>
      <c r="V45" s="524">
        <v>3</v>
      </c>
      <c r="W45" s="524">
        <v>3</v>
      </c>
      <c r="X45" s="233"/>
      <c r="Z45" s="233">
        <v>44</v>
      </c>
      <c r="AA45" s="233"/>
      <c r="AB45" s="232"/>
      <c r="AC45" s="543"/>
      <c r="AD45" s="521"/>
      <c r="AE45" s="233"/>
      <c r="AF45" s="233"/>
      <c r="AG45" s="233"/>
      <c r="AH45" s="233"/>
      <c r="AI45" s="233"/>
      <c r="AJ45" s="547"/>
      <c r="AK45" s="548"/>
      <c r="AL45" s="368"/>
      <c r="AM45" s="233"/>
      <c r="AN45" s="233"/>
      <c r="AO45" s="549" t="str">
        <f>IF(_xlfn.XLOOKUP(AB45,全装!G:G,全装!A:A,"",0,1)="Y","Y","")</f>
        <v/>
      </c>
      <c r="AP45" s="233"/>
      <c r="AY45" s="582">
        <v>0</v>
      </c>
      <c r="AZ45" s="580" t="str">
        <f>IF(_xlfn.XLOOKUP(BA45,全装!G:G,全装!A:A,"",0,1)="Y","Y","")</f>
        <v/>
      </c>
      <c r="BA45" s="98" t="s">
        <v>1855</v>
      </c>
      <c r="BB45" s="98" t="s">
        <v>1856</v>
      </c>
      <c r="BC45" s="583">
        <v>4</v>
      </c>
      <c r="BD45" s="575">
        <v>1</v>
      </c>
      <c r="BE45" s="575">
        <v>1</v>
      </c>
      <c r="BF45" s="573">
        <v>5</v>
      </c>
      <c r="BG45" s="573">
        <v>5</v>
      </c>
      <c r="BH45" s="597" t="s">
        <v>2193</v>
      </c>
      <c r="BI45">
        <v>44</v>
      </c>
    </row>
    <row r="46" spans="3:61">
      <c r="C46" s="233" t="str">
        <f>IF(_xlfn.XLOOKUP(E46,全装!G:G,全装!A:A,"",0,1)="Y","Y","")</f>
        <v>Y</v>
      </c>
      <c r="D46" s="233">
        <v>45</v>
      </c>
      <c r="E46" s="233" t="s">
        <v>1248</v>
      </c>
      <c r="F46" s="233" t="s">
        <v>1252</v>
      </c>
      <c r="G46" s="517">
        <v>1</v>
      </c>
      <c r="H46" s="518">
        <v>4</v>
      </c>
      <c r="I46" s="524">
        <v>3</v>
      </c>
      <c r="J46" s="518">
        <v>4</v>
      </c>
      <c r="K46" s="524">
        <v>3</v>
      </c>
      <c r="L46" s="233"/>
      <c r="M46" s="233"/>
      <c r="O46" s="533" t="str">
        <f>IF(_xlfn.XLOOKUP(Q46,全装!G:G,全装!A:A,"",0,1)="Y","Y","")</f>
        <v>Y</v>
      </c>
      <c r="P46" s="521">
        <v>45</v>
      </c>
      <c r="Q46" s="233" t="s">
        <v>1346</v>
      </c>
      <c r="R46" s="233" t="s">
        <v>1347</v>
      </c>
      <c r="S46" s="525">
        <v>2</v>
      </c>
      <c r="T46" s="518">
        <v>4</v>
      </c>
      <c r="U46" s="524">
        <v>3</v>
      </c>
      <c r="V46" s="524">
        <v>3</v>
      </c>
      <c r="W46" s="520">
        <v>2</v>
      </c>
      <c r="X46" s="233"/>
      <c r="Z46" s="233">
        <v>45</v>
      </c>
      <c r="AA46" s="233"/>
      <c r="AB46" s="232"/>
      <c r="AC46" s="543"/>
      <c r="AD46" s="233"/>
      <c r="AE46" s="233"/>
      <c r="AF46" s="233"/>
      <c r="AG46" s="233"/>
      <c r="AH46" s="233"/>
      <c r="AI46" s="233"/>
      <c r="AJ46" s="547"/>
      <c r="AK46" s="548"/>
      <c r="AL46" s="368"/>
      <c r="AM46" s="233"/>
      <c r="AN46" s="233"/>
      <c r="AO46" s="549" t="str">
        <f>IF(_xlfn.XLOOKUP(AB46,全装!G:G,全装!A:A,"",0,1)="Y","Y","")</f>
        <v/>
      </c>
      <c r="AP46" s="233"/>
      <c r="AR46" s="565" t="s">
        <v>2255</v>
      </c>
      <c r="AS46" s="566">
        <f>AS48-AS40</f>
        <v>0</v>
      </c>
      <c r="AT46" s="566">
        <f>AT48-AT40</f>
        <v>0</v>
      </c>
      <c r="AU46" s="566">
        <f>AU48-AU40</f>
        <v>0</v>
      </c>
      <c r="AV46" s="566">
        <f>AV48-AV40</f>
        <v>0</v>
      </c>
      <c r="AW46" s="566">
        <f>AW48-AW40</f>
        <v>0</v>
      </c>
      <c r="AY46" s="576"/>
      <c r="AZ46" s="576" t="str">
        <f>IF(_xlfn.XLOOKUP(BA46,全装!G:G,全装!A:A,"",0,1)="Y","Y","")</f>
        <v/>
      </c>
      <c r="BA46" s="98" t="s">
        <v>1861</v>
      </c>
      <c r="BB46" s="98" t="s">
        <v>2109</v>
      </c>
      <c r="BC46" s="572">
        <v>1</v>
      </c>
      <c r="BD46" s="586">
        <v>4</v>
      </c>
      <c r="BE46" s="586">
        <v>4</v>
      </c>
      <c r="BF46" s="573">
        <v>5</v>
      </c>
      <c r="BG46" s="575">
        <v>1</v>
      </c>
      <c r="BH46" s="596"/>
      <c r="BI46">
        <v>45</v>
      </c>
    </row>
    <row r="47" ht="14.25" spans="3:61">
      <c r="C47" s="233" t="str">
        <f>IF(_xlfn.XLOOKUP(E47,全装!G:G,全装!A:A,"",0,1)="Y","Y","")</f>
        <v/>
      </c>
      <c r="D47" s="233">
        <v>46</v>
      </c>
      <c r="E47" s="233" t="s">
        <v>1684</v>
      </c>
      <c r="F47" s="233" t="s">
        <v>1685</v>
      </c>
      <c r="G47" s="527">
        <v>4</v>
      </c>
      <c r="H47" s="522">
        <v>1</v>
      </c>
      <c r="I47" s="520">
        <v>2</v>
      </c>
      <c r="J47" s="518">
        <v>4</v>
      </c>
      <c r="K47" s="518">
        <v>4</v>
      </c>
      <c r="L47" s="233"/>
      <c r="M47" s="233"/>
      <c r="O47" s="533" t="str">
        <f>IF(_xlfn.XLOOKUP(Q47,全装!G:G,全装!A:A,"",0,1)="Y","Y","")</f>
        <v/>
      </c>
      <c r="P47" s="521">
        <v>46</v>
      </c>
      <c r="Q47" s="233" t="s">
        <v>1460</v>
      </c>
      <c r="R47" s="233" t="s">
        <v>1461</v>
      </c>
      <c r="S47" s="526">
        <v>3</v>
      </c>
      <c r="T47" s="524">
        <v>3</v>
      </c>
      <c r="U47" s="524">
        <v>3</v>
      </c>
      <c r="V47" s="518">
        <v>4</v>
      </c>
      <c r="W47" s="520">
        <v>2</v>
      </c>
      <c r="X47" s="233"/>
      <c r="Z47" s="233">
        <v>46</v>
      </c>
      <c r="AA47" s="132">
        <v>15</v>
      </c>
      <c r="AB47" s="521" t="s">
        <v>874</v>
      </c>
      <c r="AC47" s="521" t="s">
        <v>2256</v>
      </c>
      <c r="AD47" s="521"/>
      <c r="AE47" s="519">
        <v>5</v>
      </c>
      <c r="AF47" s="518">
        <v>4</v>
      </c>
      <c r="AG47" s="523">
        <v>5</v>
      </c>
      <c r="AH47" s="522">
        <v>1</v>
      </c>
      <c r="AI47" s="522">
        <v>1</v>
      </c>
      <c r="AJ47" s="547" t="s">
        <v>2187</v>
      </c>
      <c r="AK47" s="548"/>
      <c r="AL47" s="368" t="s">
        <v>2194</v>
      </c>
      <c r="AM47" s="233" t="s">
        <v>654</v>
      </c>
      <c r="AN47" s="233"/>
      <c r="AO47" s="549" t="str">
        <f>IF(_xlfn.XLOOKUP(AB47,全装!G:G,全装!A:A,"",0,1)="Y","Y","")</f>
        <v>Y</v>
      </c>
      <c r="AP47" s="550"/>
      <c r="AR47" s="563" t="s">
        <v>1113</v>
      </c>
      <c r="AS47" s="474" t="s">
        <v>15</v>
      </c>
      <c r="AT47" s="474" t="s">
        <v>16</v>
      </c>
      <c r="AU47" s="474" t="s">
        <v>17</v>
      </c>
      <c r="AV47" s="474" t="s">
        <v>18</v>
      </c>
      <c r="AW47" s="474" t="s">
        <v>19</v>
      </c>
      <c r="AY47" s="576"/>
      <c r="AZ47" s="576" t="str">
        <f>IF(_xlfn.XLOOKUP(BA47,全装!G:G,全装!A:A,"",0,1)="Y","Y","")</f>
        <v/>
      </c>
      <c r="BA47" s="98" t="s">
        <v>1886</v>
      </c>
      <c r="BB47" s="98" t="s">
        <v>2110</v>
      </c>
      <c r="BC47" s="587">
        <v>0</v>
      </c>
      <c r="BD47" s="588">
        <v>0</v>
      </c>
      <c r="BE47" s="588">
        <v>0</v>
      </c>
      <c r="BF47" s="588">
        <v>0</v>
      </c>
      <c r="BG47" s="588">
        <v>0</v>
      </c>
      <c r="BH47" s="595"/>
      <c r="BI47">
        <v>46</v>
      </c>
    </row>
    <row r="48" spans="3:61">
      <c r="C48" s="233" t="str">
        <f>IF(_xlfn.XLOOKUP(E48,全装!G:G,全装!A:A,"",0,1)="Y","Y","")</f>
        <v/>
      </c>
      <c r="D48" s="233">
        <v>47</v>
      </c>
      <c r="E48" s="233" t="s">
        <v>948</v>
      </c>
      <c r="F48" s="233" t="s">
        <v>2257</v>
      </c>
      <c r="G48" s="526">
        <v>3</v>
      </c>
      <c r="H48" s="522">
        <v>1</v>
      </c>
      <c r="I48" s="523">
        <v>5</v>
      </c>
      <c r="J48" s="524">
        <v>3</v>
      </c>
      <c r="K48" s="524">
        <v>3</v>
      </c>
      <c r="L48" s="233"/>
      <c r="M48" s="233" t="s">
        <v>17</v>
      </c>
      <c r="O48" s="533" t="str">
        <f>IF(_xlfn.XLOOKUP(Q48,全装!G:G,全装!A:A,"",0,1)="Y","Y","")</f>
        <v>Y</v>
      </c>
      <c r="P48" s="521">
        <v>47</v>
      </c>
      <c r="Q48" s="233" t="s">
        <v>757</v>
      </c>
      <c r="R48" s="233" t="s">
        <v>2258</v>
      </c>
      <c r="S48" s="517">
        <v>1</v>
      </c>
      <c r="T48" s="524">
        <v>3</v>
      </c>
      <c r="U48" s="522">
        <v>1</v>
      </c>
      <c r="V48" s="523">
        <v>5</v>
      </c>
      <c r="W48" s="523">
        <v>5</v>
      </c>
      <c r="X48" s="233" t="s">
        <v>2193</v>
      </c>
      <c r="Z48" s="233">
        <v>47</v>
      </c>
      <c r="AA48" s="132">
        <v>15</v>
      </c>
      <c r="AB48" s="521" t="s">
        <v>867</v>
      </c>
      <c r="AC48" s="521" t="s">
        <v>2259</v>
      </c>
      <c r="AD48" s="521"/>
      <c r="AE48" s="519">
        <v>5</v>
      </c>
      <c r="AF48" s="518">
        <v>4</v>
      </c>
      <c r="AG48" s="523">
        <v>5</v>
      </c>
      <c r="AH48" s="522">
        <v>1</v>
      </c>
      <c r="AI48" s="522">
        <v>1</v>
      </c>
      <c r="AJ48" s="547" t="s">
        <v>2187</v>
      </c>
      <c r="AK48" s="548"/>
      <c r="AL48" s="368" t="s">
        <v>2194</v>
      </c>
      <c r="AM48" s="233" t="s">
        <v>646</v>
      </c>
      <c r="AN48" s="233"/>
      <c r="AO48" s="549" t="str">
        <f>IF(_xlfn.XLOOKUP(AB48,全装!G:G,全装!A:A,"",0,1)="Y","Y","")</f>
        <v>Y</v>
      </c>
      <c r="AP48" s="554"/>
      <c r="AR48" s="473" t="s">
        <v>2260</v>
      </c>
      <c r="AS48" s="564">
        <v>222</v>
      </c>
      <c r="AT48" s="564">
        <v>336</v>
      </c>
      <c r="AU48" s="564">
        <v>450</v>
      </c>
      <c r="AV48" s="564">
        <v>393</v>
      </c>
      <c r="AW48" s="564">
        <v>279</v>
      </c>
      <c r="AY48" s="576"/>
      <c r="AZ48" s="576" t="str">
        <f>IF(_xlfn.XLOOKUP(BA48,全装!G:G,全装!A:A,"",0,1)="Y","Y","")</f>
        <v/>
      </c>
      <c r="BA48" s="98" t="s">
        <v>1889</v>
      </c>
      <c r="BB48" s="98" t="s">
        <v>2261</v>
      </c>
      <c r="BC48" s="583">
        <v>4</v>
      </c>
      <c r="BD48" s="575">
        <v>1</v>
      </c>
      <c r="BE48" s="586">
        <v>4</v>
      </c>
      <c r="BF48" s="573">
        <v>5</v>
      </c>
      <c r="BG48" s="575">
        <v>1</v>
      </c>
      <c r="BH48" s="596"/>
      <c r="BI48">
        <v>47</v>
      </c>
    </row>
    <row r="49" spans="3:61">
      <c r="C49" s="233" t="str">
        <f>IF(_xlfn.XLOOKUP(E49,全装!G:G,全装!A:A,"",0,1)="Y","Y","")</f>
        <v>Y</v>
      </c>
      <c r="D49" s="233">
        <v>48</v>
      </c>
      <c r="E49" s="233" t="s">
        <v>1341</v>
      </c>
      <c r="F49" s="233" t="s">
        <v>2262</v>
      </c>
      <c r="G49" s="525">
        <v>2</v>
      </c>
      <c r="H49" s="518">
        <v>4</v>
      </c>
      <c r="I49" s="524">
        <v>3</v>
      </c>
      <c r="J49" s="524">
        <v>3</v>
      </c>
      <c r="K49" s="520">
        <v>2</v>
      </c>
      <c r="L49" s="233"/>
      <c r="M49" s="233"/>
      <c r="O49" s="533" t="str">
        <f>IF(_xlfn.XLOOKUP(Q49,全装!G:G,全装!A:A,"",0,1)="Y","Y","")</f>
        <v>Y</v>
      </c>
      <c r="P49" s="521">
        <v>48</v>
      </c>
      <c r="Q49" s="521" t="s">
        <v>839</v>
      </c>
      <c r="R49" s="521" t="s">
        <v>2263</v>
      </c>
      <c r="S49" s="526">
        <v>3</v>
      </c>
      <c r="T49" s="524">
        <v>3</v>
      </c>
      <c r="U49" s="524">
        <v>3</v>
      </c>
      <c r="V49" s="524">
        <v>3</v>
      </c>
      <c r="W49" s="524">
        <v>3</v>
      </c>
      <c r="X49" s="233"/>
      <c r="Z49" s="233">
        <v>48</v>
      </c>
      <c r="AA49" s="233"/>
      <c r="AB49" s="232"/>
      <c r="AC49" s="543"/>
      <c r="AD49" s="233"/>
      <c r="AE49" s="233"/>
      <c r="AF49" s="233"/>
      <c r="AG49" s="233"/>
      <c r="AH49" s="233"/>
      <c r="AI49" s="233"/>
      <c r="AJ49" s="547"/>
      <c r="AK49" s="548"/>
      <c r="AL49" s="368"/>
      <c r="AM49" s="233"/>
      <c r="AN49" s="233"/>
      <c r="AO49" s="549" t="str">
        <f>IF(_xlfn.XLOOKUP(AB49,全装!G:G,全装!A:A,"",0,1)="Y","Y","")</f>
        <v/>
      </c>
      <c r="AP49" s="233"/>
      <c r="AY49" s="576"/>
      <c r="AZ49" s="576" t="str">
        <f>IF(_xlfn.XLOOKUP(BA49,全装!G:G,全装!A:A,"",0,1)="Y","Y","")</f>
        <v/>
      </c>
      <c r="BA49" s="102" t="s">
        <v>1893</v>
      </c>
      <c r="BB49" s="102" t="s">
        <v>1894</v>
      </c>
      <c r="BC49" s="592">
        <v>0</v>
      </c>
      <c r="BD49" s="593">
        <v>0</v>
      </c>
      <c r="BE49" s="593">
        <v>0</v>
      </c>
      <c r="BF49" s="593">
        <v>0</v>
      </c>
      <c r="BG49" s="593">
        <v>0</v>
      </c>
      <c r="BH49" s="595"/>
      <c r="BI49">
        <v>48</v>
      </c>
    </row>
    <row r="50" spans="3:61">
      <c r="C50" s="233" t="str">
        <f>IF(_xlfn.XLOOKUP(E50,全装!G:G,全装!A:A,"",0,1)="Y","Y","")</f>
        <v>Y</v>
      </c>
      <c r="D50" s="233">
        <v>49</v>
      </c>
      <c r="E50" s="233" t="s">
        <v>669</v>
      </c>
      <c r="F50" s="233" t="s">
        <v>2264</v>
      </c>
      <c r="G50" s="517">
        <v>1</v>
      </c>
      <c r="H50" s="518">
        <v>4</v>
      </c>
      <c r="I50" s="522">
        <v>1</v>
      </c>
      <c r="J50" s="518">
        <v>4</v>
      </c>
      <c r="K50" s="523">
        <v>5</v>
      </c>
      <c r="L50" s="233"/>
      <c r="M50" s="233" t="s">
        <v>19</v>
      </c>
      <c r="O50" s="533" t="str">
        <f>IF(_xlfn.XLOOKUP(Q50,全装!G:G,全装!A:A,"",0,1)="Y","Y","")</f>
        <v>Y</v>
      </c>
      <c r="P50" s="521">
        <v>49</v>
      </c>
      <c r="Q50" s="521" t="s">
        <v>772</v>
      </c>
      <c r="R50" s="521" t="s">
        <v>2265</v>
      </c>
      <c r="S50" s="519">
        <v>5</v>
      </c>
      <c r="T50" s="523">
        <v>5</v>
      </c>
      <c r="U50" s="518">
        <v>4</v>
      </c>
      <c r="V50" s="522">
        <v>1</v>
      </c>
      <c r="W50" s="522">
        <v>1</v>
      </c>
      <c r="X50" s="233" t="s">
        <v>2204</v>
      </c>
      <c r="Z50" s="233">
        <v>49</v>
      </c>
      <c r="AA50" s="132">
        <v>16</v>
      </c>
      <c r="AB50" s="521" t="s">
        <v>888</v>
      </c>
      <c r="AC50" s="521" t="s">
        <v>2266</v>
      </c>
      <c r="AD50" s="521"/>
      <c r="AE50" s="517">
        <v>1</v>
      </c>
      <c r="AF50" s="523">
        <v>5</v>
      </c>
      <c r="AG50" s="522">
        <v>1</v>
      </c>
      <c r="AH50" s="523">
        <v>5</v>
      </c>
      <c r="AI50" s="524">
        <v>3</v>
      </c>
      <c r="AJ50" s="547"/>
      <c r="AK50" s="548" t="s">
        <v>2267</v>
      </c>
      <c r="AL50" s="368" t="s">
        <v>2194</v>
      </c>
      <c r="AM50" s="233" t="s">
        <v>654</v>
      </c>
      <c r="AN50" s="233"/>
      <c r="AO50" s="549" t="str">
        <f>IF(_xlfn.XLOOKUP(AB50,全装!G:G,全装!A:A,"",0,1)="Y","Y","")</f>
        <v/>
      </c>
      <c r="AP50" s="553"/>
      <c r="AR50" s="565" t="s">
        <v>2268</v>
      </c>
      <c r="AS50" s="565">
        <f>AS54-AS35</f>
        <v>0</v>
      </c>
      <c r="AT50" s="565">
        <f>AT54-AT35</f>
        <v>0</v>
      </c>
      <c r="AU50" s="565">
        <f>AU54-AU35</f>
        <v>0</v>
      </c>
      <c r="AV50" s="565">
        <f>AV54-AV35</f>
        <v>0</v>
      </c>
      <c r="AW50" s="565">
        <f>AW54-AW35</f>
        <v>0</v>
      </c>
      <c r="AY50" s="576" t="s">
        <v>2205</v>
      </c>
      <c r="AZ50" s="576" t="str">
        <f>IF(_xlfn.XLOOKUP(BA50,全装!G:G,全装!A:A,"",0,1)="Y","Y","")</f>
        <v>Y</v>
      </c>
      <c r="BA50" s="102" t="s">
        <v>1898</v>
      </c>
      <c r="BB50" s="102" t="s">
        <v>2111</v>
      </c>
      <c r="BC50" s="577">
        <v>2</v>
      </c>
      <c r="BD50" s="586">
        <v>4</v>
      </c>
      <c r="BE50" s="584">
        <v>2</v>
      </c>
      <c r="BF50" s="578">
        <v>3</v>
      </c>
      <c r="BG50" s="586">
        <v>4</v>
      </c>
      <c r="BH50" s="595"/>
      <c r="BI50">
        <v>49</v>
      </c>
    </row>
    <row r="51" ht="14.25" spans="3:61">
      <c r="C51" s="233" t="str">
        <f>IF(_xlfn.XLOOKUP(E51,全装!G:G,全装!A:A,"",0,1)="Y","Y","")</f>
        <v/>
      </c>
      <c r="D51" s="233">
        <v>50</v>
      </c>
      <c r="E51" s="521" t="s">
        <v>845</v>
      </c>
      <c r="F51" s="521" t="s">
        <v>2269</v>
      </c>
      <c r="G51" s="526">
        <v>3</v>
      </c>
      <c r="H51" s="524">
        <v>3</v>
      </c>
      <c r="I51" s="524">
        <v>3</v>
      </c>
      <c r="J51" s="524">
        <v>3</v>
      </c>
      <c r="K51" s="524">
        <v>3</v>
      </c>
      <c r="L51" s="233"/>
      <c r="M51" s="233"/>
      <c r="O51" s="533" t="str">
        <f>IF(_xlfn.XLOOKUP(Q51,全装!G:G,全装!A:A,"",0,1)="Y","Y","")</f>
        <v>Y</v>
      </c>
      <c r="P51" s="521">
        <v>50</v>
      </c>
      <c r="Q51" s="233" t="s">
        <v>1119</v>
      </c>
      <c r="R51" s="233" t="s">
        <v>1120</v>
      </c>
      <c r="S51" s="525">
        <v>2</v>
      </c>
      <c r="T51" s="522">
        <v>1</v>
      </c>
      <c r="U51" s="518">
        <v>4</v>
      </c>
      <c r="V51" s="524">
        <v>3</v>
      </c>
      <c r="W51" s="523">
        <v>5</v>
      </c>
      <c r="X51" s="233" t="s">
        <v>19</v>
      </c>
      <c r="Z51" s="233">
        <v>50</v>
      </c>
      <c r="AA51" s="132">
        <v>16</v>
      </c>
      <c r="AB51" s="521" t="s">
        <v>881</v>
      </c>
      <c r="AC51" s="521" t="s">
        <v>2270</v>
      </c>
      <c r="AD51" s="521"/>
      <c r="AE51" s="517">
        <v>1</v>
      </c>
      <c r="AF51" s="523">
        <v>5</v>
      </c>
      <c r="AG51" s="522">
        <v>1</v>
      </c>
      <c r="AH51" s="523">
        <v>5</v>
      </c>
      <c r="AI51" s="524">
        <v>3</v>
      </c>
      <c r="AJ51" s="547"/>
      <c r="AK51" s="548" t="s">
        <v>2267</v>
      </c>
      <c r="AL51" s="368" t="s">
        <v>2194</v>
      </c>
      <c r="AM51" s="233" t="s">
        <v>646</v>
      </c>
      <c r="AN51" s="233"/>
      <c r="AO51" s="549" t="str">
        <f>IF(_xlfn.XLOOKUP(AB51,全装!G:G,全装!A:A,"",0,1)="Y","Y","")</f>
        <v>Y</v>
      </c>
      <c r="AP51" s="553"/>
      <c r="AR51" s="560" t="s">
        <v>739</v>
      </c>
      <c r="AS51" s="352" t="s">
        <v>2232</v>
      </c>
      <c r="AT51" s="561"/>
      <c r="AU51" s="561"/>
      <c r="AV51" s="561"/>
      <c r="AW51" s="277"/>
      <c r="AY51" s="570">
        <v>0</v>
      </c>
      <c r="AZ51" s="571" t="str">
        <f>IF(_xlfn.XLOOKUP(BA51,全装!G:G,全装!A:A,"",0,1)="Y","Y","")</f>
        <v/>
      </c>
      <c r="BA51" s="98" t="s">
        <v>1902</v>
      </c>
      <c r="BB51" s="98" t="s">
        <v>2112</v>
      </c>
      <c r="BC51" s="577">
        <v>2</v>
      </c>
      <c r="BD51" s="573">
        <v>5</v>
      </c>
      <c r="BE51" s="584">
        <v>2</v>
      </c>
      <c r="BF51" s="586">
        <v>4</v>
      </c>
      <c r="BG51" s="586">
        <v>4</v>
      </c>
      <c r="BH51" s="596"/>
      <c r="BI51">
        <v>50</v>
      </c>
    </row>
    <row r="52" spans="3:61">
      <c r="C52" s="233" t="str">
        <f>IF(_xlfn.XLOOKUP(E52,全装!G:G,全装!A:A,"",0,1)="Y","Y","")</f>
        <v/>
      </c>
      <c r="D52" s="233">
        <v>51</v>
      </c>
      <c r="E52" s="521" t="s">
        <v>859</v>
      </c>
      <c r="F52" s="521" t="s">
        <v>860</v>
      </c>
      <c r="G52" s="519">
        <v>5</v>
      </c>
      <c r="H52" s="522">
        <v>1</v>
      </c>
      <c r="I52" s="522">
        <v>1</v>
      </c>
      <c r="J52" s="524">
        <v>3</v>
      </c>
      <c r="K52" s="523">
        <v>5</v>
      </c>
      <c r="L52" s="233"/>
      <c r="M52" s="233" t="s">
        <v>2251</v>
      </c>
      <c r="O52" s="533" t="str">
        <f>IF(_xlfn.XLOOKUP(Q52,全装!G:G,全装!A:A,"",0,1)="Y","Y","")</f>
        <v>Y</v>
      </c>
      <c r="P52" s="521">
        <v>51</v>
      </c>
      <c r="Q52" s="233" t="s">
        <v>1849</v>
      </c>
      <c r="R52" s="233" t="s">
        <v>1853</v>
      </c>
      <c r="S52" s="526">
        <v>3</v>
      </c>
      <c r="T52" s="524">
        <v>3</v>
      </c>
      <c r="U52" s="522">
        <v>1</v>
      </c>
      <c r="V52" s="518">
        <v>4</v>
      </c>
      <c r="W52" s="518">
        <v>4</v>
      </c>
      <c r="X52" s="233"/>
      <c r="Z52" s="233">
        <v>51</v>
      </c>
      <c r="AA52" s="233"/>
      <c r="AB52" s="232"/>
      <c r="AC52" s="543"/>
      <c r="AD52" s="233"/>
      <c r="AE52" s="233"/>
      <c r="AF52" s="233"/>
      <c r="AG52" s="233"/>
      <c r="AH52" s="233"/>
      <c r="AI52" s="233"/>
      <c r="AJ52" s="547"/>
      <c r="AK52" s="548"/>
      <c r="AL52" s="368"/>
      <c r="AM52" s="233"/>
      <c r="AN52" s="233"/>
      <c r="AO52" s="549" t="str">
        <f>IF(_xlfn.XLOOKUP(AB52,全装!G:G,全装!A:A,"",0,1)="Y","Y","")</f>
        <v/>
      </c>
      <c r="AP52" s="233"/>
      <c r="AR52" s="473" t="s">
        <v>2271</v>
      </c>
      <c r="AS52" s="562" t="s">
        <v>2233</v>
      </c>
      <c r="AT52" s="562"/>
      <c r="AU52" s="562"/>
      <c r="AV52" s="562"/>
      <c r="AW52" s="562"/>
      <c r="AY52" s="576"/>
      <c r="AZ52" s="576" t="str">
        <f>IF(_xlfn.XLOOKUP(BA52,全装!G:G,全装!A:A,"",0,1)="Y","Y","")</f>
        <v>Y</v>
      </c>
      <c r="BA52" s="102" t="s">
        <v>1909</v>
      </c>
      <c r="BB52" s="102" t="s">
        <v>2113</v>
      </c>
      <c r="BC52" s="579">
        <v>3</v>
      </c>
      <c r="BD52" s="578">
        <v>3</v>
      </c>
      <c r="BE52" s="584">
        <v>2</v>
      </c>
      <c r="BF52" s="578">
        <v>3</v>
      </c>
      <c r="BG52" s="586">
        <v>4</v>
      </c>
      <c r="BH52" s="596"/>
      <c r="BI52">
        <v>51</v>
      </c>
    </row>
    <row r="53" ht="14.25" spans="3:61">
      <c r="C53" s="233" t="str">
        <f>IF(_xlfn.XLOOKUP(E53,全装!G:G,全装!A:A,"",0,1)="Y","Y","")</f>
        <v>Y</v>
      </c>
      <c r="D53" s="233">
        <v>52</v>
      </c>
      <c r="E53" s="233" t="s">
        <v>1233</v>
      </c>
      <c r="F53" s="233" t="s">
        <v>1234</v>
      </c>
      <c r="G53" s="525">
        <v>2</v>
      </c>
      <c r="H53" s="518">
        <v>4</v>
      </c>
      <c r="I53" s="524">
        <v>3</v>
      </c>
      <c r="J53" s="518">
        <v>4</v>
      </c>
      <c r="K53" s="520">
        <v>2</v>
      </c>
      <c r="L53" s="233"/>
      <c r="M53" s="233"/>
      <c r="O53" s="533" t="str">
        <f>IF(_xlfn.XLOOKUP(Q53,全装!G:G,全装!A:A,"",0,1)="Y","Y","")</f>
        <v>Y</v>
      </c>
      <c r="P53" s="521">
        <v>52</v>
      </c>
      <c r="Q53" s="521" t="s">
        <v>852</v>
      </c>
      <c r="R53" s="521" t="s">
        <v>853</v>
      </c>
      <c r="S53" s="519">
        <v>5</v>
      </c>
      <c r="T53" s="522">
        <v>1</v>
      </c>
      <c r="U53" s="522">
        <v>1</v>
      </c>
      <c r="V53" s="524">
        <v>3</v>
      </c>
      <c r="W53" s="523">
        <v>5</v>
      </c>
      <c r="X53" s="233" t="s">
        <v>2251</v>
      </c>
      <c r="Z53" s="233">
        <v>52</v>
      </c>
      <c r="AA53" s="132">
        <v>17</v>
      </c>
      <c r="AB53" s="521" t="s">
        <v>904</v>
      </c>
      <c r="AC53" s="521" t="s">
        <v>2272</v>
      </c>
      <c r="AD53" s="521"/>
      <c r="AE53" s="517">
        <v>1</v>
      </c>
      <c r="AF53" s="522">
        <v>1</v>
      </c>
      <c r="AG53" s="522">
        <v>1</v>
      </c>
      <c r="AH53" s="523">
        <v>5</v>
      </c>
      <c r="AI53" s="523">
        <v>5</v>
      </c>
      <c r="AJ53" s="547"/>
      <c r="AK53" s="548" t="s">
        <v>2273</v>
      </c>
      <c r="AL53" s="368" t="s">
        <v>2194</v>
      </c>
      <c r="AM53" s="233" t="s">
        <v>654</v>
      </c>
      <c r="AN53" s="233"/>
      <c r="AO53" s="549" t="str">
        <f>IF(_xlfn.XLOOKUP(AB53,全装!G:G,全装!A:A,"",0,1)="Y","Y","")</f>
        <v/>
      </c>
      <c r="AP53" s="233"/>
      <c r="AR53" s="563" t="s">
        <v>731</v>
      </c>
      <c r="AS53" s="474" t="s">
        <v>15</v>
      </c>
      <c r="AT53" s="474" t="s">
        <v>16</v>
      </c>
      <c r="AU53" s="474" t="s">
        <v>17</v>
      </c>
      <c r="AV53" s="474" t="s">
        <v>18</v>
      </c>
      <c r="AW53" s="474" t="s">
        <v>19</v>
      </c>
      <c r="AY53" s="576"/>
      <c r="AZ53" s="576" t="str">
        <f>IF(_xlfn.XLOOKUP(BA53,全装!G:G,全装!A:A,"",0,1)="Y","Y","")</f>
        <v>Y</v>
      </c>
      <c r="BA53" s="102" t="s">
        <v>1913</v>
      </c>
      <c r="BB53" s="102" t="s">
        <v>2114</v>
      </c>
      <c r="BC53" s="572">
        <v>1</v>
      </c>
      <c r="BD53" s="578">
        <v>3</v>
      </c>
      <c r="BE53" s="578">
        <v>3</v>
      </c>
      <c r="BF53" s="586">
        <v>4</v>
      </c>
      <c r="BG53" s="586">
        <v>4</v>
      </c>
      <c r="BH53" s="596"/>
      <c r="BI53">
        <v>52</v>
      </c>
    </row>
    <row r="54" spans="3:61">
      <c r="C54" s="233" t="str">
        <f>IF(_xlfn.XLOOKUP(E54,全装!G:G,全装!A:A,"",0,1)="Y","Y","")</f>
        <v/>
      </c>
      <c r="D54" s="233">
        <v>53</v>
      </c>
      <c r="E54" s="530"/>
      <c r="F54" s="531"/>
      <c r="G54" s="531"/>
      <c r="H54" s="532"/>
      <c r="I54" s="532"/>
      <c r="J54" s="532"/>
      <c r="K54" s="532"/>
      <c r="L54" s="532"/>
      <c r="M54" s="532"/>
      <c r="O54" s="533" t="str">
        <f>IF(_xlfn.XLOOKUP(Q54,全装!G:G,全装!A:A,"",0,1)="Y","Y","")</f>
        <v/>
      </c>
      <c r="P54" s="521">
        <v>53</v>
      </c>
      <c r="Q54" s="530"/>
      <c r="R54" s="531"/>
      <c r="S54" s="531"/>
      <c r="T54" s="532"/>
      <c r="U54" s="532"/>
      <c r="V54" s="532"/>
      <c r="W54" s="532"/>
      <c r="X54" s="233"/>
      <c r="Z54" s="233">
        <v>53</v>
      </c>
      <c r="AA54" s="132">
        <v>17</v>
      </c>
      <c r="AB54" s="521" t="s">
        <v>896</v>
      </c>
      <c r="AC54" s="521" t="s">
        <v>2144</v>
      </c>
      <c r="AD54" s="521"/>
      <c r="AE54" s="517">
        <v>1</v>
      </c>
      <c r="AF54" s="522">
        <v>1</v>
      </c>
      <c r="AG54" s="522">
        <v>1</v>
      </c>
      <c r="AH54" s="523">
        <v>5</v>
      </c>
      <c r="AI54" s="523">
        <v>5</v>
      </c>
      <c r="AJ54" s="547"/>
      <c r="AK54" s="548" t="s">
        <v>2273</v>
      </c>
      <c r="AL54" s="368" t="s">
        <v>2194</v>
      </c>
      <c r="AM54" s="233" t="s">
        <v>646</v>
      </c>
      <c r="AN54" s="233"/>
      <c r="AO54" s="549" t="str">
        <f>IF(_xlfn.XLOOKUP(AB54,全装!G:G,全装!A:A,"",0,1)="Y","Y","")</f>
        <v>Y</v>
      </c>
      <c r="AP54" s="233"/>
      <c r="AR54" s="473" t="s">
        <v>2274</v>
      </c>
      <c r="AS54" s="564">
        <v>222</v>
      </c>
      <c r="AT54" s="564">
        <v>222</v>
      </c>
      <c r="AU54" s="564">
        <v>450</v>
      </c>
      <c r="AV54" s="564">
        <v>393</v>
      </c>
      <c r="AW54" s="564">
        <v>393</v>
      </c>
      <c r="AY54" s="570"/>
      <c r="AZ54" s="576" t="str">
        <f>IF(_xlfn.XLOOKUP(BA54,全装!G:G,全装!A:A,"",0,1)="Y","Y","")</f>
        <v/>
      </c>
      <c r="BA54" s="102" t="s">
        <v>1917</v>
      </c>
      <c r="BB54" s="102" t="s">
        <v>2115</v>
      </c>
      <c r="BC54" s="572">
        <v>1</v>
      </c>
      <c r="BD54" s="586">
        <v>4</v>
      </c>
      <c r="BE54" s="578">
        <v>3</v>
      </c>
      <c r="BF54" s="586">
        <v>4</v>
      </c>
      <c r="BG54" s="578">
        <v>3</v>
      </c>
      <c r="BH54" s="595"/>
      <c r="BI54">
        <v>53</v>
      </c>
    </row>
    <row r="55" spans="15:24">
      <c r="O55" s="534"/>
      <c r="T55" s="536"/>
      <c r="U55" s="536"/>
      <c r="V55" s="536"/>
      <c r="W55" s="536"/>
      <c r="X55" s="536"/>
    </row>
    <row r="58" spans="5:17">
      <c r="E58" s="23" t="s">
        <v>2275</v>
      </c>
      <c r="Q58" s="23" t="s">
        <v>2276</v>
      </c>
    </row>
    <row r="60" spans="54:54">
      <c r="BB60" s="23" t="s">
        <v>651</v>
      </c>
    </row>
    <row r="61" spans="54:55">
      <c r="BB61" s="23" t="s">
        <v>2277</v>
      </c>
      <c r="BC61" s="23" t="s">
        <v>2233</v>
      </c>
    </row>
    <row r="62" spans="17:59">
      <c r="Q62" s="23" t="s">
        <v>2278</v>
      </c>
      <c r="BC62" s="23" t="s">
        <v>15</v>
      </c>
      <c r="BD62" s="23" t="s">
        <v>16</v>
      </c>
      <c r="BE62" s="23" t="s">
        <v>17</v>
      </c>
      <c r="BF62" s="23" t="s">
        <v>18</v>
      </c>
      <c r="BG62" s="23" t="s">
        <v>19</v>
      </c>
    </row>
    <row r="63" spans="54:59">
      <c r="BB63" s="23" t="s">
        <v>643</v>
      </c>
      <c r="BC63" s="23">
        <v>290</v>
      </c>
      <c r="BD63" s="23">
        <v>142</v>
      </c>
      <c r="BE63" s="23">
        <v>142</v>
      </c>
      <c r="BF63" s="23">
        <v>253</v>
      </c>
      <c r="BG63" s="23">
        <v>253</v>
      </c>
    </row>
    <row r="64" spans="54:54">
      <c r="BB64" s="23" t="s">
        <v>2279</v>
      </c>
    </row>
    <row r="65" spans="55:55">
      <c r="BC65" s="23" t="s">
        <v>2232</v>
      </c>
    </row>
    <row r="66" spans="55:55">
      <c r="BC66" s="23" t="s">
        <v>914</v>
      </c>
    </row>
    <row r="67" spans="33:59">
      <c r="AG67" s="23" t="s">
        <v>2280</v>
      </c>
      <c r="BB67" s="23" t="s">
        <v>1679</v>
      </c>
      <c r="BC67" s="23" t="s">
        <v>15</v>
      </c>
      <c r="BD67" s="23" t="s">
        <v>16</v>
      </c>
      <c r="BE67" s="23" t="s">
        <v>17</v>
      </c>
      <c r="BF67" s="23" t="s">
        <v>18</v>
      </c>
      <c r="BG67" s="23" t="s">
        <v>19</v>
      </c>
    </row>
    <row r="68" spans="54:59">
      <c r="BB68" s="23" t="s">
        <v>1680</v>
      </c>
      <c r="BC68" s="23">
        <v>253</v>
      </c>
      <c r="BD68" s="23">
        <v>179</v>
      </c>
      <c r="BE68" s="23">
        <v>216</v>
      </c>
      <c r="BF68" s="23">
        <v>253</v>
      </c>
      <c r="BG68" s="23">
        <v>179</v>
      </c>
    </row>
    <row r="69" spans="33:33">
      <c r="AG69" s="23" t="s">
        <v>2281</v>
      </c>
    </row>
    <row r="71" spans="33:33">
      <c r="AG71" s="23" t="s">
        <v>2282</v>
      </c>
    </row>
    <row r="72" spans="53:62">
      <c r="BA72" s="563" t="s">
        <v>772</v>
      </c>
      <c r="BB72" s="563" t="s">
        <v>2206</v>
      </c>
      <c r="BC72" s="567"/>
      <c r="BD72" s="585">
        <v>5</v>
      </c>
      <c r="BE72" s="573">
        <v>5</v>
      </c>
      <c r="BF72" s="586">
        <v>4</v>
      </c>
      <c r="BG72" s="575">
        <v>1</v>
      </c>
      <c r="BH72" s="575">
        <v>1</v>
      </c>
      <c r="BI72" s="600" t="s">
        <v>2204</v>
      </c>
      <c r="BJ72" s="601" t="s">
        <v>17</v>
      </c>
    </row>
    <row r="73" spans="33:62">
      <c r="AG73" s="23" t="s">
        <v>2283</v>
      </c>
      <c r="BA73" s="560" t="s">
        <v>766</v>
      </c>
      <c r="BB73" s="560" t="s">
        <v>2203</v>
      </c>
      <c r="BC73" s="588"/>
      <c r="BD73" s="585">
        <v>5</v>
      </c>
      <c r="BE73" s="573">
        <v>5</v>
      </c>
      <c r="BF73" s="586">
        <v>4</v>
      </c>
      <c r="BG73" s="575">
        <v>1</v>
      </c>
      <c r="BH73" s="575">
        <v>1</v>
      </c>
      <c r="BI73" s="602" t="s">
        <v>2204</v>
      </c>
      <c r="BJ73" s="603" t="s">
        <v>17</v>
      </c>
    </row>
    <row r="74" spans="53:62">
      <c r="BA74" s="563" t="s">
        <v>874</v>
      </c>
      <c r="BB74" s="563" t="s">
        <v>2256</v>
      </c>
      <c r="BC74" s="563"/>
      <c r="BD74" s="585">
        <v>5</v>
      </c>
      <c r="BE74" s="586">
        <v>4</v>
      </c>
      <c r="BF74" s="573">
        <v>5</v>
      </c>
      <c r="BG74" s="575">
        <v>1</v>
      </c>
      <c r="BH74" s="575">
        <v>1</v>
      </c>
      <c r="BI74" s="600" t="s">
        <v>2187</v>
      </c>
      <c r="BJ74" s="601"/>
    </row>
    <row r="75" spans="53:62">
      <c r="BA75" s="563" t="s">
        <v>874</v>
      </c>
      <c r="BB75" s="563" t="s">
        <v>2256</v>
      </c>
      <c r="BC75" s="563"/>
      <c r="BD75" s="585">
        <v>5</v>
      </c>
      <c r="BE75" s="586">
        <v>4</v>
      </c>
      <c r="BF75" s="573">
        <v>5</v>
      </c>
      <c r="BG75" s="575">
        <v>1</v>
      </c>
      <c r="BH75" s="575">
        <v>1</v>
      </c>
      <c r="BI75" s="600" t="s">
        <v>2187</v>
      </c>
      <c r="BJ75" s="601"/>
    </row>
    <row r="76" spans="52:62">
      <c r="AZ76" s="550"/>
      <c r="BA76" s="598" t="s">
        <v>651</v>
      </c>
      <c r="BB76" s="598" t="s">
        <v>2156</v>
      </c>
      <c r="BC76" s="599"/>
      <c r="BD76" s="573">
        <v>5</v>
      </c>
      <c r="BE76" s="575">
        <v>1</v>
      </c>
      <c r="BF76" s="575">
        <v>1</v>
      </c>
      <c r="BG76" s="586">
        <v>4</v>
      </c>
      <c r="BH76" s="586">
        <v>4</v>
      </c>
      <c r="BI76" s="602" t="s">
        <v>15</v>
      </c>
      <c r="BJ76" s="603" t="s">
        <v>1941</v>
      </c>
    </row>
    <row r="77" spans="52:62">
      <c r="AZ77" s="550"/>
      <c r="BA77" s="598" t="s">
        <v>643</v>
      </c>
      <c r="BB77" s="598" t="s">
        <v>2161</v>
      </c>
      <c r="BC77" s="599"/>
      <c r="BD77" s="573">
        <v>5</v>
      </c>
      <c r="BE77" s="575">
        <v>1</v>
      </c>
      <c r="BF77" s="575">
        <v>1</v>
      </c>
      <c r="BG77" s="586">
        <v>4</v>
      </c>
      <c r="BH77" s="586">
        <v>4</v>
      </c>
      <c r="BI77" s="600" t="s">
        <v>15</v>
      </c>
      <c r="BJ77" s="601" t="s">
        <v>1941</v>
      </c>
    </row>
    <row r="78" spans="53:62">
      <c r="BA78" s="563" t="s">
        <v>859</v>
      </c>
      <c r="BB78" s="563" t="s">
        <v>860</v>
      </c>
      <c r="BC78" s="567"/>
      <c r="BD78" s="585">
        <v>5</v>
      </c>
      <c r="BE78" s="575">
        <v>1</v>
      </c>
      <c r="BF78" s="575">
        <v>1</v>
      </c>
      <c r="BG78" s="578">
        <v>3</v>
      </c>
      <c r="BH78" s="573">
        <v>5</v>
      </c>
      <c r="BI78" s="600" t="s">
        <v>2251</v>
      </c>
      <c r="BJ78" s="601"/>
    </row>
    <row r="79" spans="53:62">
      <c r="BA79" s="560" t="s">
        <v>852</v>
      </c>
      <c r="BB79" s="560" t="s">
        <v>2252</v>
      </c>
      <c r="BC79" s="560"/>
      <c r="BD79" s="585">
        <v>5</v>
      </c>
      <c r="BE79" s="575">
        <v>1</v>
      </c>
      <c r="BF79" s="575">
        <v>1</v>
      </c>
      <c r="BG79" s="578">
        <v>3</v>
      </c>
      <c r="BH79" s="573">
        <v>5</v>
      </c>
      <c r="BI79" s="602" t="s">
        <v>2251</v>
      </c>
      <c r="BJ79" s="603"/>
    </row>
    <row r="80" spans="44:61">
      <c r="AR80" s="23" t="s">
        <v>2284</v>
      </c>
      <c r="BA80" s="563" t="s">
        <v>1658</v>
      </c>
      <c r="BB80" s="563" t="s">
        <v>2097</v>
      </c>
      <c r="BD80" s="585">
        <v>5</v>
      </c>
      <c r="BE80" s="586">
        <v>4</v>
      </c>
      <c r="BF80" s="573">
        <v>5</v>
      </c>
      <c r="BG80" s="575">
        <v>1</v>
      </c>
      <c r="BH80" s="575">
        <v>1</v>
      </c>
      <c r="BI80" s="567"/>
    </row>
    <row r="81" spans="44:61">
      <c r="AR81" s="23" t="s">
        <v>2285</v>
      </c>
      <c r="AS81" s="23" t="s">
        <v>2286</v>
      </c>
      <c r="AZ81" s="550"/>
      <c r="BA81" s="588" t="s">
        <v>1637</v>
      </c>
      <c r="BB81" s="588" t="s">
        <v>2094</v>
      </c>
      <c r="BD81" s="585">
        <v>5</v>
      </c>
      <c r="BE81" s="575">
        <v>1</v>
      </c>
      <c r="BF81" s="575">
        <v>1</v>
      </c>
      <c r="BG81" s="573">
        <v>5</v>
      </c>
      <c r="BH81" s="578">
        <v>3</v>
      </c>
      <c r="BI81" s="567" t="s">
        <v>2218</v>
      </c>
    </row>
    <row r="82" spans="53:61">
      <c r="BA82" s="560" t="s">
        <v>1855</v>
      </c>
      <c r="BB82" s="560" t="s">
        <v>1856</v>
      </c>
      <c r="BD82" s="583">
        <v>4</v>
      </c>
      <c r="BE82" s="575">
        <v>1</v>
      </c>
      <c r="BF82" s="575">
        <v>1</v>
      </c>
      <c r="BG82" s="573">
        <v>5</v>
      </c>
      <c r="BH82" s="573">
        <v>5</v>
      </c>
      <c r="BI82" s="604" t="s">
        <v>2193</v>
      </c>
    </row>
    <row r="83" spans="44:61">
      <c r="AR83" s="23" t="s">
        <v>2287</v>
      </c>
      <c r="BA83" s="560" t="s">
        <v>995</v>
      </c>
      <c r="BB83" s="560" t="s">
        <v>996</v>
      </c>
      <c r="BD83" s="583">
        <v>4</v>
      </c>
      <c r="BE83" s="575">
        <v>1</v>
      </c>
      <c r="BF83" s="575">
        <v>1</v>
      </c>
      <c r="BG83" s="586">
        <v>4</v>
      </c>
      <c r="BH83" s="573">
        <v>5</v>
      </c>
      <c r="BI83" s="604"/>
    </row>
    <row r="84" spans="44:61">
      <c r="AR84" s="23" t="s">
        <v>2288</v>
      </c>
      <c r="AS84" s="23" t="s">
        <v>2289</v>
      </c>
      <c r="BA84" s="563" t="s">
        <v>1889</v>
      </c>
      <c r="BB84" s="563" t="s">
        <v>2290</v>
      </c>
      <c r="BD84" s="583">
        <v>4</v>
      </c>
      <c r="BE84" s="575">
        <v>1</v>
      </c>
      <c r="BF84" s="586">
        <v>4</v>
      </c>
      <c r="BG84" s="573">
        <v>5</v>
      </c>
      <c r="BH84" s="575">
        <v>1</v>
      </c>
      <c r="BI84" s="567"/>
    </row>
    <row r="85" spans="53:61">
      <c r="BA85" s="588" t="s">
        <v>1663</v>
      </c>
      <c r="BB85" s="588" t="s">
        <v>2229</v>
      </c>
      <c r="BD85" s="583">
        <v>4</v>
      </c>
      <c r="BE85" s="575">
        <v>1</v>
      </c>
      <c r="BF85" s="578">
        <v>3</v>
      </c>
      <c r="BG85" s="586">
        <v>4</v>
      </c>
      <c r="BH85" s="578">
        <v>3</v>
      </c>
      <c r="BI85" s="567"/>
    </row>
    <row r="86" spans="44:61">
      <c r="AR86" s="23" t="s">
        <v>2291</v>
      </c>
      <c r="BA86" s="567" t="s">
        <v>1679</v>
      </c>
      <c r="BB86" s="567" t="s">
        <v>2101</v>
      </c>
      <c r="BD86" s="583">
        <v>4</v>
      </c>
      <c r="BE86" s="584">
        <v>2</v>
      </c>
      <c r="BF86" s="578">
        <v>3</v>
      </c>
      <c r="BG86" s="586">
        <v>4</v>
      </c>
      <c r="BH86" s="584">
        <v>2</v>
      </c>
      <c r="BI86" s="567" t="s">
        <v>2234</v>
      </c>
    </row>
    <row r="87" spans="44:61">
      <c r="AR87" s="23" t="s">
        <v>2292</v>
      </c>
      <c r="AS87" s="23" t="s">
        <v>2293</v>
      </c>
      <c r="BA87" s="567" t="s">
        <v>1149</v>
      </c>
      <c r="BB87" s="567" t="s">
        <v>2087</v>
      </c>
      <c r="BD87" s="585">
        <v>5</v>
      </c>
      <c r="BE87" s="575">
        <v>1</v>
      </c>
      <c r="BF87" s="573">
        <v>5</v>
      </c>
      <c r="BG87" s="575">
        <v>1</v>
      </c>
      <c r="BH87" s="578">
        <v>3</v>
      </c>
      <c r="BI87" s="588" t="s">
        <v>2187</v>
      </c>
    </row>
    <row r="89" spans="44:44">
      <c r="AR89" s="23" t="s">
        <v>2294</v>
      </c>
    </row>
    <row r="90" spans="44:62">
      <c r="AR90" s="23" t="s">
        <v>2295</v>
      </c>
      <c r="AS90" s="23" t="s">
        <v>2296</v>
      </c>
      <c r="BA90" s="560" t="s">
        <v>766</v>
      </c>
      <c r="BB90" s="560" t="s">
        <v>2203</v>
      </c>
      <c r="BC90" s="588"/>
      <c r="BD90" s="585">
        <v>5</v>
      </c>
      <c r="BE90" s="573">
        <v>5</v>
      </c>
      <c r="BF90" s="586">
        <v>4</v>
      </c>
      <c r="BG90" s="575">
        <v>1</v>
      </c>
      <c r="BH90" s="575">
        <v>1</v>
      </c>
      <c r="BI90" s="602" t="s">
        <v>2204</v>
      </c>
      <c r="BJ90" s="603" t="s">
        <v>17</v>
      </c>
    </row>
    <row r="91" spans="53:62">
      <c r="BA91" s="560" t="s">
        <v>772</v>
      </c>
      <c r="BB91" s="560" t="s">
        <v>2206</v>
      </c>
      <c r="BC91" s="588"/>
      <c r="BD91" s="585">
        <v>5</v>
      </c>
      <c r="BE91" s="573">
        <v>5</v>
      </c>
      <c r="BF91" s="586">
        <v>4</v>
      </c>
      <c r="BG91" s="575">
        <v>1</v>
      </c>
      <c r="BH91" s="575">
        <v>1</v>
      </c>
      <c r="BI91" s="602" t="s">
        <v>2204</v>
      </c>
      <c r="BJ91" s="603" t="s">
        <v>17</v>
      </c>
    </row>
    <row r="92" spans="52:62">
      <c r="AZ92" s="553"/>
      <c r="BA92" s="563" t="s">
        <v>786</v>
      </c>
      <c r="BB92" s="563" t="s">
        <v>2210</v>
      </c>
      <c r="BC92" s="567"/>
      <c r="BD92" s="572">
        <v>1</v>
      </c>
      <c r="BE92" s="573">
        <v>5</v>
      </c>
      <c r="BF92" s="575">
        <v>1</v>
      </c>
      <c r="BG92" s="573">
        <v>5</v>
      </c>
      <c r="BH92" s="578">
        <v>3</v>
      </c>
      <c r="BI92" s="600" t="s">
        <v>2160</v>
      </c>
      <c r="BJ92" s="601"/>
    </row>
    <row r="93" spans="52:62">
      <c r="AZ93" s="553"/>
      <c r="BA93" s="560" t="s">
        <v>779</v>
      </c>
      <c r="BB93" s="560" t="s">
        <v>2213</v>
      </c>
      <c r="BC93" s="560"/>
      <c r="BD93" s="572">
        <v>1</v>
      </c>
      <c r="BE93" s="573">
        <v>5</v>
      </c>
      <c r="BF93" s="575">
        <v>1</v>
      </c>
      <c r="BG93" s="573">
        <v>5</v>
      </c>
      <c r="BH93" s="578">
        <v>3</v>
      </c>
      <c r="BI93" s="602" t="s">
        <v>2160</v>
      </c>
      <c r="BJ93" s="603"/>
    </row>
    <row r="94" spans="52:62">
      <c r="AZ94" s="553"/>
      <c r="BA94" s="563" t="s">
        <v>888</v>
      </c>
      <c r="BB94" s="563" t="s">
        <v>2266</v>
      </c>
      <c r="BC94" s="563"/>
      <c r="BD94" s="572">
        <v>1</v>
      </c>
      <c r="BE94" s="573">
        <v>5</v>
      </c>
      <c r="BF94" s="575">
        <v>1</v>
      </c>
      <c r="BG94" s="573">
        <v>5</v>
      </c>
      <c r="BH94" s="578">
        <v>3</v>
      </c>
      <c r="BI94" s="600"/>
      <c r="BJ94" s="601" t="s">
        <v>2267</v>
      </c>
    </row>
    <row r="95" spans="52:62">
      <c r="AZ95" s="553"/>
      <c r="BA95" s="560" t="s">
        <v>881</v>
      </c>
      <c r="BB95" s="560" t="s">
        <v>2270</v>
      </c>
      <c r="BC95" s="560"/>
      <c r="BD95" s="572">
        <v>1</v>
      </c>
      <c r="BE95" s="573">
        <v>5</v>
      </c>
      <c r="BF95" s="575">
        <v>1</v>
      </c>
      <c r="BG95" s="573">
        <v>5</v>
      </c>
      <c r="BH95" s="578">
        <v>3</v>
      </c>
      <c r="BI95" s="602"/>
      <c r="BJ95" s="603" t="s">
        <v>2267</v>
      </c>
    </row>
    <row r="96" spans="53:62">
      <c r="BA96" s="567" t="s">
        <v>794</v>
      </c>
      <c r="BB96" s="567" t="s">
        <v>795</v>
      </c>
      <c r="BC96" s="567"/>
      <c r="BD96" s="572">
        <v>1</v>
      </c>
      <c r="BE96" s="573">
        <v>5</v>
      </c>
      <c r="BF96" s="584">
        <v>2</v>
      </c>
      <c r="BG96" s="586">
        <v>4</v>
      </c>
      <c r="BH96" s="578">
        <v>3</v>
      </c>
      <c r="BI96" s="600" t="s">
        <v>16</v>
      </c>
      <c r="BJ96" s="601" t="s">
        <v>18</v>
      </c>
    </row>
    <row r="97" spans="53:62">
      <c r="BA97" s="588" t="s">
        <v>802</v>
      </c>
      <c r="BB97" s="588" t="s">
        <v>803</v>
      </c>
      <c r="BC97" s="560"/>
      <c r="BD97" s="572">
        <v>1</v>
      </c>
      <c r="BE97" s="573">
        <v>5</v>
      </c>
      <c r="BF97" s="584">
        <v>2</v>
      </c>
      <c r="BG97" s="586">
        <v>4</v>
      </c>
      <c r="BH97" s="578">
        <v>3</v>
      </c>
      <c r="BI97" s="602" t="s">
        <v>16</v>
      </c>
      <c r="BJ97" s="603" t="s">
        <v>18</v>
      </c>
    </row>
    <row r="98" spans="53:62">
      <c r="BA98" s="567" t="s">
        <v>817</v>
      </c>
      <c r="BB98" s="567" t="s">
        <v>818</v>
      </c>
      <c r="BC98" s="567"/>
      <c r="BD98" s="572">
        <v>1</v>
      </c>
      <c r="BE98" s="573">
        <v>5</v>
      </c>
      <c r="BF98" s="584">
        <v>2</v>
      </c>
      <c r="BG98" s="586">
        <v>4</v>
      </c>
      <c r="BH98" s="578">
        <v>3</v>
      </c>
      <c r="BI98" s="600" t="s">
        <v>16</v>
      </c>
      <c r="BJ98" s="601" t="s">
        <v>18</v>
      </c>
    </row>
    <row r="99" spans="53:62">
      <c r="BA99" s="588" t="s">
        <v>810</v>
      </c>
      <c r="BB99" s="588" t="s">
        <v>811</v>
      </c>
      <c r="BC99" s="588"/>
      <c r="BD99" s="572">
        <v>1</v>
      </c>
      <c r="BE99" s="573">
        <v>5</v>
      </c>
      <c r="BF99" s="578">
        <v>3</v>
      </c>
      <c r="BG99" s="586">
        <v>4</v>
      </c>
      <c r="BH99" s="584">
        <v>2</v>
      </c>
      <c r="BI99" s="602" t="s">
        <v>16</v>
      </c>
      <c r="BJ99" s="603" t="s">
        <v>18</v>
      </c>
    </row>
    <row r="100" spans="52:62">
      <c r="AZ100" s="553"/>
      <c r="BA100" s="588" t="s">
        <v>669</v>
      </c>
      <c r="BB100" s="588" t="s">
        <v>2167</v>
      </c>
      <c r="BC100" s="588"/>
      <c r="BD100" s="572">
        <v>1</v>
      </c>
      <c r="BE100" s="586">
        <v>4</v>
      </c>
      <c r="BF100" s="575">
        <v>1</v>
      </c>
      <c r="BG100" s="586">
        <v>4</v>
      </c>
      <c r="BH100" s="573">
        <v>5</v>
      </c>
      <c r="BI100" s="602" t="s">
        <v>16</v>
      </c>
      <c r="BJ100" s="603"/>
    </row>
    <row r="101" spans="52:62">
      <c r="AZ101" s="553"/>
      <c r="BA101" s="567" t="s">
        <v>661</v>
      </c>
      <c r="BB101" s="567" t="s">
        <v>2171</v>
      </c>
      <c r="BC101" s="567"/>
      <c r="BD101" s="572">
        <v>1</v>
      </c>
      <c r="BE101" s="586">
        <v>4</v>
      </c>
      <c r="BF101" s="575">
        <v>1</v>
      </c>
      <c r="BG101" s="586">
        <v>4</v>
      </c>
      <c r="BH101" s="573">
        <v>5</v>
      </c>
      <c r="BI101" s="600" t="s">
        <v>16</v>
      </c>
      <c r="BJ101" s="601"/>
    </row>
    <row r="102" spans="52:62">
      <c r="AZ102" s="553"/>
      <c r="BA102" s="588" t="s">
        <v>699</v>
      </c>
      <c r="BB102" s="588" t="s">
        <v>2165</v>
      </c>
      <c r="BC102" s="588"/>
      <c r="BD102" s="572">
        <v>1</v>
      </c>
      <c r="BE102" s="586">
        <v>4</v>
      </c>
      <c r="BF102" s="584">
        <v>2</v>
      </c>
      <c r="BG102" s="586">
        <v>4</v>
      </c>
      <c r="BH102" s="586">
        <v>4</v>
      </c>
      <c r="BI102" s="602" t="s">
        <v>16</v>
      </c>
      <c r="BJ102" s="603"/>
    </row>
    <row r="103" spans="52:62">
      <c r="AZ103" s="553"/>
      <c r="BA103" s="567" t="s">
        <v>684</v>
      </c>
      <c r="BB103" s="567" t="s">
        <v>685</v>
      </c>
      <c r="BC103" s="567"/>
      <c r="BD103" s="572">
        <v>1</v>
      </c>
      <c r="BE103" s="586">
        <v>4</v>
      </c>
      <c r="BF103" s="584">
        <v>2</v>
      </c>
      <c r="BG103" s="586">
        <v>4</v>
      </c>
      <c r="BH103" s="586">
        <v>4</v>
      </c>
      <c r="BI103" s="600" t="s">
        <v>16</v>
      </c>
      <c r="BJ103" s="601"/>
    </row>
    <row r="104" spans="52:62">
      <c r="AZ104" s="553"/>
      <c r="BA104" s="588" t="s">
        <v>691</v>
      </c>
      <c r="BB104" s="588" t="s">
        <v>691</v>
      </c>
      <c r="BC104" s="588"/>
      <c r="BD104" s="572">
        <v>1</v>
      </c>
      <c r="BE104" s="586">
        <v>4</v>
      </c>
      <c r="BF104" s="584">
        <v>2</v>
      </c>
      <c r="BG104" s="586">
        <v>4</v>
      </c>
      <c r="BH104" s="586">
        <v>4</v>
      </c>
      <c r="BI104" s="602" t="s">
        <v>16</v>
      </c>
      <c r="BJ104" s="603"/>
    </row>
    <row r="105" spans="52:62">
      <c r="AZ105" s="553"/>
      <c r="BA105" s="567" t="s">
        <v>677</v>
      </c>
      <c r="BB105" s="567" t="s">
        <v>678</v>
      </c>
      <c r="BC105" s="567"/>
      <c r="BD105" s="572">
        <v>1</v>
      </c>
      <c r="BE105" s="586">
        <v>4</v>
      </c>
      <c r="BF105" s="584">
        <v>2</v>
      </c>
      <c r="BG105" s="586">
        <v>4</v>
      </c>
      <c r="BH105" s="586">
        <v>4</v>
      </c>
      <c r="BI105" s="600" t="s">
        <v>16</v>
      </c>
      <c r="BJ105" s="601"/>
    </row>
    <row r="106" spans="53:61">
      <c r="BA106" s="560" t="s">
        <v>912</v>
      </c>
      <c r="BB106" s="560" t="s">
        <v>2159</v>
      </c>
      <c r="BD106" s="572">
        <v>1</v>
      </c>
      <c r="BE106" s="573">
        <v>5</v>
      </c>
      <c r="BF106" s="586">
        <v>4</v>
      </c>
      <c r="BG106" s="573">
        <v>5</v>
      </c>
      <c r="BH106" s="575">
        <v>1</v>
      </c>
      <c r="BI106" s="588" t="s">
        <v>2160</v>
      </c>
    </row>
    <row r="107" spans="52:61">
      <c r="AZ107" s="553"/>
      <c r="BA107" s="560" t="s">
        <v>1902</v>
      </c>
      <c r="BB107" s="560" t="s">
        <v>2112</v>
      </c>
      <c r="BD107" s="577">
        <v>2</v>
      </c>
      <c r="BE107" s="573">
        <v>5</v>
      </c>
      <c r="BF107" s="584">
        <v>2</v>
      </c>
      <c r="BG107" s="586">
        <v>4</v>
      </c>
      <c r="BH107" s="586">
        <v>4</v>
      </c>
      <c r="BI107" s="567"/>
    </row>
    <row r="108" spans="52:61">
      <c r="AZ108" s="553"/>
      <c r="BA108" s="567" t="s">
        <v>989</v>
      </c>
      <c r="BB108" s="567" t="s">
        <v>2084</v>
      </c>
      <c r="BD108" s="572">
        <v>1</v>
      </c>
      <c r="BE108" s="573">
        <v>5</v>
      </c>
      <c r="BF108" s="584">
        <v>2</v>
      </c>
      <c r="BG108" s="586">
        <v>4</v>
      </c>
      <c r="BH108" s="578">
        <v>3</v>
      </c>
      <c r="BI108" s="567" t="s">
        <v>16</v>
      </c>
    </row>
    <row r="109" spans="52:61">
      <c r="AZ109" s="553"/>
      <c r="BA109" s="560" t="s">
        <v>1755</v>
      </c>
      <c r="BB109" s="560" t="s">
        <v>1756</v>
      </c>
      <c r="BD109" s="572">
        <v>1</v>
      </c>
      <c r="BE109" s="573">
        <v>5</v>
      </c>
      <c r="BF109" s="584">
        <v>2</v>
      </c>
      <c r="BG109" s="586">
        <v>4</v>
      </c>
      <c r="BH109" s="578">
        <v>3</v>
      </c>
      <c r="BI109" s="588"/>
    </row>
    <row r="110" spans="53:61">
      <c r="BA110" s="563" t="s">
        <v>1834</v>
      </c>
      <c r="BB110" s="563" t="s">
        <v>1835</v>
      </c>
      <c r="BD110" s="572">
        <v>1</v>
      </c>
      <c r="BE110" s="586">
        <v>4</v>
      </c>
      <c r="BF110" s="575">
        <v>1</v>
      </c>
      <c r="BG110" s="573">
        <v>5</v>
      </c>
      <c r="BH110" s="586">
        <v>4</v>
      </c>
      <c r="BI110" s="604"/>
    </row>
    <row r="111" spans="53:61">
      <c r="BA111" s="567" t="s">
        <v>1769</v>
      </c>
      <c r="BB111" s="567" t="s">
        <v>2105</v>
      </c>
      <c r="BD111" s="572">
        <v>1</v>
      </c>
      <c r="BE111" s="586">
        <v>4</v>
      </c>
      <c r="BF111" s="584">
        <v>2</v>
      </c>
      <c r="BG111" s="573">
        <v>5</v>
      </c>
      <c r="BH111" s="578">
        <v>3</v>
      </c>
      <c r="BI111" s="567" t="s">
        <v>18</v>
      </c>
    </row>
    <row r="112" spans="53:61">
      <c r="BA112" s="563" t="s">
        <v>1495</v>
      </c>
      <c r="BB112" s="563" t="s">
        <v>2091</v>
      </c>
      <c r="BD112" s="572">
        <v>1</v>
      </c>
      <c r="BE112" s="586">
        <v>4</v>
      </c>
      <c r="BF112" s="584">
        <v>2</v>
      </c>
      <c r="BG112" s="573">
        <v>5</v>
      </c>
      <c r="BH112" s="578">
        <v>3</v>
      </c>
      <c r="BI112" s="588"/>
    </row>
    <row r="113" spans="53:61">
      <c r="BA113" s="560" t="s">
        <v>1861</v>
      </c>
      <c r="BB113" s="560" t="s">
        <v>2109</v>
      </c>
      <c r="BD113" s="572">
        <v>1</v>
      </c>
      <c r="BE113" s="586">
        <v>4</v>
      </c>
      <c r="BF113" s="586">
        <v>4</v>
      </c>
      <c r="BG113" s="573">
        <v>5</v>
      </c>
      <c r="BH113" s="575">
        <v>1</v>
      </c>
      <c r="BI113" s="567"/>
    </row>
    <row r="114" spans="53:61">
      <c r="BA114" s="567" t="s">
        <v>1220</v>
      </c>
      <c r="BB114" s="567" t="s">
        <v>1221</v>
      </c>
      <c r="BD114" s="577">
        <v>2</v>
      </c>
      <c r="BE114" s="586">
        <v>4</v>
      </c>
      <c r="BF114" s="584">
        <v>2</v>
      </c>
      <c r="BG114" s="586">
        <v>4</v>
      </c>
      <c r="BH114" s="578">
        <v>3</v>
      </c>
      <c r="BI114" s="588"/>
    </row>
    <row r="115" spans="53:61">
      <c r="BA115" s="567" t="s">
        <v>1917</v>
      </c>
      <c r="BB115" s="567" t="s">
        <v>2115</v>
      </c>
      <c r="BD115" s="572">
        <v>1</v>
      </c>
      <c r="BE115" s="586">
        <v>4</v>
      </c>
      <c r="BF115" s="578">
        <v>3</v>
      </c>
      <c r="BG115" s="586">
        <v>4</v>
      </c>
      <c r="BH115" s="578">
        <v>3</v>
      </c>
      <c r="BI115" s="588"/>
    </row>
    <row r="116" spans="53:61">
      <c r="BA116" s="588" t="s">
        <v>1171</v>
      </c>
      <c r="BB116" s="588" t="s">
        <v>1172</v>
      </c>
      <c r="BD116" s="577">
        <v>2</v>
      </c>
      <c r="BE116" s="586">
        <v>4</v>
      </c>
      <c r="BF116" s="578">
        <v>3</v>
      </c>
      <c r="BG116" s="586">
        <v>4</v>
      </c>
      <c r="BH116" s="584">
        <v>2</v>
      </c>
      <c r="BI116" s="567"/>
    </row>
    <row r="117" spans="53:61">
      <c r="BA117" s="588" t="s">
        <v>1824</v>
      </c>
      <c r="BB117" s="588" t="s">
        <v>2107</v>
      </c>
      <c r="BD117" s="577">
        <v>2</v>
      </c>
      <c r="BE117" s="586">
        <v>4</v>
      </c>
      <c r="BF117" s="584">
        <v>2</v>
      </c>
      <c r="BG117" s="578">
        <v>3</v>
      </c>
      <c r="BH117" s="573">
        <v>5</v>
      </c>
      <c r="BI117" s="567"/>
    </row>
    <row r="118" spans="53:61">
      <c r="BA118" s="588" t="s">
        <v>1311</v>
      </c>
      <c r="BB118" s="588" t="s">
        <v>2090</v>
      </c>
      <c r="BD118" s="577">
        <v>2</v>
      </c>
      <c r="BE118" s="586">
        <v>4</v>
      </c>
      <c r="BF118" s="584">
        <v>2</v>
      </c>
      <c r="BG118" s="578">
        <v>3</v>
      </c>
      <c r="BH118" s="586">
        <v>4</v>
      </c>
      <c r="BI118" s="567"/>
    </row>
    <row r="119" spans="53:61">
      <c r="BA119" s="567" t="s">
        <v>1898</v>
      </c>
      <c r="BB119" s="567" t="s">
        <v>2111</v>
      </c>
      <c r="BD119" s="577">
        <v>2</v>
      </c>
      <c r="BE119" s="586">
        <v>4</v>
      </c>
      <c r="BF119" s="584">
        <v>2</v>
      </c>
      <c r="BG119" s="578">
        <v>3</v>
      </c>
      <c r="BH119" s="586">
        <v>4</v>
      </c>
      <c r="BI119" s="588"/>
    </row>
    <row r="120" spans="53:61">
      <c r="BA120" s="567" t="s">
        <v>1727</v>
      </c>
      <c r="BB120" s="567" t="s">
        <v>2102</v>
      </c>
      <c r="BD120" s="577">
        <v>2</v>
      </c>
      <c r="BE120" s="586">
        <v>4</v>
      </c>
      <c r="BF120" s="578">
        <v>3</v>
      </c>
      <c r="BG120" s="584">
        <v>2</v>
      </c>
      <c r="BH120" s="586">
        <v>4</v>
      </c>
      <c r="BI120" s="567"/>
    </row>
    <row r="121" spans="53:61">
      <c r="BA121" s="560" t="s">
        <v>1658</v>
      </c>
      <c r="BB121" s="560" t="s">
        <v>2097</v>
      </c>
      <c r="BD121" s="585">
        <v>5</v>
      </c>
      <c r="BE121" s="586">
        <v>4</v>
      </c>
      <c r="BF121" s="573">
        <v>5</v>
      </c>
      <c r="BG121" s="575">
        <v>1</v>
      </c>
      <c r="BH121" s="575">
        <v>1</v>
      </c>
      <c r="BI121" s="567"/>
    </row>
    <row r="124" spans="53:62">
      <c r="BA124" s="563" t="s">
        <v>874</v>
      </c>
      <c r="BB124" s="563" t="s">
        <v>2256</v>
      </c>
      <c r="BC124" s="563"/>
      <c r="BD124" s="585">
        <v>5</v>
      </c>
      <c r="BE124" s="586">
        <v>4</v>
      </c>
      <c r="BF124" s="573">
        <v>5</v>
      </c>
      <c r="BG124" s="575">
        <v>1</v>
      </c>
      <c r="BH124" s="575">
        <v>1</v>
      </c>
      <c r="BI124" s="600" t="s">
        <v>2187</v>
      </c>
      <c r="BJ124" s="601"/>
    </row>
    <row r="125" spans="53:62">
      <c r="BA125" s="563" t="s">
        <v>867</v>
      </c>
      <c r="BB125" s="563" t="s">
        <v>2259</v>
      </c>
      <c r="BC125" s="563"/>
      <c r="BD125" s="585">
        <v>5</v>
      </c>
      <c r="BE125" s="586">
        <v>4</v>
      </c>
      <c r="BF125" s="573">
        <v>5</v>
      </c>
      <c r="BG125" s="575">
        <v>1</v>
      </c>
      <c r="BH125" s="575">
        <v>1</v>
      </c>
      <c r="BI125" s="600" t="s">
        <v>2187</v>
      </c>
      <c r="BJ125" s="601"/>
    </row>
    <row r="126" spans="52:62">
      <c r="AZ126" s="554" t="s">
        <v>2297</v>
      </c>
      <c r="BA126" s="563" t="s">
        <v>739</v>
      </c>
      <c r="BB126" s="563" t="s">
        <v>2137</v>
      </c>
      <c r="BC126" s="567"/>
      <c r="BD126" s="572">
        <v>1</v>
      </c>
      <c r="BE126" s="575">
        <v>1</v>
      </c>
      <c r="BF126" s="573">
        <v>5</v>
      </c>
      <c r="BG126" s="586">
        <v>4</v>
      </c>
      <c r="BH126" s="586">
        <v>4</v>
      </c>
      <c r="BI126" s="600" t="s">
        <v>17</v>
      </c>
      <c r="BJ126" s="601"/>
    </row>
    <row r="127" spans="52:62">
      <c r="AZ127" s="554" t="s">
        <v>2297</v>
      </c>
      <c r="BA127" s="560" t="s">
        <v>731</v>
      </c>
      <c r="BB127" s="560" t="s">
        <v>2222</v>
      </c>
      <c r="BC127" s="588"/>
      <c r="BD127" s="572">
        <v>1</v>
      </c>
      <c r="BE127" s="575">
        <v>1</v>
      </c>
      <c r="BF127" s="573">
        <v>5</v>
      </c>
      <c r="BG127" s="586">
        <v>4</v>
      </c>
      <c r="BH127" s="586">
        <v>4</v>
      </c>
      <c r="BI127" s="602" t="s">
        <v>17</v>
      </c>
      <c r="BJ127" s="603"/>
    </row>
    <row r="128" spans="52:62">
      <c r="AZ128" s="554" t="s">
        <v>2298</v>
      </c>
      <c r="BA128" s="588" t="s">
        <v>708</v>
      </c>
      <c r="BB128" s="588" t="s">
        <v>2190</v>
      </c>
      <c r="BC128" s="588"/>
      <c r="BD128" s="572">
        <v>1</v>
      </c>
      <c r="BE128" s="575">
        <v>1</v>
      </c>
      <c r="BF128" s="586">
        <v>4</v>
      </c>
      <c r="BG128" s="573">
        <v>5</v>
      </c>
      <c r="BH128" s="586">
        <v>4</v>
      </c>
      <c r="BI128" s="602"/>
      <c r="BJ128" s="603" t="s">
        <v>17</v>
      </c>
    </row>
    <row r="129" spans="52:62">
      <c r="AZ129" s="554" t="s">
        <v>2298</v>
      </c>
      <c r="BA129" s="567" t="s">
        <v>723</v>
      </c>
      <c r="BB129" s="567" t="s">
        <v>2186</v>
      </c>
      <c r="BC129" s="567"/>
      <c r="BD129" s="572">
        <v>1</v>
      </c>
      <c r="BE129" s="575">
        <v>1</v>
      </c>
      <c r="BF129" s="586">
        <v>4</v>
      </c>
      <c r="BG129" s="586">
        <v>4</v>
      </c>
      <c r="BH129" s="573">
        <v>5</v>
      </c>
      <c r="BI129" s="600"/>
      <c r="BJ129" s="601" t="s">
        <v>17</v>
      </c>
    </row>
    <row r="130" spans="52:62">
      <c r="AZ130" s="554" t="s">
        <v>2298</v>
      </c>
      <c r="BA130" s="588" t="s">
        <v>716</v>
      </c>
      <c r="BB130" s="588" t="s">
        <v>717</v>
      </c>
      <c r="BC130" s="588"/>
      <c r="BD130" s="577">
        <v>2</v>
      </c>
      <c r="BE130" s="575">
        <v>1</v>
      </c>
      <c r="BF130" s="586">
        <v>4</v>
      </c>
      <c r="BG130" s="586">
        <v>4</v>
      </c>
      <c r="BH130" s="586">
        <v>4</v>
      </c>
      <c r="BI130" s="602"/>
      <c r="BJ130" s="603" t="s">
        <v>17</v>
      </c>
    </row>
    <row r="131" spans="53:61">
      <c r="BA131" s="560" t="s">
        <v>1658</v>
      </c>
      <c r="BB131" s="560" t="s">
        <v>2097</v>
      </c>
      <c r="BD131" s="585">
        <v>5</v>
      </c>
      <c r="BE131" s="586">
        <v>4</v>
      </c>
      <c r="BF131" s="573">
        <v>5</v>
      </c>
      <c r="BG131" s="575">
        <v>1</v>
      </c>
      <c r="BH131" s="575">
        <v>1</v>
      </c>
      <c r="BI131" s="567"/>
    </row>
    <row r="132" spans="52:61">
      <c r="AZ132" s="554" t="s">
        <v>2297</v>
      </c>
      <c r="BA132" s="560" t="s">
        <v>1227</v>
      </c>
      <c r="BB132" s="560" t="s">
        <v>2089</v>
      </c>
      <c r="BD132" s="572">
        <v>1</v>
      </c>
      <c r="BE132" s="575">
        <v>1</v>
      </c>
      <c r="BF132" s="573">
        <v>5</v>
      </c>
      <c r="BG132" s="573">
        <v>5</v>
      </c>
      <c r="BH132" s="586">
        <v>4</v>
      </c>
      <c r="BI132" s="604" t="s">
        <v>2200</v>
      </c>
    </row>
    <row r="133" spans="52:61">
      <c r="AZ133" s="554" t="s">
        <v>2297</v>
      </c>
      <c r="BA133" s="563" t="s">
        <v>920</v>
      </c>
      <c r="BB133" s="563" t="s">
        <v>2162</v>
      </c>
      <c r="BD133" s="572">
        <v>1</v>
      </c>
      <c r="BE133" s="575">
        <v>1</v>
      </c>
      <c r="BF133" s="573">
        <v>5</v>
      </c>
      <c r="BG133" s="586">
        <v>4</v>
      </c>
      <c r="BH133" s="573">
        <v>5</v>
      </c>
      <c r="BI133" s="588"/>
    </row>
    <row r="134" spans="52:61">
      <c r="AZ134" s="554" t="s">
        <v>2298</v>
      </c>
      <c r="BA134" s="567" t="s">
        <v>1113</v>
      </c>
      <c r="BB134" s="567" t="s">
        <v>2086</v>
      </c>
      <c r="BD134" s="572">
        <v>1</v>
      </c>
      <c r="BE134" s="578">
        <v>3</v>
      </c>
      <c r="BF134" s="573">
        <v>5</v>
      </c>
      <c r="BG134" s="586">
        <v>4</v>
      </c>
      <c r="BH134" s="584">
        <v>2</v>
      </c>
      <c r="BI134" s="588" t="s">
        <v>17</v>
      </c>
    </row>
    <row r="135" spans="52:61">
      <c r="AZ135" s="23" t="s">
        <v>2298</v>
      </c>
      <c r="BA135" s="588" t="s">
        <v>1149</v>
      </c>
      <c r="BB135" s="588" t="s">
        <v>2087</v>
      </c>
      <c r="BD135" s="585">
        <v>5</v>
      </c>
      <c r="BE135" s="575">
        <v>1</v>
      </c>
      <c r="BF135" s="573">
        <v>5</v>
      </c>
      <c r="BG135" s="575">
        <v>1</v>
      </c>
      <c r="BH135" s="578">
        <v>3</v>
      </c>
      <c r="BI135" s="588" t="s">
        <v>2187</v>
      </c>
    </row>
    <row r="136" spans="52:61">
      <c r="AZ136" s="23" t="s">
        <v>2299</v>
      </c>
      <c r="BA136" s="560" t="s">
        <v>912</v>
      </c>
      <c r="BB136" s="560" t="s">
        <v>2159</v>
      </c>
      <c r="BD136" s="572">
        <v>1</v>
      </c>
      <c r="BE136" s="573">
        <v>5</v>
      </c>
      <c r="BF136" s="586">
        <v>4</v>
      </c>
      <c r="BG136" s="573">
        <v>5</v>
      </c>
      <c r="BH136" s="575">
        <v>1</v>
      </c>
      <c r="BI136" s="588" t="s">
        <v>2160</v>
      </c>
    </row>
    <row r="137" spans="53:61">
      <c r="BA137" s="563" t="s">
        <v>1861</v>
      </c>
      <c r="BB137" s="563" t="s">
        <v>2109</v>
      </c>
      <c r="BD137" s="572">
        <v>1</v>
      </c>
      <c r="BE137" s="586">
        <v>4</v>
      </c>
      <c r="BF137" s="586">
        <v>4</v>
      </c>
      <c r="BG137" s="573">
        <v>5</v>
      </c>
      <c r="BH137" s="575">
        <v>1</v>
      </c>
      <c r="BI137" s="567"/>
    </row>
    <row r="138" spans="53:61">
      <c r="BA138" s="560" t="s">
        <v>1889</v>
      </c>
      <c r="BB138" s="560" t="s">
        <v>2290</v>
      </c>
      <c r="BD138" s="583">
        <v>4</v>
      </c>
      <c r="BE138" s="575">
        <v>1</v>
      </c>
      <c r="BF138" s="586">
        <v>4</v>
      </c>
      <c r="BG138" s="573">
        <v>5</v>
      </c>
      <c r="BH138" s="575">
        <v>1</v>
      </c>
      <c r="BI138" s="567"/>
    </row>
    <row r="139" spans="52:61">
      <c r="AZ139" s="554"/>
      <c r="BA139" s="567" t="s">
        <v>968</v>
      </c>
      <c r="BB139" s="567" t="s">
        <v>2082</v>
      </c>
      <c r="BD139" s="577">
        <v>2</v>
      </c>
      <c r="BE139" s="575">
        <v>1</v>
      </c>
      <c r="BF139" s="586">
        <v>4</v>
      </c>
      <c r="BG139" s="586">
        <v>4</v>
      </c>
      <c r="BH139" s="586">
        <v>4</v>
      </c>
      <c r="BI139" s="567"/>
    </row>
    <row r="140" spans="52:61">
      <c r="AZ140" s="554"/>
      <c r="BA140" s="567" t="s">
        <v>1212</v>
      </c>
      <c r="BB140" s="567" t="s">
        <v>2088</v>
      </c>
      <c r="BD140" s="572">
        <v>1</v>
      </c>
      <c r="BE140" s="584">
        <v>2</v>
      </c>
      <c r="BF140" s="586">
        <v>4</v>
      </c>
      <c r="BG140" s="586">
        <v>4</v>
      </c>
      <c r="BH140" s="586">
        <v>4</v>
      </c>
      <c r="BI140" s="567"/>
    </row>
    <row r="141" spans="52:61">
      <c r="AZ141" s="554"/>
      <c r="BA141" s="567" t="s">
        <v>1731</v>
      </c>
      <c r="BB141" s="567" t="s">
        <v>2103</v>
      </c>
      <c r="BD141" s="572">
        <v>1</v>
      </c>
      <c r="BE141" s="584">
        <v>2</v>
      </c>
      <c r="BF141" s="586">
        <v>4</v>
      </c>
      <c r="BG141" s="586">
        <v>4</v>
      </c>
      <c r="BH141" s="586">
        <v>4</v>
      </c>
      <c r="BI141" s="567"/>
    </row>
    <row r="142" spans="52:61">
      <c r="AZ142" s="554"/>
      <c r="BA142" s="588" t="s">
        <v>1736</v>
      </c>
      <c r="BB142" s="588" t="s">
        <v>2104</v>
      </c>
      <c r="BD142" s="572">
        <v>1</v>
      </c>
      <c r="BE142" s="584">
        <v>2</v>
      </c>
      <c r="BF142" s="586">
        <v>4</v>
      </c>
      <c r="BG142" s="586">
        <v>4</v>
      </c>
      <c r="BH142" s="586">
        <v>4</v>
      </c>
      <c r="BI142" s="604"/>
    </row>
    <row r="143" spans="53:61">
      <c r="BA143" s="567" t="s">
        <v>1501</v>
      </c>
      <c r="BB143" s="567" t="s">
        <v>2092</v>
      </c>
      <c r="BD143" s="579">
        <v>3</v>
      </c>
      <c r="BE143" s="575">
        <v>1</v>
      </c>
      <c r="BF143" s="586">
        <v>4</v>
      </c>
      <c r="BG143" s="578">
        <v>3</v>
      </c>
      <c r="BH143" s="586">
        <v>4</v>
      </c>
      <c r="BI143" s="567"/>
    </row>
    <row r="144" spans="53:61">
      <c r="BA144" s="588" t="s">
        <v>1098</v>
      </c>
      <c r="BB144" s="588" t="s">
        <v>2085</v>
      </c>
      <c r="BD144" s="577">
        <v>2</v>
      </c>
      <c r="BE144" s="584">
        <v>2</v>
      </c>
      <c r="BF144" s="586">
        <v>4</v>
      </c>
      <c r="BG144" s="578">
        <v>3</v>
      </c>
      <c r="BH144" s="586">
        <v>4</v>
      </c>
      <c r="BI144" s="567"/>
    </row>
    <row r="145" spans="53:61">
      <c r="BA145" s="588" t="s">
        <v>927</v>
      </c>
      <c r="BB145" s="588" t="s">
        <v>928</v>
      </c>
      <c r="BD145" s="577">
        <v>2</v>
      </c>
      <c r="BE145" s="578">
        <v>3</v>
      </c>
      <c r="BF145" s="586">
        <v>4</v>
      </c>
      <c r="BG145" s="578">
        <v>3</v>
      </c>
      <c r="BH145" s="578">
        <v>3</v>
      </c>
      <c r="BI145" s="588"/>
    </row>
  </sheetData>
  <mergeCells count="8">
    <mergeCell ref="AR2:AW2"/>
    <mergeCell ref="AR12:AW12"/>
    <mergeCell ref="AR22:AW22"/>
    <mergeCell ref="AS32:AW32"/>
    <mergeCell ref="AS33:AW33"/>
    <mergeCell ref="AS38:AW38"/>
    <mergeCell ref="AS51:AW51"/>
    <mergeCell ref="AS52:AW52"/>
  </mergeCells>
  <conditionalFormatting sqref="AS8:AW8">
    <cfRule type="colorScale" priority="10">
      <colorScale>
        <cfvo type="num" val="1"/>
        <cfvo type="num" val="3"/>
        <cfvo type="num" val="5"/>
        <color rgb="FFE64D4D"/>
        <color rgb="FFFFEB84"/>
        <color rgb="FF4DE64D"/>
      </colorScale>
    </cfRule>
  </conditionalFormatting>
  <conditionalFormatting sqref="AS18:AW18">
    <cfRule type="colorScale" priority="9">
      <colorScale>
        <cfvo type="num" val="1"/>
        <cfvo type="num" val="3"/>
        <cfvo type="num" val="5"/>
        <color rgb="FFE64D4D"/>
        <color rgb="FFFFEB84"/>
        <color rgb="FF4DE64D"/>
      </colorScale>
    </cfRule>
  </conditionalFormatting>
  <conditionalFormatting sqref="AS28:AW28">
    <cfRule type="colorScale" priority="8">
      <colorScale>
        <cfvo type="num" val="1"/>
        <cfvo type="num" val="3"/>
        <cfvo type="num" val="5"/>
        <color rgb="FFE64D4D"/>
        <color rgb="FFFFEB84"/>
        <color rgb="FF4DE64D"/>
      </colorScale>
    </cfRule>
  </conditionalFormatting>
  <conditionalFormatting sqref="AO2:AO54 AY2:AZ54">
    <cfRule type="containsText" dxfId="51" priority="7" operator="between" text="Y">
      <formula>NOT(ISERROR(SEARCH("Y",AO2)))</formula>
    </cfRule>
  </conditionalFormatting>
  <dataValidations count="2">
    <dataValidation type="list" allowBlank="1" showInputMessage="1" showErrorMessage="1" sqref="AS4 AS14 AS24">
      <formula1>Combos!Rarity_List_Universal</formula1>
    </dataValidation>
    <dataValidation type="whole" operator="between" allowBlank="1" showInputMessage="1" showErrorMessage="1" errorTitle="Fucky Wucky Detected" error="Please enter a Whole Number (between 1-999)" sqref="AT4 AT14 AT24">
      <formula1>1</formula1>
      <formula2>999</formula2>
    </dataValidation>
  </dataValidations>
  <pageMargins left="0.7" right="0.7" top="0.75" bottom="0.75" header="0.3" footer="0.3"/>
  <pageSetup paperSize="1" orientation="portrait"/>
  <headerFooter/>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AH113"/>
  <sheetViews>
    <sheetView zoomScale="85" zoomScaleNormal="85" topLeftCell="G1" workbookViewId="0">
      <selection activeCell="S5" sqref="S5:S6"/>
    </sheetView>
  </sheetViews>
  <sheetFormatPr defaultColWidth="9" defaultRowHeight="13.5"/>
  <cols>
    <col min="1" max="1" width="22.1416666666667" style="23" customWidth="1"/>
    <col min="2" max="8" width="9.14166666666667" style="23"/>
    <col min="10" max="11" width="9.14166666666667" style="23" customWidth="1"/>
    <col min="12" max="13" width="29.7083333333333" style="23" customWidth="1"/>
    <col min="14" max="20" width="9.14166666666667" style="23"/>
    <col min="21" max="21" width="20.7083333333333" style="23" customWidth="1"/>
    <col min="22" max="22" width="9.70833333333333" style="23" customWidth="1"/>
    <col min="23" max="27" width="9.14166666666667" style="23"/>
    <col min="28" max="28" width="9.14166666666667" style="23" customWidth="1"/>
    <col min="29" max="33" width="9.14166666666667" style="23"/>
    <col min="34" max="34" width="9.28333333333333" style="23" customWidth="1"/>
    <col min="35" max="16384" width="9.14166666666667" style="23"/>
  </cols>
  <sheetData>
    <row r="1" spans="9:19">
      <c r="I1" t="s">
        <v>13</v>
      </c>
      <c r="J1" s="407" t="s">
        <v>1925</v>
      </c>
      <c r="K1" s="408" t="s">
        <v>2300</v>
      </c>
      <c r="L1" s="409" t="s">
        <v>1927</v>
      </c>
      <c r="M1" s="410" t="s">
        <v>1928</v>
      </c>
      <c r="N1" s="411" t="s">
        <v>15</v>
      </c>
      <c r="O1" s="412" t="s">
        <v>16</v>
      </c>
      <c r="P1" s="412" t="s">
        <v>17</v>
      </c>
      <c r="Q1" s="412" t="s">
        <v>18</v>
      </c>
      <c r="R1" s="412" t="s">
        <v>19</v>
      </c>
      <c r="S1" s="407" t="s">
        <v>1982</v>
      </c>
    </row>
    <row r="2" ht="14.25" spans="9:26">
      <c r="I2" t="str">
        <f>IF(_xlfn.XLOOKUP(L2,全装!G:G,全装!A:A,"")="Y","Y","")</f>
        <v>Y</v>
      </c>
      <c r="J2" s="413" t="s">
        <v>1931</v>
      </c>
      <c r="K2" s="414" t="s">
        <v>1931</v>
      </c>
      <c r="L2" s="415" t="s">
        <v>955</v>
      </c>
      <c r="M2" s="416" t="s">
        <v>2301</v>
      </c>
      <c r="N2" s="417">
        <v>2</v>
      </c>
      <c r="O2" s="418">
        <v>3</v>
      </c>
      <c r="P2" s="419">
        <v>1</v>
      </c>
      <c r="Q2" s="426">
        <v>4</v>
      </c>
      <c r="R2" s="421">
        <v>5</v>
      </c>
      <c r="S2" s="414" t="s">
        <v>19</v>
      </c>
      <c r="T2" s="404"/>
      <c r="X2" s="468"/>
      <c r="Y2" s="468"/>
      <c r="Z2" s="468"/>
    </row>
    <row r="3" spans="9:26">
      <c r="I3" t="str">
        <f>IF(_xlfn.XLOOKUP(L3,全装!G:G,全装!A:A,"")="Y","Y","")</f>
        <v>Y</v>
      </c>
      <c r="J3" s="413" t="s">
        <v>1931</v>
      </c>
      <c r="K3" s="414" t="s">
        <v>1931</v>
      </c>
      <c r="L3" s="415" t="s">
        <v>989</v>
      </c>
      <c r="M3" s="416" t="s">
        <v>2084</v>
      </c>
      <c r="N3" s="420">
        <v>1</v>
      </c>
      <c r="O3" s="421">
        <v>5</v>
      </c>
      <c r="P3" s="422">
        <v>2</v>
      </c>
      <c r="Q3" s="426">
        <v>4</v>
      </c>
      <c r="R3" s="418">
        <v>3</v>
      </c>
      <c r="S3" s="414" t="s">
        <v>16</v>
      </c>
      <c r="T3" s="404"/>
      <c r="U3" s="469" t="s">
        <v>1927</v>
      </c>
      <c r="V3" s="470" t="s">
        <v>1935</v>
      </c>
      <c r="W3" s="470" t="s">
        <v>1936</v>
      </c>
      <c r="Z3" s="504"/>
    </row>
    <row r="4" ht="14.25" spans="9:26">
      <c r="I4" t="str">
        <f>IF(_xlfn.XLOOKUP(L4,全装!G:G,全装!A:A,"")="Y","Y","")</f>
        <v/>
      </c>
      <c r="J4" s="413" t="s">
        <v>1931</v>
      </c>
      <c r="K4" s="414"/>
      <c r="L4" s="415" t="s">
        <v>1149</v>
      </c>
      <c r="M4" s="416" t="s">
        <v>1150</v>
      </c>
      <c r="N4" s="423">
        <v>5</v>
      </c>
      <c r="O4" s="419">
        <v>1</v>
      </c>
      <c r="P4" s="421">
        <v>5</v>
      </c>
      <c r="Q4" s="419">
        <v>1</v>
      </c>
      <c r="R4" s="418">
        <v>3</v>
      </c>
      <c r="S4" s="414" t="s">
        <v>2187</v>
      </c>
      <c r="T4" s="404"/>
      <c r="U4" s="471" t="s">
        <v>927</v>
      </c>
      <c r="V4" s="472" t="s">
        <v>1996</v>
      </c>
      <c r="W4" s="472">
        <v>22</v>
      </c>
      <c r="Z4" s="505"/>
    </row>
    <row r="5" spans="9:26">
      <c r="I5" t="str">
        <f>IF(_xlfn.XLOOKUP(L5,全装!G:G,全装!A:A,"")="Y","Y","")</f>
        <v>Y</v>
      </c>
      <c r="J5" s="413" t="s">
        <v>1931</v>
      </c>
      <c r="K5" s="414" t="s">
        <v>1931</v>
      </c>
      <c r="L5" s="415" t="s">
        <v>1637</v>
      </c>
      <c r="M5" s="416" t="s">
        <v>2302</v>
      </c>
      <c r="N5" s="423">
        <v>5</v>
      </c>
      <c r="O5" s="419">
        <v>1</v>
      </c>
      <c r="P5" s="419">
        <v>1</v>
      </c>
      <c r="Q5" s="421">
        <v>5</v>
      </c>
      <c r="R5" s="418">
        <v>3</v>
      </c>
      <c r="S5" s="414" t="s">
        <v>2218</v>
      </c>
      <c r="T5" s="404"/>
      <c r="U5" s="473"/>
      <c r="V5" s="474" t="s">
        <v>15</v>
      </c>
      <c r="W5" s="474" t="s">
        <v>16</v>
      </c>
      <c r="X5" s="474" t="s">
        <v>17</v>
      </c>
      <c r="Y5" s="474" t="s">
        <v>18</v>
      </c>
      <c r="Z5" s="474" t="s">
        <v>19</v>
      </c>
    </row>
    <row r="6" spans="9:26">
      <c r="I6" t="str">
        <f>IF(_xlfn.XLOOKUP(L6,全装!G:G,全装!A:A,"")="Y","Y","")</f>
        <v/>
      </c>
      <c r="J6" s="414" t="s">
        <v>1931</v>
      </c>
      <c r="K6" s="414" t="s">
        <v>1931</v>
      </c>
      <c r="L6" s="424" t="s">
        <v>912</v>
      </c>
      <c r="M6" s="425" t="s">
        <v>2303</v>
      </c>
      <c r="N6" s="420">
        <v>1</v>
      </c>
      <c r="O6" s="421">
        <v>5</v>
      </c>
      <c r="P6" s="426">
        <v>4</v>
      </c>
      <c r="Q6" s="421">
        <v>5</v>
      </c>
      <c r="R6" s="419">
        <v>1</v>
      </c>
      <c r="S6" s="414" t="s">
        <v>2160</v>
      </c>
      <c r="T6" s="404"/>
      <c r="U6" s="475" t="s">
        <v>1942</v>
      </c>
      <c r="V6" s="476">
        <f>Cloth_D_Calc_Base_Stat_W+((Cloth_D_Calc_Level-1)*Cloth_D_Calc_Progress_Num_W)</f>
        <v>151</v>
      </c>
      <c r="W6" s="476">
        <f>Cloth_D_Calc_Base_Stat_A+((Cloth_D_Calc_Level-1)*Cloth_D_Calc_Progress_Num_A)</f>
        <v>182</v>
      </c>
      <c r="X6" s="476">
        <f>Cloth_D_Calc_Base_Stat_I+((Cloth_D_Calc_Level-1)*Cloth_D_Calc_Progress_Num_I)</f>
        <v>213</v>
      </c>
      <c r="Y6" s="476">
        <f>Cloth_D_Calc_Base_Stat_F+((Cloth_D_Calc_Level-1)*Cloth_D_Calc_Progress_Num_F)</f>
        <v>182</v>
      </c>
      <c r="Z6" s="476">
        <f>Cloth_D_Calc_Base_Stat_U+((Cloth_D_Calc_Level-1)*Cloth_D_Calc_Progress_Num_U)</f>
        <v>182</v>
      </c>
    </row>
    <row r="7" spans="9:26">
      <c r="I7" t="str">
        <f>IF(_xlfn.XLOOKUP(L7,全装!G:G,全装!A:A,"")="Y","Y","")</f>
        <v/>
      </c>
      <c r="J7" s="427" t="s">
        <v>1931</v>
      </c>
      <c r="K7" s="428"/>
      <c r="L7" s="424" t="s">
        <v>1227</v>
      </c>
      <c r="M7" s="425" t="s">
        <v>1228</v>
      </c>
      <c r="N7" s="420">
        <v>1</v>
      </c>
      <c r="O7" s="419">
        <v>1</v>
      </c>
      <c r="P7" s="421">
        <v>5</v>
      </c>
      <c r="Q7" s="421">
        <v>5</v>
      </c>
      <c r="R7" s="426">
        <v>4</v>
      </c>
      <c r="S7" s="428" t="s">
        <v>2200</v>
      </c>
      <c r="T7" s="404"/>
      <c r="U7" s="477"/>
      <c r="V7" s="275"/>
      <c r="W7" s="275"/>
      <c r="X7" s="275"/>
      <c r="Y7" s="275"/>
      <c r="Z7" s="506"/>
    </row>
    <row r="8" spans="9:26">
      <c r="I8" t="str">
        <f>IF(_xlfn.XLOOKUP(L8,全装!G:G,全装!A:A,"")="Y","Y","")</f>
        <v/>
      </c>
      <c r="J8" s="427" t="s">
        <v>1931</v>
      </c>
      <c r="K8" s="428" t="s">
        <v>1931</v>
      </c>
      <c r="L8" s="424" t="s">
        <v>1855</v>
      </c>
      <c r="M8" s="425" t="s">
        <v>1856</v>
      </c>
      <c r="N8" s="429">
        <v>4</v>
      </c>
      <c r="O8" s="419">
        <v>1</v>
      </c>
      <c r="P8" s="419">
        <v>1</v>
      </c>
      <c r="Q8" s="421">
        <v>5</v>
      </c>
      <c r="R8" s="421">
        <v>5</v>
      </c>
      <c r="S8" s="428" t="s">
        <v>2193</v>
      </c>
      <c r="T8" s="404"/>
      <c r="U8" s="475" t="s">
        <v>1944</v>
      </c>
      <c r="V8" s="478">
        <f>VLOOKUP(Cloth_D_Calc_Name,'Cloths Dresses'!Cloth_D_Calc_Base_Stat_List,2)</f>
        <v>2</v>
      </c>
      <c r="W8" s="479">
        <f>VLOOKUP(Cloth_D_Calc_Name,'Cloths Dresses'!Cloth_D_Calc_Base_Stat_List,3)</f>
        <v>3</v>
      </c>
      <c r="X8" s="480">
        <f>VLOOKUP(Cloth_D_Calc_Name,'Cloths Dresses'!Cloth_D_Calc_Base_Stat_List,4)</f>
        <v>4</v>
      </c>
      <c r="Y8" s="480">
        <f>VLOOKUP(Cloth_D_Calc_Name,'Cloths Dresses'!Cloth_D_Calc_Base_Stat_List,5)</f>
        <v>3</v>
      </c>
      <c r="Z8" s="507">
        <f>VLOOKUP(Cloth_D_Calc_Name,'Cloths Dresses'!Cloth_D_Calc_Base_Stat_List,6)</f>
        <v>3</v>
      </c>
    </row>
    <row r="9" spans="9:26">
      <c r="I9" t="str">
        <f>IF(_xlfn.XLOOKUP(L9,全装!G:G,全装!A:A,"")="Y","Y","")</f>
        <v/>
      </c>
      <c r="J9" s="427" t="s">
        <v>1931</v>
      </c>
      <c r="K9" s="428" t="s">
        <v>1931</v>
      </c>
      <c r="L9" s="424" t="s">
        <v>1902</v>
      </c>
      <c r="M9" s="425" t="s">
        <v>1903</v>
      </c>
      <c r="N9" s="417">
        <v>2</v>
      </c>
      <c r="O9" s="421">
        <v>5</v>
      </c>
      <c r="P9" s="422">
        <v>2</v>
      </c>
      <c r="Q9" s="426">
        <v>4</v>
      </c>
      <c r="R9" s="426">
        <v>4</v>
      </c>
      <c r="S9" s="414"/>
      <c r="T9" s="404"/>
      <c r="U9" s="475" t="s">
        <v>1945</v>
      </c>
      <c r="V9" s="481">
        <f>IF(Cloth_D_Calc_Tier_W=1,4,IF(Cloth_D_Calc_Tier_W=2,5,IF(Cloth_D_Calc_Tier_W=3,6,IF(Cloth_D_Calc_Tier_W=4,7,IF(Cloth_D_Calc_Tier_W=5,8,"error6")))))</f>
        <v>5</v>
      </c>
      <c r="W9" s="482">
        <f>IF(Cloth_D_Calc_Tier_A=1,4,IF(Cloth_D_Calc_Tier_A=2,5,IF(Cloth_D_Calc_Tier_A=3,6,IF(Cloth_D_Calc_Tier_A=4,7,IF(Cloth_D_Calc_Tier_A=5,8,"error6")))))</f>
        <v>6</v>
      </c>
      <c r="X9" s="483">
        <f>IF(Cloth_D_Calc_Tier_I=1,4,IF(Cloth_D_Calc_Tier_I=2,5,IF(Cloth_D_Calc_Tier_I=3,6,IF(Cloth_D_Calc_Tier_I=4,7,IF(Cloth_D_Calc_Tier_I=5,8,"error6")))))</f>
        <v>7</v>
      </c>
      <c r="Y9" s="483">
        <f>IF(Cloth_D_Calc_Tier_F=1,4,IF(Cloth_D_Calc_Tier_F=2,5,IF(Cloth_D_Calc_Tier_F=3,6,IF(Cloth_D_Calc_Tier_F=4,7,IF(Cloth_D_Calc_Tier_F=5,8,"error6")))))</f>
        <v>6</v>
      </c>
      <c r="Z9" s="508">
        <f>IF(Cloth_D_Calc_Tier_U=1,4,IF(Cloth_D_Calc_Tier_U=2,5,IF(Cloth_D_Calc_Tier_U=3,6,IF(Cloth_D_Calc_Tier_U=4,7,IF(Cloth_D_Calc_Tier_U=5,8,"error6")))))</f>
        <v>6</v>
      </c>
    </row>
    <row r="10" spans="9:26">
      <c r="I10" t="str">
        <f>IF(_xlfn.XLOOKUP(L10,全装!G:G,全装!A:A,"")="Y","Y","")</f>
        <v>Y</v>
      </c>
      <c r="J10" s="413" t="s">
        <v>1931</v>
      </c>
      <c r="K10" s="414" t="s">
        <v>1931</v>
      </c>
      <c r="L10" s="430" t="s">
        <v>932</v>
      </c>
      <c r="M10" s="431" t="s">
        <v>2304</v>
      </c>
      <c r="N10" s="420">
        <v>1</v>
      </c>
      <c r="O10" s="419">
        <v>1</v>
      </c>
      <c r="P10" s="418">
        <v>3</v>
      </c>
      <c r="Q10" s="426">
        <v>4</v>
      </c>
      <c r="R10" s="421">
        <v>5</v>
      </c>
      <c r="S10" s="414" t="s">
        <v>19</v>
      </c>
      <c r="T10" s="404"/>
      <c r="U10" s="475" t="s">
        <v>1947</v>
      </c>
      <c r="V10" s="484">
        <f>IF(Cloth_D_Calc_Rarity="common",(IF(Cloth_D_Calc_Tier_W=1,15,IF(Cloth_D_Calc_Tier_W=2,18,IF(Cloth_D_Calc_Tier_W=3,23,IF(Cloth_D_Calc_Tier_W=4,26,IF(Cloth_D_Calc_Tier_W=5,30)))))),IF(Cloth_D_Calc_Rarity="rare",(IF(Cloth_D_Calc_Tier_W=1,18,IF(Cloth_D_Calc_Tier_W=2,24,IF(Cloth_D_Calc_Tier_W=3,30,IF(Cloth_D_Calc_Tier_W=4,36,IF(Cloth_D_Calc_Tier_W=5,44)))))),IF(Cloth_D_Calc_Rarity="epic",(IF(Cloth_D_Calc_Tier_W=1,26,IF(Cloth_D_Calc_Tier_W=2,34,IF(Cloth_D_Calc_Tier_W=3,42,IF(Cloth_D_Calc_Tier_W=4,50,IF(Cloth_D_Calc_Tier_W=5,58)))))),IF(Cloth_D_Calc_Rarity="legendary",(IF(Cloth_D_Calc_Tier_W=1,36,IF(Cloth_D_Calc_Tier_W=2,46,IF(Cloth_D_Calc_Tier_W=3,56,IF(Cloth_D_Calc_Tier_W=4,66,IF(Cloth_D_Calc_Tier_W=5,78)))))),Error))))</f>
        <v>46</v>
      </c>
      <c r="W10" s="485">
        <f>IF(Cloth_D_Calc_Rarity="common",(IF(Cloth_D_Calc_Tier_A=1,15,IF(Cloth_D_Calc_Tier_A=2,18,IF(Cloth_D_Calc_Tier_A=3,23,IF(Cloth_D_Calc_Tier_A=4,26,IF(Cloth_D_Calc_Tier_A=5,30)))))),IF(Cloth_D_Calc_Rarity="rare",(IF(Cloth_D_Calc_Tier_A=1,18,IF(Cloth_D_Calc_Tier_A=2,24,IF(Cloth_D_Calc_Tier_A=3,30,IF(Cloth_D_Calc_Tier_A=4,36,IF(Cloth_D_Calc_Tier_A=5,44)))))),IF(Cloth_D_Calc_Rarity="epic",(IF(Cloth_D_Calc_Tier_A=1,26,IF(Cloth_D_Calc_Tier_A=2,34,IF(Cloth_D_Calc_Tier_A=3,42,IF(Cloth_D_Calc_Tier_A=4,50,IF(Cloth_D_Calc_Tier_A=5,58)))))),IF(Cloth_D_Calc_Rarity="legendary",(IF(Cloth_D_Calc_Tier_A=1,36,IF(Cloth_D_Calc_Tier_A=2,46,IF(Cloth_D_Calc_Tier_A=3,56,IF(Cloth_D_Calc_Tier_A=4,66,IF(Cloth_D_Calc_Tier_A=5,78)))))),Error))))</f>
        <v>56</v>
      </c>
      <c r="X10" s="486">
        <f>IF(Cloth_D_Calc_Rarity="common",(IF(Cloth_D_Calc_Tier_I=1,15,IF(Cloth_D_Calc_Tier_I=2,18,IF(Cloth_D_Calc_Tier_I=3,23,IF(Cloth_D_Calc_Tier_I=4,26,IF(Cloth_D_Calc_Tier_I=5,30)))))),IF(Cloth_D_Calc_Rarity="rare",(IF(Cloth_D_Calc_Tier_I=1,18,IF(Cloth_D_Calc_Tier_I=2,24,IF(Cloth_D_Calc_Tier_I=3,30,IF(Cloth_D_Calc_Tier_I=4,36,IF(Cloth_D_Calc_Tier_I=5,44)))))),IF(Cloth_D_Calc_Rarity="epic",(IF(Cloth_D_Calc_Tier_I=1,26,IF(Cloth_D_Calc_Tier_I=2,34,IF(Cloth_D_Calc_Tier_I=3,42,IF(Cloth_D_Calc_Tier_I=4,50,IF(Cloth_D_Calc_Tier_I=5,58)))))),IF(Cloth_D_Calc_Rarity="legendary",(IF(Cloth_D_Calc_Tier_I=1,36,IF(Cloth_D_Calc_Tier_I=2,46,IF(Cloth_D_Calc_Tier_I=3,56,IF(Cloth_D_Calc_Tier_I=4,66,IF(Cloth_D_Calc_Tier_I=5,78)))))),Error))))</f>
        <v>66</v>
      </c>
      <c r="Y10" s="486">
        <f>IF(Cloth_D_Calc_Rarity="common",(IF(Cloth_D_Calc_Tier_F=1,15,IF(Cloth_D_Calc_Tier_F=2,18,IF(Cloth_D_Calc_Tier_F=3,23,IF(Cloth_D_Calc_Tier_F=4,26,IF(Cloth_D_Calc_Tier_F=5,30)))))),IF(Cloth_D_Calc_Rarity="rare",(IF(Cloth_D_Calc_Tier_F=1,18,IF(Cloth_D_Calc_Tier_F=2,24,IF(Cloth_D_Calc_Tier_F=3,30,IF(Cloth_D_Calc_Tier_F=4,36,IF(Cloth_D_Calc_Tier_F=5,44)))))),IF(Cloth_D_Calc_Rarity="epic",(IF(Cloth_D_Calc_Tier_F=1,26,IF(Cloth_D_Calc_Tier_F=2,34,IF(Cloth_D_Calc_Tier_F=3,42,IF(Cloth_D_Calc_Tier_F=4,50,IF(Cloth_D_Calc_Tier_F=5,58)))))),IF(Cloth_D_Calc_Rarity="legendary",(IF(Cloth_D_Calc_Tier_F=1,36,IF(Cloth_D_Calc_Tier_F=2,46,IF(Cloth_D_Calc_Tier_F=3,56,IF(Cloth_D_Calc_Tier_F=4,66,IF(Cloth_D_Calc_Tier_F=5,78)))))),Error))))</f>
        <v>56</v>
      </c>
      <c r="Z10" s="507">
        <f>IF(Cloth_D_Calc_Rarity="common",(IF(Cloth_D_Calc_Tier_U=1,15,IF(Cloth_D_Calc_Tier_U=2,18,IF(Cloth_D_Calc_Tier_U=3,23,IF(Cloth_D_Calc_Tier_U=4,26,IF(Cloth_D_Calc_Tier_U=5,30)))))),IF(Cloth_D_Calc_Rarity="rare",(IF(Cloth_D_Calc_Tier_U=1,18,IF(Cloth_D_Calc_Tier_U=2,24,IF(Cloth_D_Calc_Tier_U=3,30,IF(Cloth_D_Calc_Tier_U=4,36,IF(Cloth_D_Calc_Tier_U=5,44)))))),IF(Cloth_D_Calc_Rarity="epic",(IF(Cloth_D_Calc_Tier_U=1,26,IF(Cloth_D_Calc_Tier_U=2,34,IF(Cloth_D_Calc_Tier_U=3,42,IF(Cloth_D_Calc_Tier_U=4,50,IF(Cloth_D_Calc_Tier_U=5,58)))))),IF(Cloth_D_Calc_Rarity="legendary",(IF(Cloth_D_Calc_Tier_U=1,36,IF(Cloth_D_Calc_Tier_U=2,46,IF(Cloth_D_Calc_Tier_U=3,56,IF(Cloth_D_Calc_Tier_U=4,66,IF(Cloth_D_Calc_Tier_U=5,78)))))),Error))))</f>
        <v>56</v>
      </c>
    </row>
    <row r="11" spans="9:20">
      <c r="I11" t="str">
        <f>IF(_xlfn.XLOOKUP(L11,全装!G:G,全装!A:A,"")="Y","Y","")</f>
        <v>Y</v>
      </c>
      <c r="J11" s="413"/>
      <c r="K11" s="414"/>
      <c r="L11" s="432" t="s">
        <v>968</v>
      </c>
      <c r="M11" s="433" t="s">
        <v>2082</v>
      </c>
      <c r="N11" s="417">
        <v>2</v>
      </c>
      <c r="O11" s="419">
        <v>1</v>
      </c>
      <c r="P11" s="426">
        <v>4</v>
      </c>
      <c r="Q11" s="426">
        <v>4</v>
      </c>
      <c r="R11" s="426">
        <v>4</v>
      </c>
      <c r="S11" s="414"/>
      <c r="T11" s="404"/>
    </row>
    <row r="12" spans="9:20">
      <c r="I12" t="str">
        <f>IF(_xlfn.XLOOKUP(L12,全装!G:G,全装!A:A,"")="Y","Y","")</f>
        <v>Y</v>
      </c>
      <c r="J12" s="413" t="s">
        <v>1931</v>
      </c>
      <c r="K12" s="414" t="s">
        <v>1931</v>
      </c>
      <c r="L12" s="430" t="s">
        <v>1113</v>
      </c>
      <c r="M12" s="431" t="s">
        <v>2086</v>
      </c>
      <c r="N12" s="420">
        <v>1</v>
      </c>
      <c r="O12" s="418">
        <v>3</v>
      </c>
      <c r="P12" s="421">
        <v>5</v>
      </c>
      <c r="Q12" s="426">
        <v>4</v>
      </c>
      <c r="R12" s="422">
        <v>2</v>
      </c>
      <c r="S12" s="414" t="s">
        <v>17</v>
      </c>
      <c r="T12" s="404"/>
    </row>
    <row r="13" spans="9:20">
      <c r="I13" t="str">
        <f>IF(_xlfn.XLOOKUP(L13,全装!G:G,全装!A:A,"")="Y","Y","")</f>
        <v>Y</v>
      </c>
      <c r="J13" s="413"/>
      <c r="K13" s="414"/>
      <c r="L13" s="432" t="s">
        <v>1212</v>
      </c>
      <c r="M13" s="433" t="s">
        <v>1213</v>
      </c>
      <c r="N13" s="420">
        <v>1</v>
      </c>
      <c r="O13" s="422">
        <v>2</v>
      </c>
      <c r="P13" s="426">
        <v>4</v>
      </c>
      <c r="Q13" s="426">
        <v>4</v>
      </c>
      <c r="R13" s="426">
        <v>4</v>
      </c>
      <c r="S13" s="414"/>
      <c r="T13" s="404"/>
    </row>
    <row r="14" spans="9:20">
      <c r="I14" t="str">
        <f>IF(_xlfn.XLOOKUP(L14,全装!G:G,全装!A:A,"")="Y","Y","")</f>
        <v>Y</v>
      </c>
      <c r="J14" s="413" t="s">
        <v>1931</v>
      </c>
      <c r="K14" s="414" t="s">
        <v>1931</v>
      </c>
      <c r="L14" s="432" t="s">
        <v>1650</v>
      </c>
      <c r="M14" s="433" t="s">
        <v>2305</v>
      </c>
      <c r="N14" s="420">
        <v>1</v>
      </c>
      <c r="O14" s="418">
        <v>3</v>
      </c>
      <c r="P14" s="422">
        <v>2</v>
      </c>
      <c r="Q14" s="421">
        <v>5</v>
      </c>
      <c r="R14" s="426">
        <v>4</v>
      </c>
      <c r="S14" s="414" t="s">
        <v>18</v>
      </c>
      <c r="T14" s="404"/>
    </row>
    <row r="15" spans="9:20">
      <c r="I15" t="str">
        <f>IF(_xlfn.XLOOKUP(L15,全装!G:G,全装!A:A,"")="Y","Y","")</f>
        <v>Y</v>
      </c>
      <c r="J15" s="413" t="s">
        <v>1931</v>
      </c>
      <c r="K15" s="414" t="s">
        <v>1931</v>
      </c>
      <c r="L15" s="432" t="s">
        <v>1731</v>
      </c>
      <c r="M15" s="433" t="s">
        <v>1732</v>
      </c>
      <c r="N15" s="420">
        <v>1</v>
      </c>
      <c r="O15" s="422">
        <v>2</v>
      </c>
      <c r="P15" s="426">
        <v>4</v>
      </c>
      <c r="Q15" s="426">
        <v>4</v>
      </c>
      <c r="R15" s="426">
        <v>4</v>
      </c>
      <c r="S15" s="414"/>
      <c r="T15" s="404"/>
    </row>
    <row r="16" spans="9:21">
      <c r="I16" t="str">
        <f>IF(_xlfn.XLOOKUP(L16,全装!G:G,全装!A:A,"")="Y","Y","")</f>
        <v>Y</v>
      </c>
      <c r="J16" s="413"/>
      <c r="K16" s="428"/>
      <c r="L16" s="432" t="s">
        <v>1736</v>
      </c>
      <c r="M16" s="433" t="s">
        <v>1737</v>
      </c>
      <c r="N16" s="420">
        <v>1</v>
      </c>
      <c r="O16" s="422">
        <v>2</v>
      </c>
      <c r="P16" s="426">
        <v>4</v>
      </c>
      <c r="Q16" s="426">
        <v>4</v>
      </c>
      <c r="R16" s="426">
        <v>4</v>
      </c>
      <c r="S16" s="428"/>
      <c r="T16" s="404"/>
      <c r="U16" s="487" t="s">
        <v>1979</v>
      </c>
    </row>
    <row r="17" spans="9:24">
      <c r="I17" t="str">
        <f>IF(_xlfn.XLOOKUP(L17,全装!G:G,全装!A:A,"")="Y","Y","")</f>
        <v>Y</v>
      </c>
      <c r="J17" s="413" t="s">
        <v>1931</v>
      </c>
      <c r="K17" s="428" t="s">
        <v>1931</v>
      </c>
      <c r="L17" s="430" t="s">
        <v>1769</v>
      </c>
      <c r="M17" s="431" t="s">
        <v>2306</v>
      </c>
      <c r="N17" s="420">
        <v>1</v>
      </c>
      <c r="O17" s="426">
        <v>4</v>
      </c>
      <c r="P17" s="422">
        <v>2</v>
      </c>
      <c r="Q17" s="421">
        <v>5</v>
      </c>
      <c r="R17" s="418">
        <v>3</v>
      </c>
      <c r="S17" s="414" t="s">
        <v>18</v>
      </c>
      <c r="T17" s="404"/>
      <c r="U17" s="127" t="s">
        <v>1980</v>
      </c>
      <c r="V17" s="127"/>
      <c r="W17" s="127"/>
      <c r="X17" s="127"/>
    </row>
    <row r="18" spans="9:26">
      <c r="I18" t="str">
        <f>IF(_xlfn.XLOOKUP(L18,全装!G:G,全装!A:A,"")="Y","Y","")</f>
        <v>Y</v>
      </c>
      <c r="J18" s="413"/>
      <c r="K18" s="414" t="s">
        <v>1931</v>
      </c>
      <c r="L18" s="434" t="s">
        <v>927</v>
      </c>
      <c r="M18" s="435" t="s">
        <v>2307</v>
      </c>
      <c r="N18" s="417">
        <v>2</v>
      </c>
      <c r="O18" s="418">
        <v>3</v>
      </c>
      <c r="P18" s="426">
        <v>4</v>
      </c>
      <c r="Q18" s="418">
        <v>3</v>
      </c>
      <c r="R18" s="418">
        <v>3</v>
      </c>
      <c r="S18" s="414"/>
      <c r="T18" s="404"/>
      <c r="U18" s="488" t="s">
        <v>1982</v>
      </c>
      <c r="V18" s="489" t="s">
        <v>1983</v>
      </c>
      <c r="W18" s="489" t="s">
        <v>1984</v>
      </c>
      <c r="X18" s="489" t="s">
        <v>1972</v>
      </c>
      <c r="Y18" s="489" t="s">
        <v>1985</v>
      </c>
      <c r="Z18" s="509" t="s">
        <v>1986</v>
      </c>
    </row>
    <row r="19" spans="9:26">
      <c r="I19" t="str">
        <f>IF(_xlfn.XLOOKUP(L19,全装!G:G,全装!A:A,"")="Y","Y","")</f>
        <v/>
      </c>
      <c r="J19" s="413"/>
      <c r="K19" s="414"/>
      <c r="L19" s="436" t="s">
        <v>965</v>
      </c>
      <c r="M19" s="437" t="s">
        <v>2308</v>
      </c>
      <c r="N19" s="438">
        <v>3</v>
      </c>
      <c r="O19" s="418">
        <v>3</v>
      </c>
      <c r="P19" s="418">
        <v>3</v>
      </c>
      <c r="Q19" s="418">
        <v>3</v>
      </c>
      <c r="R19" s="418">
        <v>3</v>
      </c>
      <c r="S19" s="414"/>
      <c r="T19" s="404"/>
      <c r="U19" s="490" t="s">
        <v>914</v>
      </c>
      <c r="V19" s="490">
        <v>4</v>
      </c>
      <c r="W19" s="490">
        <v>5</v>
      </c>
      <c r="X19" s="490">
        <v>6</v>
      </c>
      <c r="Y19" s="490">
        <v>7</v>
      </c>
      <c r="Z19" s="490">
        <v>8</v>
      </c>
    </row>
    <row r="20" spans="9:20">
      <c r="I20" t="str">
        <f>IF(_xlfn.XLOOKUP(L20,全装!G:G,全装!A:A,"")="Y","Y","")</f>
        <v>Y</v>
      </c>
      <c r="J20" s="413" t="s">
        <v>1931</v>
      </c>
      <c r="K20" s="414" t="s">
        <v>1931</v>
      </c>
      <c r="L20" s="434" t="s">
        <v>1516</v>
      </c>
      <c r="M20" s="435" t="s">
        <v>2309</v>
      </c>
      <c r="N20" s="438">
        <v>3</v>
      </c>
      <c r="O20" s="418">
        <v>3</v>
      </c>
      <c r="P20" s="418">
        <v>3</v>
      </c>
      <c r="Q20" s="418">
        <v>3</v>
      </c>
      <c r="R20" s="418">
        <v>3</v>
      </c>
      <c r="S20" s="414"/>
      <c r="T20" s="404"/>
    </row>
    <row r="21" spans="9:21">
      <c r="I21" t="str">
        <f>IF(_xlfn.XLOOKUP(L21,全装!G:G,全装!A:A,"")="Y","Y","")</f>
        <v>Y</v>
      </c>
      <c r="J21" s="413"/>
      <c r="K21" s="414"/>
      <c r="L21" s="434" t="s">
        <v>1679</v>
      </c>
      <c r="M21" s="435" t="s">
        <v>2310</v>
      </c>
      <c r="N21" s="429">
        <v>4</v>
      </c>
      <c r="O21" s="422">
        <v>2</v>
      </c>
      <c r="P21" s="418">
        <v>3</v>
      </c>
      <c r="Q21" s="426">
        <v>4</v>
      </c>
      <c r="R21" s="422">
        <v>2</v>
      </c>
      <c r="S21" s="414" t="s">
        <v>2234</v>
      </c>
      <c r="T21" s="404"/>
      <c r="U21" s="491" t="s">
        <v>1990</v>
      </c>
    </row>
    <row r="22" ht="27" spans="9:26">
      <c r="I22" t="str">
        <f>IF(_xlfn.XLOOKUP(L22,全装!G:G,全装!A:A,"")="Y","Y","")</f>
        <v>Y</v>
      </c>
      <c r="J22" s="413" t="s">
        <v>1931</v>
      </c>
      <c r="K22" s="414"/>
      <c r="L22" s="434" t="s">
        <v>1689</v>
      </c>
      <c r="M22" s="435" t="s">
        <v>1690</v>
      </c>
      <c r="N22" s="438">
        <v>3</v>
      </c>
      <c r="O22" s="418">
        <v>3</v>
      </c>
      <c r="P22" s="418">
        <v>3</v>
      </c>
      <c r="Q22" s="418">
        <v>3</v>
      </c>
      <c r="R22" s="418">
        <v>3</v>
      </c>
      <c r="S22" s="414"/>
      <c r="T22" s="404"/>
      <c r="U22" s="492" t="s">
        <v>1992</v>
      </c>
      <c r="V22" s="489" t="s">
        <v>1983</v>
      </c>
      <c r="W22" s="489" t="s">
        <v>1984</v>
      </c>
      <c r="X22" s="489" t="s">
        <v>1972</v>
      </c>
      <c r="Y22" s="489" t="s">
        <v>1985</v>
      </c>
      <c r="Z22" s="509" t="s">
        <v>1986</v>
      </c>
    </row>
    <row r="23" spans="9:26">
      <c r="I23" t="str">
        <f>IF(_xlfn.XLOOKUP(L23,全装!G:G,全装!A:A,"")="Y","Y","")</f>
        <v>Y</v>
      </c>
      <c r="J23" s="413" t="s">
        <v>1931</v>
      </c>
      <c r="K23" s="414"/>
      <c r="L23" s="434" t="s">
        <v>1829</v>
      </c>
      <c r="M23" s="435" t="s">
        <v>2311</v>
      </c>
      <c r="N23" s="417">
        <v>2</v>
      </c>
      <c r="O23" s="418">
        <v>3</v>
      </c>
      <c r="P23" s="422">
        <v>2</v>
      </c>
      <c r="Q23" s="426">
        <v>4</v>
      </c>
      <c r="R23" s="426">
        <v>4</v>
      </c>
      <c r="S23" s="414"/>
      <c r="T23" s="404"/>
      <c r="U23" s="24" t="s">
        <v>1971</v>
      </c>
      <c r="V23" s="493">
        <v>15</v>
      </c>
      <c r="W23" s="493">
        <v>18</v>
      </c>
      <c r="X23" s="493">
        <v>23</v>
      </c>
      <c r="Y23" s="493">
        <v>26</v>
      </c>
      <c r="Z23" s="493">
        <v>30</v>
      </c>
    </row>
    <row r="24" spans="9:26">
      <c r="I24" t="str">
        <f>IF(_xlfn.XLOOKUP(L24,全装!G:G,全装!A:A,"")="Y","Y","")</f>
        <v/>
      </c>
      <c r="J24" s="414"/>
      <c r="K24" s="414"/>
      <c r="L24" s="434" t="s">
        <v>1839</v>
      </c>
      <c r="M24" s="435" t="s">
        <v>1840</v>
      </c>
      <c r="N24" s="417">
        <v>2</v>
      </c>
      <c r="O24" s="418">
        <v>3</v>
      </c>
      <c r="P24" s="418">
        <v>3</v>
      </c>
      <c r="Q24" s="418">
        <v>3</v>
      </c>
      <c r="R24" s="426">
        <v>4</v>
      </c>
      <c r="S24" s="414"/>
      <c r="T24" s="404"/>
      <c r="U24" s="25" t="s">
        <v>1994</v>
      </c>
      <c r="V24" s="493">
        <v>18</v>
      </c>
      <c r="W24" s="493">
        <v>24</v>
      </c>
      <c r="X24" s="493">
        <v>30</v>
      </c>
      <c r="Y24" s="493">
        <v>36</v>
      </c>
      <c r="Z24" s="493">
        <v>44</v>
      </c>
    </row>
    <row r="25" spans="9:26">
      <c r="I25" t="str">
        <f>IF(_xlfn.XLOOKUP(L25,全装!G:G,全装!A:A,"")="Y","Y","")</f>
        <v>Y</v>
      </c>
      <c r="J25" s="413" t="s">
        <v>1931</v>
      </c>
      <c r="K25" s="414"/>
      <c r="L25" s="439" t="s">
        <v>1098</v>
      </c>
      <c r="M25" s="440" t="s">
        <v>2312</v>
      </c>
      <c r="N25" s="417">
        <v>2</v>
      </c>
      <c r="O25" s="422">
        <v>2</v>
      </c>
      <c r="P25" s="426">
        <v>4</v>
      </c>
      <c r="Q25" s="418">
        <v>3</v>
      </c>
      <c r="R25" s="426">
        <v>4</v>
      </c>
      <c r="S25" s="414"/>
      <c r="T25" s="404"/>
      <c r="U25" s="26" t="s">
        <v>1939</v>
      </c>
      <c r="V25" s="493">
        <v>26</v>
      </c>
      <c r="W25" s="493">
        <v>34</v>
      </c>
      <c r="X25" s="493">
        <v>42</v>
      </c>
      <c r="Y25" s="493">
        <v>50</v>
      </c>
      <c r="Z25" s="493">
        <v>58</v>
      </c>
    </row>
    <row r="26" spans="9:26">
      <c r="I26" t="str">
        <f>IF(_xlfn.XLOOKUP(L26,全装!G:G,全装!A:A,"")="Y","Y","")</f>
        <v>Y</v>
      </c>
      <c r="J26" s="413" t="s">
        <v>1931</v>
      </c>
      <c r="K26" s="414"/>
      <c r="L26" s="439" t="s">
        <v>1220</v>
      </c>
      <c r="M26" s="440" t="s">
        <v>1221</v>
      </c>
      <c r="N26" s="417">
        <v>2</v>
      </c>
      <c r="O26" s="426">
        <v>4</v>
      </c>
      <c r="P26" s="422">
        <v>2</v>
      </c>
      <c r="Q26" s="426">
        <v>4</v>
      </c>
      <c r="R26" s="418">
        <v>3</v>
      </c>
      <c r="S26" s="414"/>
      <c r="T26" s="404"/>
      <c r="U26" s="27" t="s">
        <v>1996</v>
      </c>
      <c r="V26" s="493">
        <v>36</v>
      </c>
      <c r="W26" s="493">
        <v>46</v>
      </c>
      <c r="X26" s="493">
        <v>56</v>
      </c>
      <c r="Y26" s="493">
        <v>66</v>
      </c>
      <c r="Z26" s="493">
        <v>78</v>
      </c>
    </row>
    <row r="27" spans="9:20">
      <c r="I27" t="str">
        <f>IF(_xlfn.XLOOKUP(L27,全装!G:G,全装!A:A,"")="Y","Y","")</f>
        <v/>
      </c>
      <c r="J27" s="414" t="s">
        <v>2313</v>
      </c>
      <c r="K27" s="414"/>
      <c r="L27" s="439" t="s">
        <v>1311</v>
      </c>
      <c r="M27" s="440" t="s">
        <v>2314</v>
      </c>
      <c r="N27" s="417">
        <v>2</v>
      </c>
      <c r="O27" s="426">
        <v>4</v>
      </c>
      <c r="P27" s="422">
        <v>2</v>
      </c>
      <c r="Q27" s="418">
        <v>3</v>
      </c>
      <c r="R27" s="426">
        <v>4</v>
      </c>
      <c r="S27" s="414"/>
      <c r="T27" s="404"/>
    </row>
    <row r="28" spans="9:21">
      <c r="I28" t="str">
        <f>IF(_xlfn.XLOOKUP(L28,全装!G:G,全装!A:A,"")="Y","Y","")</f>
        <v/>
      </c>
      <c r="J28" s="414" t="s">
        <v>2313</v>
      </c>
      <c r="K28" s="414"/>
      <c r="L28" s="441" t="s">
        <v>1495</v>
      </c>
      <c r="M28" s="442" t="s">
        <v>2315</v>
      </c>
      <c r="N28" s="420">
        <v>1</v>
      </c>
      <c r="O28" s="426">
        <v>4</v>
      </c>
      <c r="P28" s="422">
        <v>2</v>
      </c>
      <c r="Q28" s="421">
        <v>5</v>
      </c>
      <c r="R28" s="418">
        <v>3</v>
      </c>
      <c r="S28" s="414"/>
      <c r="T28" s="404"/>
      <c r="U28" s="127" t="s">
        <v>1998</v>
      </c>
    </row>
    <row r="29" spans="9:20">
      <c r="I29" t="str">
        <f>IF(_xlfn.XLOOKUP(L29,全装!G:G,全装!A:A,"")="Y","Y","")</f>
        <v/>
      </c>
      <c r="J29" s="414"/>
      <c r="K29" s="414"/>
      <c r="L29" s="439" t="s">
        <v>1824</v>
      </c>
      <c r="M29" s="440" t="s">
        <v>2316</v>
      </c>
      <c r="N29" s="417">
        <v>2</v>
      </c>
      <c r="O29" s="426">
        <v>4</v>
      </c>
      <c r="P29" s="422">
        <v>2</v>
      </c>
      <c r="Q29" s="418">
        <v>3</v>
      </c>
      <c r="R29" s="421">
        <v>5</v>
      </c>
      <c r="S29" s="414"/>
      <c r="T29" s="404"/>
    </row>
    <row r="30" spans="9:21">
      <c r="I30" t="str">
        <f>IF(_xlfn.XLOOKUP(L30,全装!G:G,全装!A:A,"")="Y","Y","")</f>
        <v>Y</v>
      </c>
      <c r="J30" s="413"/>
      <c r="K30" s="414"/>
      <c r="L30" s="439" t="s">
        <v>1898</v>
      </c>
      <c r="M30" s="440" t="s">
        <v>2317</v>
      </c>
      <c r="N30" s="417">
        <v>2</v>
      </c>
      <c r="O30" s="426">
        <v>4</v>
      </c>
      <c r="P30" s="422">
        <v>2</v>
      </c>
      <c r="Q30" s="418">
        <v>3</v>
      </c>
      <c r="R30" s="426">
        <v>4</v>
      </c>
      <c r="S30" s="414"/>
      <c r="T30" s="404"/>
      <c r="U30" s="127" t="s">
        <v>1999</v>
      </c>
    </row>
    <row r="31" spans="9:22">
      <c r="I31" t="str">
        <f>IF(_xlfn.XLOOKUP(L31,全装!G:G,全装!A:A,"")="Y","Y","")</f>
        <v>Y</v>
      </c>
      <c r="J31" s="414" t="s">
        <v>2313</v>
      </c>
      <c r="K31" s="414"/>
      <c r="L31" s="439" t="s">
        <v>1909</v>
      </c>
      <c r="M31" s="440" t="s">
        <v>2318</v>
      </c>
      <c r="N31" s="438">
        <v>3</v>
      </c>
      <c r="O31" s="418">
        <v>3</v>
      </c>
      <c r="P31" s="422">
        <v>2</v>
      </c>
      <c r="Q31" s="418">
        <v>3</v>
      </c>
      <c r="R31" s="426">
        <v>4</v>
      </c>
      <c r="S31" s="414"/>
      <c r="T31" s="404"/>
      <c r="U31" s="127" t="s">
        <v>2001</v>
      </c>
      <c r="V31" s="127"/>
    </row>
    <row r="32" spans="9:23">
      <c r="I32" t="str">
        <f>IF(_xlfn.XLOOKUP(L32,全装!G:G,全装!A:A,"")="Y","Y","")</f>
        <v/>
      </c>
      <c r="J32" s="414"/>
      <c r="K32" s="428" t="s">
        <v>1931</v>
      </c>
      <c r="L32" s="443" t="s">
        <v>920</v>
      </c>
      <c r="M32" s="444" t="s">
        <v>2319</v>
      </c>
      <c r="N32" s="420">
        <v>1</v>
      </c>
      <c r="O32" s="419">
        <v>1</v>
      </c>
      <c r="P32" s="421">
        <v>5</v>
      </c>
      <c r="Q32" s="426">
        <v>4</v>
      </c>
      <c r="R32" s="421">
        <v>5</v>
      </c>
      <c r="S32" s="414"/>
      <c r="T32" s="404"/>
      <c r="U32" s="127" t="s">
        <v>2004</v>
      </c>
      <c r="V32" s="127"/>
      <c r="W32" s="127"/>
    </row>
    <row r="33" spans="9:20">
      <c r="I33" t="str">
        <f>IF(_xlfn.XLOOKUP(L33,全装!G:G,全装!A:A,"")="Y","Y","")</f>
        <v/>
      </c>
      <c r="J33" s="414"/>
      <c r="K33" s="445"/>
      <c r="L33" s="443" t="s">
        <v>975</v>
      </c>
      <c r="M33" s="444" t="s">
        <v>976</v>
      </c>
      <c r="N33" s="446">
        <v>0</v>
      </c>
      <c r="O33" s="447">
        <v>0</v>
      </c>
      <c r="P33" s="447">
        <v>0</v>
      </c>
      <c r="Q33" s="447">
        <v>0</v>
      </c>
      <c r="R33" s="447">
        <v>0</v>
      </c>
      <c r="S33" s="445"/>
      <c r="T33" s="404"/>
    </row>
    <row r="34" spans="9:21">
      <c r="I34" t="str">
        <f>IF(_xlfn.XLOOKUP(L34,全装!G:G,全装!A:A,"")="Y","Y","")</f>
        <v/>
      </c>
      <c r="J34" s="414"/>
      <c r="K34" s="445"/>
      <c r="L34" s="443" t="s">
        <v>979</v>
      </c>
      <c r="M34" s="444" t="s">
        <v>980</v>
      </c>
      <c r="N34" s="448">
        <v>0</v>
      </c>
      <c r="O34" s="449">
        <v>0</v>
      </c>
      <c r="P34" s="449">
        <v>0</v>
      </c>
      <c r="Q34" s="449">
        <v>0</v>
      </c>
      <c r="R34" s="449">
        <v>0</v>
      </c>
      <c r="S34" s="445"/>
      <c r="T34" s="404"/>
      <c r="U34" s="127" t="s">
        <v>2003</v>
      </c>
    </row>
    <row r="35" spans="9:20">
      <c r="I35" t="str">
        <f>IF(_xlfn.XLOOKUP(L35,全装!G:G,全装!A:A,"")="Y","Y","")</f>
        <v/>
      </c>
      <c r="J35" s="414" t="s">
        <v>2313</v>
      </c>
      <c r="K35" s="428"/>
      <c r="L35" s="443" t="s">
        <v>995</v>
      </c>
      <c r="M35" s="444" t="s">
        <v>996</v>
      </c>
      <c r="N35" s="429">
        <v>4</v>
      </c>
      <c r="O35" s="419">
        <v>1</v>
      </c>
      <c r="P35" s="419">
        <v>1</v>
      </c>
      <c r="Q35" s="426">
        <v>4</v>
      </c>
      <c r="R35" s="421">
        <v>5</v>
      </c>
      <c r="S35" s="428"/>
      <c r="T35" s="404"/>
    </row>
    <row r="36" spans="9:20">
      <c r="I36" t="str">
        <f>IF(_xlfn.XLOOKUP(L36,全装!G:G,全装!A:A,"")="Y","Y","")</f>
        <v>Y</v>
      </c>
      <c r="J36" s="413"/>
      <c r="K36" s="414" t="s">
        <v>1931</v>
      </c>
      <c r="L36" s="414" t="s">
        <v>1171</v>
      </c>
      <c r="M36" s="450" t="s">
        <v>2320</v>
      </c>
      <c r="N36" s="417">
        <v>2</v>
      </c>
      <c r="O36" s="426">
        <v>4</v>
      </c>
      <c r="P36" s="418">
        <v>3</v>
      </c>
      <c r="Q36" s="426">
        <v>4</v>
      </c>
      <c r="R36" s="422">
        <v>2</v>
      </c>
      <c r="S36" s="414"/>
      <c r="T36" s="404"/>
    </row>
    <row r="37" spans="9:34">
      <c r="I37" t="str">
        <f>IF(_xlfn.XLOOKUP(L37,全装!G:G,全装!A:A,"")="Y","Y","")</f>
        <v/>
      </c>
      <c r="J37" s="414"/>
      <c r="K37" s="445" t="s">
        <v>1931</v>
      </c>
      <c r="L37" s="443" t="s">
        <v>1217</v>
      </c>
      <c r="M37" s="444" t="s">
        <v>1218</v>
      </c>
      <c r="N37" s="448">
        <v>0</v>
      </c>
      <c r="O37" s="449">
        <v>0</v>
      </c>
      <c r="P37" s="449">
        <v>0</v>
      </c>
      <c r="Q37" s="449">
        <v>0</v>
      </c>
      <c r="R37" s="449">
        <v>0</v>
      </c>
      <c r="S37" s="414"/>
      <c r="T37" s="404"/>
      <c r="U37" s="494" t="s">
        <v>1968</v>
      </c>
      <c r="V37" s="494" t="s">
        <v>1974</v>
      </c>
      <c r="W37" s="494" t="s">
        <v>1975</v>
      </c>
      <c r="AB37" s="404"/>
      <c r="AC37" s="404"/>
      <c r="AD37" s="404"/>
      <c r="AE37" s="404"/>
      <c r="AF37" s="404"/>
      <c r="AG37" s="404"/>
      <c r="AH37" s="404"/>
    </row>
    <row r="38" spans="9:34">
      <c r="I38" t="str">
        <f>IF(_xlfn.XLOOKUP(L38,全装!G:G,全装!A:A,"")="Y","Y","")</f>
        <v/>
      </c>
      <c r="J38" s="414"/>
      <c r="K38" s="445"/>
      <c r="L38" s="443" t="s">
        <v>1392</v>
      </c>
      <c r="M38" s="444" t="s">
        <v>1393</v>
      </c>
      <c r="N38" s="448">
        <v>0</v>
      </c>
      <c r="O38" s="449">
        <v>0</v>
      </c>
      <c r="P38" s="449">
        <v>0</v>
      </c>
      <c r="Q38" s="449">
        <v>0</v>
      </c>
      <c r="R38" s="449">
        <v>0</v>
      </c>
      <c r="S38" s="445"/>
      <c r="U38" s="495">
        <v>12</v>
      </c>
      <c r="V38" s="495">
        <v>8</v>
      </c>
      <c r="W38" s="495">
        <v>44</v>
      </c>
      <c r="AB38" s="401"/>
      <c r="AC38" s="401"/>
      <c r="AD38" s="401"/>
      <c r="AE38" s="401"/>
      <c r="AF38" s="401"/>
      <c r="AG38" s="401"/>
      <c r="AH38" s="401"/>
    </row>
    <row r="39" spans="9:34">
      <c r="I39" t="str">
        <f>IF(_xlfn.XLOOKUP(L39,全装!G:G,全装!A:A,"")="Y","Y","")</f>
        <v/>
      </c>
      <c r="J39" s="414"/>
      <c r="K39" s="414" t="s">
        <v>1931</v>
      </c>
      <c r="L39" s="414" t="s">
        <v>1430</v>
      </c>
      <c r="M39" s="450" t="s">
        <v>1431</v>
      </c>
      <c r="N39" s="420">
        <v>1</v>
      </c>
      <c r="O39" s="419">
        <v>1</v>
      </c>
      <c r="P39" s="419">
        <v>1</v>
      </c>
      <c r="Q39" s="421">
        <v>5</v>
      </c>
      <c r="R39" s="421">
        <v>5</v>
      </c>
      <c r="S39" s="414"/>
      <c r="AB39" s="404"/>
      <c r="AC39" s="404"/>
      <c r="AD39" s="404"/>
      <c r="AE39" s="404"/>
      <c r="AF39" s="404"/>
      <c r="AG39" s="404"/>
      <c r="AH39" s="404"/>
    </row>
    <row r="40" spans="9:34">
      <c r="I40" t="str">
        <f>IF(_xlfn.XLOOKUP(L40,全装!G:G,全装!A:A,"")="Y","Y","")</f>
        <v>Y</v>
      </c>
      <c r="J40" s="413"/>
      <c r="K40" s="414"/>
      <c r="L40" s="414" t="s">
        <v>1501</v>
      </c>
      <c r="M40" s="450" t="s">
        <v>2321</v>
      </c>
      <c r="N40" s="438">
        <v>3</v>
      </c>
      <c r="O40" s="419">
        <v>1</v>
      </c>
      <c r="P40" s="426">
        <v>4</v>
      </c>
      <c r="Q40" s="418">
        <v>3</v>
      </c>
      <c r="R40" s="426">
        <v>4</v>
      </c>
      <c r="S40" s="414"/>
      <c r="U40" s="494" t="s">
        <v>1942</v>
      </c>
      <c r="AB40" s="401"/>
      <c r="AC40" s="401"/>
      <c r="AD40" s="401"/>
      <c r="AE40" s="401"/>
      <c r="AF40" s="401"/>
      <c r="AG40" s="401"/>
      <c r="AH40" s="401"/>
    </row>
    <row r="41" spans="9:34">
      <c r="I41" t="str">
        <f>IF(_xlfn.XLOOKUP(L41,全装!G:G,全装!A:A,"")="Y","Y","")</f>
        <v/>
      </c>
      <c r="J41" s="414"/>
      <c r="K41" s="445"/>
      <c r="L41" s="445" t="s">
        <v>2095</v>
      </c>
      <c r="M41" s="450" t="s">
        <v>2322</v>
      </c>
      <c r="N41" s="448">
        <v>0</v>
      </c>
      <c r="O41" s="449">
        <v>0</v>
      </c>
      <c r="P41" s="449">
        <v>0</v>
      </c>
      <c r="Q41" s="449">
        <v>0</v>
      </c>
      <c r="R41" s="449">
        <v>0</v>
      </c>
      <c r="S41" s="414"/>
      <c r="U41" s="496">
        <f>Base_Stat_CD+((Item_Level_CD-1)*Prog_Number_CD)</f>
        <v>132</v>
      </c>
      <c r="AB41" s="404"/>
      <c r="AC41" s="404"/>
      <c r="AD41" s="404"/>
      <c r="AE41" s="404"/>
      <c r="AF41" s="404"/>
      <c r="AG41" s="404"/>
      <c r="AH41" s="404"/>
    </row>
    <row r="42" spans="9:34">
      <c r="I42" t="str">
        <f>IF(_xlfn.XLOOKUP(L42,全装!G:G,全装!A:A,"")="Y","Y","")</f>
        <v/>
      </c>
      <c r="J42" s="414" t="s">
        <v>2313</v>
      </c>
      <c r="K42" s="414"/>
      <c r="L42" s="443" t="s">
        <v>1658</v>
      </c>
      <c r="M42" s="444" t="s">
        <v>1659</v>
      </c>
      <c r="N42" s="423">
        <v>5</v>
      </c>
      <c r="O42" s="426">
        <v>4</v>
      </c>
      <c r="P42" s="421">
        <v>5</v>
      </c>
      <c r="Q42" s="419">
        <v>1</v>
      </c>
      <c r="R42" s="419">
        <v>1</v>
      </c>
      <c r="S42" s="414"/>
      <c r="AB42" s="401"/>
      <c r="AC42" s="401"/>
      <c r="AD42" s="401"/>
      <c r="AE42" s="401"/>
      <c r="AF42" s="401"/>
      <c r="AG42" s="401"/>
      <c r="AH42" s="401"/>
    </row>
    <row r="43" spans="9:25">
      <c r="I43" t="str">
        <f>IF(_xlfn.XLOOKUP(L43,全装!G:G,全装!A:A,"")="Y","Y","")</f>
        <v/>
      </c>
      <c r="J43" s="414"/>
      <c r="K43" s="445"/>
      <c r="L43" s="445" t="s">
        <v>2098</v>
      </c>
      <c r="M43" s="450" t="s">
        <v>2323</v>
      </c>
      <c r="N43" s="448">
        <v>0</v>
      </c>
      <c r="O43" s="449">
        <v>0</v>
      </c>
      <c r="P43" s="449">
        <v>0</v>
      </c>
      <c r="Q43" s="449">
        <v>0</v>
      </c>
      <c r="R43" s="449">
        <v>0</v>
      </c>
      <c r="S43" s="445"/>
      <c r="U43" s="127" t="s">
        <v>2324</v>
      </c>
      <c r="V43" s="127"/>
      <c r="W43" s="127"/>
      <c r="X43" s="127"/>
      <c r="Y43" s="127"/>
    </row>
    <row r="44" spans="9:19">
      <c r="I44" t="str">
        <f>IF(_xlfn.XLOOKUP(L44,全装!G:G,全装!A:A,"")="Y","Y","")</f>
        <v>Y</v>
      </c>
      <c r="J44" s="413"/>
      <c r="K44" s="414"/>
      <c r="L44" s="414" t="s">
        <v>1663</v>
      </c>
      <c r="M44" s="450" t="s">
        <v>1664</v>
      </c>
      <c r="N44" s="429">
        <v>4</v>
      </c>
      <c r="O44" s="419">
        <v>1</v>
      </c>
      <c r="P44" s="418">
        <v>3</v>
      </c>
      <c r="Q44" s="426">
        <v>4</v>
      </c>
      <c r="R44" s="418">
        <v>3</v>
      </c>
      <c r="S44" s="414"/>
    </row>
    <row r="45" spans="9:19">
      <c r="I45" t="str">
        <f>IF(_xlfn.XLOOKUP(L45,全装!G:G,全装!A:A,"")="Y","Y","")</f>
        <v/>
      </c>
      <c r="J45" s="414"/>
      <c r="K45" s="414" t="s">
        <v>1931</v>
      </c>
      <c r="L45" s="443" t="s">
        <v>1675</v>
      </c>
      <c r="M45" s="444" t="s">
        <v>2325</v>
      </c>
      <c r="N45" s="451">
        <v>0</v>
      </c>
      <c r="O45" s="452">
        <v>0</v>
      </c>
      <c r="P45" s="452">
        <v>0</v>
      </c>
      <c r="Q45" s="452">
        <v>0</v>
      </c>
      <c r="R45" s="452">
        <v>0</v>
      </c>
      <c r="S45" s="414"/>
    </row>
    <row r="46" spans="9:25">
      <c r="I46" t="str">
        <f>IF(_xlfn.XLOOKUP(L46,全装!G:G,全装!A:A,"")="Y","Y","")</f>
        <v>Y</v>
      </c>
      <c r="J46" s="413"/>
      <c r="K46" s="414"/>
      <c r="L46" s="414" t="s">
        <v>1727</v>
      </c>
      <c r="M46" s="450" t="s">
        <v>2326</v>
      </c>
      <c r="N46" s="417">
        <v>2</v>
      </c>
      <c r="O46" s="426">
        <v>4</v>
      </c>
      <c r="P46" s="418">
        <v>3</v>
      </c>
      <c r="Q46" s="422">
        <v>2</v>
      </c>
      <c r="R46" s="426">
        <v>4</v>
      </c>
      <c r="S46" s="414"/>
      <c r="U46" s="497" t="s">
        <v>1949</v>
      </c>
      <c r="V46" s="498" t="s">
        <v>1950</v>
      </c>
      <c r="W46" s="127"/>
      <c r="X46" s="498"/>
      <c r="Y46" s="127"/>
    </row>
    <row r="47" spans="9:25">
      <c r="I47" t="str">
        <f>IF(_xlfn.XLOOKUP(L47,全装!G:G,全装!A:A,"")="Y","Y","")</f>
        <v/>
      </c>
      <c r="J47" s="414"/>
      <c r="K47" s="414"/>
      <c r="L47" s="443" t="s">
        <v>1755</v>
      </c>
      <c r="M47" s="444" t="s">
        <v>1756</v>
      </c>
      <c r="N47" s="420">
        <v>1</v>
      </c>
      <c r="O47" s="421">
        <v>5</v>
      </c>
      <c r="P47" s="422">
        <v>2</v>
      </c>
      <c r="Q47" s="426">
        <v>4</v>
      </c>
      <c r="R47" s="418">
        <v>3</v>
      </c>
      <c r="S47" s="414"/>
      <c r="U47" s="497" t="s">
        <v>1952</v>
      </c>
      <c r="V47" s="498" t="s">
        <v>1953</v>
      </c>
      <c r="W47" s="127"/>
      <c r="X47" s="498"/>
      <c r="Y47" s="127"/>
    </row>
    <row r="48" spans="9:24">
      <c r="I48" t="str">
        <f>IF(_xlfn.XLOOKUP(L48,全装!G:G,全装!A:A,"")="Y","Y","")</f>
        <v>Y</v>
      </c>
      <c r="J48" s="413"/>
      <c r="K48" s="414" t="s">
        <v>1931</v>
      </c>
      <c r="L48" s="414" t="s">
        <v>1799</v>
      </c>
      <c r="M48" s="450" t="s">
        <v>1800</v>
      </c>
      <c r="N48" s="420">
        <v>1</v>
      </c>
      <c r="O48" s="418">
        <v>3</v>
      </c>
      <c r="P48" s="418">
        <v>3</v>
      </c>
      <c r="Q48" s="426">
        <v>4</v>
      </c>
      <c r="R48" s="426">
        <v>4</v>
      </c>
      <c r="S48" s="414"/>
      <c r="U48" s="497" t="s">
        <v>1956</v>
      </c>
      <c r="V48" s="498" t="s">
        <v>1957</v>
      </c>
      <c r="W48" s="127"/>
      <c r="X48" s="498"/>
    </row>
    <row r="49" spans="9:24">
      <c r="I49" t="str">
        <f>IF(_xlfn.XLOOKUP(L49,全装!G:G,全装!A:A,"")="Y","Y","")</f>
        <v/>
      </c>
      <c r="J49" s="414" t="s">
        <v>1931</v>
      </c>
      <c r="K49" s="453"/>
      <c r="L49" s="454" t="s">
        <v>1834</v>
      </c>
      <c r="M49" s="454" t="s">
        <v>1835</v>
      </c>
      <c r="N49" s="420">
        <v>1</v>
      </c>
      <c r="O49" s="426">
        <v>4</v>
      </c>
      <c r="P49" s="419">
        <v>1</v>
      </c>
      <c r="Q49" s="421">
        <v>5</v>
      </c>
      <c r="R49" s="426">
        <v>4</v>
      </c>
      <c r="S49" s="428"/>
      <c r="U49" s="497" t="s">
        <v>1958</v>
      </c>
      <c r="V49" s="498" t="s">
        <v>1959</v>
      </c>
      <c r="W49" s="127"/>
      <c r="X49" s="499"/>
    </row>
    <row r="50" spans="9:24">
      <c r="I50" t="str">
        <f>IF(_xlfn.XLOOKUP(L50,全装!G:G,全装!A:A,"")="Y","Y","")</f>
        <v/>
      </c>
      <c r="J50" s="414" t="s">
        <v>1931</v>
      </c>
      <c r="K50" s="453"/>
      <c r="L50" s="454" t="s">
        <v>1861</v>
      </c>
      <c r="M50" s="454" t="s">
        <v>2327</v>
      </c>
      <c r="N50" s="420">
        <v>1</v>
      </c>
      <c r="O50" s="426">
        <v>4</v>
      </c>
      <c r="P50" s="426">
        <v>4</v>
      </c>
      <c r="Q50" s="421">
        <v>5</v>
      </c>
      <c r="R50" s="419">
        <v>1</v>
      </c>
      <c r="S50" s="414"/>
      <c r="U50" s="497" t="s">
        <v>1961</v>
      </c>
      <c r="V50" s="498" t="s">
        <v>1962</v>
      </c>
      <c r="W50" s="127"/>
      <c r="X50" s="498"/>
    </row>
    <row r="51" spans="9:19">
      <c r="I51" t="str">
        <f>IF(_xlfn.XLOOKUP(L51,全装!G:G,全装!A:A,"")="Y","Y","")</f>
        <v/>
      </c>
      <c r="J51" s="414"/>
      <c r="K51" s="455"/>
      <c r="L51" s="454" t="s">
        <v>1886</v>
      </c>
      <c r="M51" s="454" t="s">
        <v>1887</v>
      </c>
      <c r="N51" s="448">
        <v>0</v>
      </c>
      <c r="O51" s="449">
        <v>0</v>
      </c>
      <c r="P51" s="449">
        <v>0</v>
      </c>
      <c r="Q51" s="449">
        <v>0</v>
      </c>
      <c r="R51" s="449">
        <v>0</v>
      </c>
      <c r="S51" s="500"/>
    </row>
    <row r="52" spans="9:30">
      <c r="I52" t="str">
        <f>IF(_xlfn.XLOOKUP(L52,全装!G:G,全装!A:A,"")="Y","Y","")</f>
        <v/>
      </c>
      <c r="J52" s="414"/>
      <c r="K52" s="453"/>
      <c r="L52" s="454" t="s">
        <v>1889</v>
      </c>
      <c r="M52" s="454" t="s">
        <v>2328</v>
      </c>
      <c r="N52" s="429">
        <v>4</v>
      </c>
      <c r="O52" s="419">
        <v>1</v>
      </c>
      <c r="P52" s="426">
        <v>4</v>
      </c>
      <c r="Q52" s="421">
        <v>5</v>
      </c>
      <c r="R52" s="419">
        <v>1</v>
      </c>
      <c r="S52" s="501"/>
      <c r="U52" s="502" t="s">
        <v>2005</v>
      </c>
      <c r="V52" s="502"/>
      <c r="W52" s="502"/>
      <c r="X52" s="502"/>
      <c r="Y52" s="502"/>
      <c r="Z52" s="502"/>
      <c r="AA52" s="502"/>
      <c r="AB52" s="502"/>
      <c r="AC52" s="502"/>
      <c r="AD52" s="502"/>
    </row>
    <row r="53" spans="9:30">
      <c r="I53" t="str">
        <f>IF(_xlfn.XLOOKUP(L53,全装!G:G,全装!A:A,"")="Y","Y","")</f>
        <v/>
      </c>
      <c r="J53" s="414"/>
      <c r="K53" s="456" t="s">
        <v>1931</v>
      </c>
      <c r="L53" s="456" t="s">
        <v>1893</v>
      </c>
      <c r="M53" s="456" t="s">
        <v>1894</v>
      </c>
      <c r="N53" s="457">
        <v>0</v>
      </c>
      <c r="O53" s="458">
        <v>0</v>
      </c>
      <c r="P53" s="458">
        <v>0</v>
      </c>
      <c r="Q53" s="458">
        <v>0</v>
      </c>
      <c r="R53" s="458">
        <v>0</v>
      </c>
      <c r="S53" s="414"/>
      <c r="U53" s="502"/>
      <c r="V53" s="502"/>
      <c r="W53" s="502"/>
      <c r="X53" s="502"/>
      <c r="Y53" s="502"/>
      <c r="Z53" s="502"/>
      <c r="AA53" s="502"/>
      <c r="AB53" s="502"/>
      <c r="AC53" s="502"/>
      <c r="AD53" s="502"/>
    </row>
    <row r="54" spans="9:30">
      <c r="I54" t="str">
        <f>IF(_xlfn.XLOOKUP(L54,全装!G:G,全装!A:A,"")="Y","Y","")</f>
        <v>Y</v>
      </c>
      <c r="J54" s="413"/>
      <c r="K54" s="453"/>
      <c r="L54" s="453" t="s">
        <v>1913</v>
      </c>
      <c r="M54" s="453" t="s">
        <v>2329</v>
      </c>
      <c r="N54" s="420">
        <v>1</v>
      </c>
      <c r="O54" s="418">
        <v>3</v>
      </c>
      <c r="P54" s="418">
        <v>3</v>
      </c>
      <c r="Q54" s="426">
        <v>4</v>
      </c>
      <c r="R54" s="426">
        <v>4</v>
      </c>
      <c r="S54" s="501"/>
      <c r="U54" s="502"/>
      <c r="V54" s="502"/>
      <c r="W54" s="502"/>
      <c r="X54" s="502"/>
      <c r="Y54" s="502"/>
      <c r="Z54" s="502"/>
      <c r="AA54" s="502"/>
      <c r="AB54" s="502"/>
      <c r="AC54" s="502"/>
      <c r="AD54" s="502"/>
    </row>
    <row r="55" ht="14.25" spans="9:30">
      <c r="I55" t="str">
        <f>IF(_xlfn.XLOOKUP(L55,全装!G:G,全装!A:A,"")="Y","Y","")</f>
        <v/>
      </c>
      <c r="J55" s="414" t="s">
        <v>2313</v>
      </c>
      <c r="K55" s="453" t="s">
        <v>1931</v>
      </c>
      <c r="L55" s="453" t="s">
        <v>1917</v>
      </c>
      <c r="M55" s="453" t="s">
        <v>2330</v>
      </c>
      <c r="N55" s="420">
        <v>1</v>
      </c>
      <c r="O55" s="426">
        <v>4</v>
      </c>
      <c r="P55" s="418">
        <v>3</v>
      </c>
      <c r="Q55" s="426">
        <v>4</v>
      </c>
      <c r="R55" s="418">
        <v>3</v>
      </c>
      <c r="S55" s="501"/>
      <c r="U55" s="502"/>
      <c r="V55" s="502"/>
      <c r="W55" s="502"/>
      <c r="X55" s="502"/>
      <c r="Y55" s="502"/>
      <c r="Z55" s="502"/>
      <c r="AA55" s="502"/>
      <c r="AB55" s="502"/>
      <c r="AC55" s="502"/>
      <c r="AD55" s="502"/>
    </row>
    <row r="56" ht="14.25" spans="9:22">
      <c r="I56" t="str">
        <f>IF(_xlfn.XLOOKUP(L56,全装!G:G,全装!A:A,"")="Y","Y","")</f>
        <v/>
      </c>
      <c r="J56" s="414"/>
      <c r="K56" s="459"/>
      <c r="L56" s="459"/>
      <c r="M56" s="460"/>
      <c r="N56" s="448"/>
      <c r="O56" s="449"/>
      <c r="P56" s="449"/>
      <c r="Q56" s="449"/>
      <c r="R56" s="449"/>
      <c r="S56" s="500"/>
      <c r="U56" s="503" t="s">
        <v>2011</v>
      </c>
      <c r="V56" s="467"/>
    </row>
    <row r="57" spans="10:19">
      <c r="J57" s="461" t="s">
        <v>2012</v>
      </c>
      <c r="K57" s="400"/>
      <c r="L57" s="401"/>
      <c r="M57" s="401"/>
      <c r="N57" s="401"/>
      <c r="O57" s="401"/>
      <c r="P57" s="401"/>
      <c r="Q57" s="401"/>
      <c r="R57" s="401"/>
      <c r="S57" s="401"/>
    </row>
    <row r="58" spans="10:19">
      <c r="J58" s="462" t="s">
        <v>2013</v>
      </c>
      <c r="K58" s="403"/>
      <c r="L58" s="404"/>
      <c r="M58" s="404"/>
      <c r="N58" s="404"/>
      <c r="O58" s="404"/>
      <c r="P58" s="404"/>
      <c r="Q58" s="404"/>
      <c r="R58" s="404"/>
      <c r="S58" s="404"/>
    </row>
    <row r="59" spans="10:19">
      <c r="J59" s="463" t="s">
        <v>2015</v>
      </c>
      <c r="K59" s="406"/>
      <c r="L59" s="406"/>
      <c r="M59" s="406"/>
      <c r="N59" s="406"/>
      <c r="O59" s="406"/>
      <c r="P59" s="401"/>
      <c r="Q59" s="401"/>
      <c r="R59" s="401"/>
      <c r="S59" s="401"/>
    </row>
    <row r="60" spans="10:19">
      <c r="J60" s="464" t="s">
        <v>2017</v>
      </c>
      <c r="K60" s="465"/>
      <c r="L60" s="466" t="s">
        <v>2017</v>
      </c>
      <c r="M60" s="466"/>
      <c r="N60" s="404"/>
      <c r="O60" s="404"/>
      <c r="P60" s="404"/>
      <c r="Q60" s="404"/>
      <c r="R60" s="404"/>
      <c r="S60" s="404"/>
    </row>
    <row r="61" spans="10:19">
      <c r="J61" s="23" t="s">
        <v>2031</v>
      </c>
      <c r="K61" s="401"/>
      <c r="L61" s="401"/>
      <c r="M61" s="401"/>
      <c r="N61" s="467" t="s">
        <v>2019</v>
      </c>
      <c r="O61" s="404"/>
      <c r="R61" s="401"/>
      <c r="S61" s="401"/>
    </row>
    <row r="62" spans="5:19">
      <c r="E62" s="400" t="s">
        <v>2038</v>
      </c>
      <c r="F62" s="400"/>
      <c r="G62" s="401"/>
      <c r="J62" s="23" t="s">
        <v>2033</v>
      </c>
      <c r="K62" s="404"/>
      <c r="L62" s="404"/>
      <c r="M62" s="404"/>
      <c r="N62" s="467" t="s">
        <v>1927</v>
      </c>
      <c r="O62" s="401" t="s">
        <v>2020</v>
      </c>
      <c r="P62" s="23" t="s">
        <v>289</v>
      </c>
      <c r="Q62" s="23" t="s">
        <v>2021</v>
      </c>
      <c r="R62" s="404"/>
      <c r="S62" s="404"/>
    </row>
    <row r="63" spans="5:19">
      <c r="E63" s="402" t="s">
        <v>2040</v>
      </c>
      <c r="F63" s="403"/>
      <c r="G63" s="404"/>
      <c r="J63" s="23" t="s">
        <v>2035</v>
      </c>
      <c r="K63" s="401"/>
      <c r="L63" s="401"/>
      <c r="M63" s="401"/>
      <c r="N63" s="467" t="s">
        <v>1927</v>
      </c>
      <c r="O63" s="401" t="s">
        <v>2020</v>
      </c>
      <c r="P63" s="23" t="s">
        <v>292</v>
      </c>
      <c r="Q63" s="23" t="s">
        <v>2021</v>
      </c>
      <c r="R63" s="401"/>
      <c r="S63" s="401"/>
    </row>
    <row r="64" spans="5:19">
      <c r="E64" s="405" t="s">
        <v>2042</v>
      </c>
      <c r="F64" s="406"/>
      <c r="G64" s="406"/>
      <c r="J64" s="467"/>
      <c r="K64" s="404"/>
      <c r="L64" s="404"/>
      <c r="M64" s="404"/>
      <c r="N64" s="467" t="s">
        <v>1927</v>
      </c>
      <c r="O64" s="401" t="s">
        <v>2020</v>
      </c>
      <c r="P64" s="23" t="s">
        <v>2024</v>
      </c>
      <c r="Q64" s="23" t="s">
        <v>2021</v>
      </c>
      <c r="R64" s="404"/>
      <c r="S64" s="404"/>
    </row>
    <row r="65" spans="5:19">
      <c r="E65" s="464" t="s">
        <v>2043</v>
      </c>
      <c r="F65" s="465"/>
      <c r="G65" s="466" t="s">
        <v>2043</v>
      </c>
      <c r="J65" s="467"/>
      <c r="K65" s="401"/>
      <c r="L65" s="401"/>
      <c r="M65" s="401"/>
      <c r="N65" s="467" t="s">
        <v>1927</v>
      </c>
      <c r="O65" s="401" t="s">
        <v>2020</v>
      </c>
      <c r="P65" s="23" t="s">
        <v>290</v>
      </c>
      <c r="Q65" s="23" t="s">
        <v>2021</v>
      </c>
      <c r="R65" s="401"/>
      <c r="S65" s="401"/>
    </row>
    <row r="66" spans="5:19">
      <c r="E66" s="510" t="s">
        <v>2045</v>
      </c>
      <c r="F66" s="401"/>
      <c r="G66" s="401"/>
      <c r="J66" s="23" t="s">
        <v>2331</v>
      </c>
      <c r="N66" s="467" t="s">
        <v>1926</v>
      </c>
      <c r="O66" s="404" t="s">
        <v>2027</v>
      </c>
      <c r="P66" s="23" t="s">
        <v>2028</v>
      </c>
      <c r="R66" s="404"/>
      <c r="S66" s="404"/>
    </row>
    <row r="67" spans="5:19">
      <c r="E67" s="510" t="s">
        <v>2047</v>
      </c>
      <c r="F67" s="404"/>
      <c r="G67" s="404"/>
      <c r="J67" s="23" t="s">
        <v>2332</v>
      </c>
      <c r="Q67" s="401"/>
      <c r="R67" s="401"/>
      <c r="S67" s="401"/>
    </row>
    <row r="68" spans="5:19">
      <c r="E68" s="510" t="s">
        <v>2049</v>
      </c>
      <c r="F68" s="401"/>
      <c r="G68" s="401"/>
      <c r="J68" s="23" t="s">
        <v>2333</v>
      </c>
      <c r="Q68" s="404"/>
      <c r="R68" s="404"/>
      <c r="S68" s="404"/>
    </row>
    <row r="69" spans="10:19">
      <c r="J69" s="23" t="s">
        <v>2334</v>
      </c>
      <c r="Q69" s="467"/>
      <c r="R69" s="467"/>
      <c r="S69" s="467"/>
    </row>
    <row r="70" spans="10:19">
      <c r="J70" s="23" t="s">
        <v>2335</v>
      </c>
      <c r="Q70" s="467"/>
      <c r="R70" s="467"/>
      <c r="S70" s="467"/>
    </row>
    <row r="71" spans="17:19">
      <c r="Q71" s="467"/>
      <c r="R71" s="467"/>
      <c r="S71" s="467"/>
    </row>
    <row r="72" spans="10:19">
      <c r="J72" s="23" t="s">
        <v>2336</v>
      </c>
      <c r="Q72" s="467"/>
      <c r="R72" s="467"/>
      <c r="S72" s="467"/>
    </row>
    <row r="73" spans="10:19">
      <c r="J73" s="23" t="s">
        <v>2337</v>
      </c>
      <c r="Q73" s="467"/>
      <c r="R73" s="467"/>
      <c r="S73" s="467"/>
    </row>
    <row r="74" spans="10:10">
      <c r="J74" s="23" t="s">
        <v>2338</v>
      </c>
    </row>
    <row r="75" spans="10:10">
      <c r="J75" s="23" t="s">
        <v>2339</v>
      </c>
    </row>
    <row r="76" spans="10:10">
      <c r="J76" s="23" t="s">
        <v>2340</v>
      </c>
    </row>
    <row r="78" spans="10:10">
      <c r="J78" s="23" t="s">
        <v>2341</v>
      </c>
    </row>
    <row r="79" spans="10:10">
      <c r="J79" s="23" t="s">
        <v>2342</v>
      </c>
    </row>
    <row r="80" spans="10:10">
      <c r="J80" s="23" t="s">
        <v>2343</v>
      </c>
    </row>
    <row r="81" spans="10:10">
      <c r="J81" s="23" t="s">
        <v>2344</v>
      </c>
    </row>
    <row r="82" spans="10:10">
      <c r="J82" s="23" t="s">
        <v>2345</v>
      </c>
    </row>
    <row r="84" spans="10:10">
      <c r="J84" s="23" t="s">
        <v>2346</v>
      </c>
    </row>
    <row r="85" spans="10:10">
      <c r="J85" s="23" t="s">
        <v>2347</v>
      </c>
    </row>
    <row r="86" spans="10:10">
      <c r="J86" s="23" t="s">
        <v>2348</v>
      </c>
    </row>
    <row r="88" spans="10:10">
      <c r="J88" s="23" t="s">
        <v>2014</v>
      </c>
    </row>
    <row r="89" spans="10:10">
      <c r="J89" s="23" t="s">
        <v>2016</v>
      </c>
    </row>
    <row r="90" spans="10:10">
      <c r="J90" s="23" t="s">
        <v>2349</v>
      </c>
    </row>
    <row r="91" spans="10:14">
      <c r="J91" s="23" t="s">
        <v>2350</v>
      </c>
      <c r="N91" s="823" t="s">
        <v>2351</v>
      </c>
    </row>
    <row r="92" spans="10:14">
      <c r="J92" s="23" t="s">
        <v>2352</v>
      </c>
      <c r="N92" s="823" t="s">
        <v>2353</v>
      </c>
    </row>
    <row r="94" spans="10:10">
      <c r="J94" s="23" t="s">
        <v>2022</v>
      </c>
    </row>
    <row r="95" spans="10:10">
      <c r="J95" s="23" t="s">
        <v>2354</v>
      </c>
    </row>
    <row r="96" spans="10:10">
      <c r="J96" s="23" t="s">
        <v>2355</v>
      </c>
    </row>
    <row r="97" spans="10:10">
      <c r="J97" s="23" t="s">
        <v>2356</v>
      </c>
    </row>
    <row r="98" spans="10:10">
      <c r="J98" s="23" t="s">
        <v>2357</v>
      </c>
    </row>
    <row r="99" spans="10:10">
      <c r="J99" s="23" t="s">
        <v>2358</v>
      </c>
    </row>
    <row r="101" spans="10:10">
      <c r="J101" s="23" t="s">
        <v>2032</v>
      </c>
    </row>
    <row r="102" spans="10:10">
      <c r="J102" s="23" t="s">
        <v>2359</v>
      </c>
    </row>
    <row r="103" spans="10:10">
      <c r="J103" s="23" t="s">
        <v>2360</v>
      </c>
    </row>
    <row r="104" spans="10:10">
      <c r="J104" s="23" t="s">
        <v>2361</v>
      </c>
    </row>
    <row r="105" spans="10:10">
      <c r="J105" s="23" t="s">
        <v>2362</v>
      </c>
    </row>
    <row r="106" spans="10:10">
      <c r="J106" s="23" t="s">
        <v>2363</v>
      </c>
    </row>
    <row r="108" spans="10:10">
      <c r="J108" s="23" t="s">
        <v>2044</v>
      </c>
    </row>
    <row r="109" spans="10:10">
      <c r="J109" s="23" t="s">
        <v>2364</v>
      </c>
    </row>
    <row r="110" spans="10:10">
      <c r="J110" s="23" t="s">
        <v>2365</v>
      </c>
    </row>
    <row r="111" spans="10:10">
      <c r="J111" s="23" t="s">
        <v>2366</v>
      </c>
    </row>
    <row r="112" spans="10:10">
      <c r="J112" s="23" t="s">
        <v>2367</v>
      </c>
    </row>
    <row r="113" spans="10:10">
      <c r="J113" s="23" t="s">
        <v>2368</v>
      </c>
    </row>
  </sheetData>
  <sheetProtection formatCells="0" formatColumns="0" formatRows="0" sort="0" autoFilter="0" pivotTables="0"/>
  <mergeCells count="1">
    <mergeCell ref="U52:AD55"/>
  </mergeCells>
  <conditionalFormatting sqref="V8:Z8">
    <cfRule type="colorScale" priority="1">
      <colorScale>
        <cfvo type="num" val="1"/>
        <cfvo type="num" val="3"/>
        <cfvo type="num" val="5"/>
        <color rgb="FFE64D4D"/>
        <color rgb="FFFFEB84"/>
        <color rgb="FF4DE64D"/>
      </colorScale>
    </cfRule>
  </conditionalFormatting>
  <dataValidations count="3">
    <dataValidation type="list" allowBlank="1" showInputMessage="1" showErrorMessage="1" sqref="U4">
      <formula1>'Cloths Dresses'!Cloth_D_Calc_Name_List</formula1>
    </dataValidation>
    <dataValidation type="list" allowBlank="1" showInputMessage="1" showErrorMessage="1" sqref="V4">
      <formula1>'Cloths Dresses'!Rarity_List_Universal</formula1>
    </dataValidation>
    <dataValidation type="whole" operator="between" allowBlank="1" showInputMessage="1" showErrorMessage="1" errorTitle="Fucky Wucky Detected" error="Please enter a Whole Number (between 1-999)" sqref="W4">
      <formula1>1</formula1>
      <formula2>999</formula2>
    </dataValidation>
  </dataValidations>
  <pageMargins left="0.7" right="0.7" top="0.75" bottom="0.75" header="0.3" footer="0.3"/>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89"/>
  <sheetViews>
    <sheetView workbookViewId="0">
      <selection activeCell="H161" sqref="H161"/>
    </sheetView>
  </sheetViews>
  <sheetFormatPr defaultColWidth="9" defaultRowHeight="13.5"/>
  <cols>
    <col min="1" max="1" width="9.85833333333333" style="23" customWidth="1"/>
    <col min="2" max="2" width="10.5666666666667" style="23" customWidth="1"/>
    <col min="3" max="3" width="12.2833333333333" style="23" customWidth="1"/>
    <col min="4" max="4" width="12.1416666666667" style="23" customWidth="1"/>
    <col min="5" max="6" width="9.85833333333333" style="23" customWidth="1"/>
    <col min="7" max="7" width="9.70833333333333" style="23" customWidth="1"/>
    <col min="8" max="8" width="14.5666666666667" style="23" customWidth="1"/>
    <col min="9" max="9" width="33" style="23" customWidth="1"/>
    <col min="10" max="10" width="11" style="23" customWidth="1"/>
    <col min="11" max="11" width="9.14166666666667" style="23" customWidth="1"/>
    <col min="12" max="12" width="11.8583333333333" style="23" customWidth="1"/>
    <col min="13" max="22" width="9.14166666666667" style="23" customWidth="1"/>
    <col min="23" max="23" width="9.70833333333333" style="23" customWidth="1"/>
    <col min="24" max="24" width="13.7083333333333" style="23" customWidth="1"/>
    <col min="25" max="25" width="12.7083333333333" style="23" customWidth="1"/>
    <col min="26" max="16384" width="9.14166666666667" style="23" customWidth="1"/>
  </cols>
  <sheetData>
    <row r="1" spans="1:22">
      <c r="A1" s="316" t="s">
        <v>2369</v>
      </c>
      <c r="B1" s="317" t="s">
        <v>2370</v>
      </c>
      <c r="C1" s="317" t="s">
        <v>2371</v>
      </c>
      <c r="D1" s="317" t="s">
        <v>2372</v>
      </c>
      <c r="E1" s="316" t="s">
        <v>2373</v>
      </c>
      <c r="F1" s="317" t="s">
        <v>2374</v>
      </c>
      <c r="G1" s="317" t="s">
        <v>2375</v>
      </c>
      <c r="H1" s="318" t="s">
        <v>2376</v>
      </c>
      <c r="I1" s="317" t="s">
        <v>2377</v>
      </c>
      <c r="L1" s="23" t="s">
        <v>2378</v>
      </c>
      <c r="V1" s="23" t="s">
        <v>2379</v>
      </c>
    </row>
    <row r="2" hidden="1" spans="1:22">
      <c r="A2" s="319">
        <v>1.01</v>
      </c>
      <c r="B2" s="320"/>
      <c r="C2" s="320"/>
      <c r="D2" s="320"/>
      <c r="E2" s="321"/>
      <c r="F2" s="320" t="s">
        <v>2380</v>
      </c>
      <c r="G2" s="320" t="s">
        <v>2313</v>
      </c>
      <c r="H2" s="322"/>
      <c r="I2" s="320"/>
      <c r="J2" s="341"/>
      <c r="L2" s="824" t="s">
        <v>2381</v>
      </c>
      <c r="M2" s="342"/>
      <c r="V2" s="23" t="s">
        <v>2382</v>
      </c>
    </row>
    <row r="3" hidden="1" spans="1:31">
      <c r="A3" s="323">
        <v>1.02</v>
      </c>
      <c r="B3" s="324"/>
      <c r="C3" s="324"/>
      <c r="D3" s="324"/>
      <c r="E3" s="325"/>
      <c r="F3" s="324"/>
      <c r="G3" s="324" t="s">
        <v>2313</v>
      </c>
      <c r="H3" s="326"/>
      <c r="I3" s="324"/>
      <c r="J3" s="341"/>
      <c r="K3" s="23" t="s">
        <v>2383</v>
      </c>
      <c r="V3" s="23" t="s">
        <v>2384</v>
      </c>
      <c r="AE3" s="23" t="s">
        <v>2385</v>
      </c>
    </row>
    <row r="4" hidden="1" spans="1:32">
      <c r="A4" s="327">
        <v>1.03</v>
      </c>
      <c r="B4" s="324"/>
      <c r="C4" s="324"/>
      <c r="D4" s="324"/>
      <c r="E4" s="325"/>
      <c r="F4" s="324"/>
      <c r="G4" s="324" t="s">
        <v>2313</v>
      </c>
      <c r="H4" s="326"/>
      <c r="I4" s="324"/>
      <c r="J4" s="341" t="s">
        <v>2386</v>
      </c>
      <c r="K4" s="341"/>
      <c r="L4" s="341"/>
      <c r="M4" s="341"/>
      <c r="N4" s="341"/>
      <c r="O4" s="341"/>
      <c r="P4" s="341"/>
      <c r="Q4" s="341"/>
      <c r="R4" s="341"/>
      <c r="S4" s="341"/>
      <c r="AE4" s="23" t="s">
        <v>2387</v>
      </c>
      <c r="AF4" s="23">
        <v>1905950</v>
      </c>
    </row>
    <row r="5" hidden="1" spans="1:32">
      <c r="A5" s="323">
        <v>1.04</v>
      </c>
      <c r="B5" s="324"/>
      <c r="C5" s="324"/>
      <c r="D5" s="324"/>
      <c r="E5" s="325"/>
      <c r="F5" s="324"/>
      <c r="G5" s="324" t="s">
        <v>2313</v>
      </c>
      <c r="H5" s="326"/>
      <c r="I5" s="324"/>
      <c r="J5" s="341"/>
      <c r="AE5" s="23" t="s">
        <v>2388</v>
      </c>
      <c r="AF5" s="23">
        <v>20388369</v>
      </c>
    </row>
    <row r="6" hidden="1" spans="1:32">
      <c r="A6" s="327">
        <v>1.05</v>
      </c>
      <c r="B6" s="324"/>
      <c r="C6" s="324"/>
      <c r="D6" s="324"/>
      <c r="E6" s="325"/>
      <c r="F6" s="324"/>
      <c r="G6" s="324" t="s">
        <v>2313</v>
      </c>
      <c r="H6" s="326"/>
      <c r="I6" s="324"/>
      <c r="J6" s="341"/>
      <c r="L6" s="23" t="s">
        <v>2313</v>
      </c>
      <c r="M6" s="23" t="s">
        <v>2389</v>
      </c>
      <c r="AE6" s="23" t="s">
        <v>2390</v>
      </c>
      <c r="AF6" s="23" t="s">
        <v>2391</v>
      </c>
    </row>
    <row r="7" hidden="1" spans="1:13">
      <c r="A7" s="323">
        <v>1.06</v>
      </c>
      <c r="B7" s="324"/>
      <c r="C7" s="324"/>
      <c r="D7" s="324"/>
      <c r="E7" s="325"/>
      <c r="F7" s="324"/>
      <c r="G7" s="324" t="s">
        <v>2313</v>
      </c>
      <c r="H7" s="326"/>
      <c r="I7" s="324"/>
      <c r="J7" s="341"/>
      <c r="L7" s="23" t="s">
        <v>2392</v>
      </c>
      <c r="M7" s="23" t="s">
        <v>2393</v>
      </c>
    </row>
    <row r="8" spans="1:13">
      <c r="A8" s="323">
        <v>1.07</v>
      </c>
      <c r="B8" s="324"/>
      <c r="C8" s="324"/>
      <c r="D8" s="324"/>
      <c r="E8" s="325"/>
      <c r="F8" s="324"/>
      <c r="G8" s="324" t="s">
        <v>1931</v>
      </c>
      <c r="H8" s="326" t="s">
        <v>2394</v>
      </c>
      <c r="I8" s="324"/>
      <c r="J8" s="341"/>
      <c r="L8" s="823" t="s">
        <v>2395</v>
      </c>
      <c r="M8" s="23" t="s">
        <v>2396</v>
      </c>
    </row>
    <row r="9" spans="1:13">
      <c r="A9" s="328">
        <v>1.08</v>
      </c>
      <c r="B9" s="329">
        <v>18</v>
      </c>
      <c r="C9" s="329">
        <v>8</v>
      </c>
      <c r="D9" s="329">
        <v>13</v>
      </c>
      <c r="E9" s="330">
        <v>3</v>
      </c>
      <c r="F9" s="329"/>
      <c r="G9" s="329" t="s">
        <v>1931</v>
      </c>
      <c r="H9" s="331" t="s">
        <v>2397</v>
      </c>
      <c r="I9" s="329"/>
      <c r="J9" s="341"/>
      <c r="L9" s="23" t="s">
        <v>2397</v>
      </c>
      <c r="M9" s="23" t="s">
        <v>2398</v>
      </c>
    </row>
    <row r="10" spans="1:13">
      <c r="A10" s="332">
        <v>2.01</v>
      </c>
      <c r="B10" s="320"/>
      <c r="C10" s="320"/>
      <c r="D10" s="320"/>
      <c r="E10" s="321"/>
      <c r="F10" s="320"/>
      <c r="G10" s="320" t="s">
        <v>1931</v>
      </c>
      <c r="H10" s="322" t="s">
        <v>2397</v>
      </c>
      <c r="I10" s="320"/>
      <c r="J10" s="341"/>
      <c r="L10" s="23" t="s">
        <v>2399</v>
      </c>
      <c r="M10" s="23" t="s">
        <v>2400</v>
      </c>
    </row>
    <row r="11" spans="1:13">
      <c r="A11" s="323">
        <v>2.02</v>
      </c>
      <c r="B11" s="324"/>
      <c r="C11" s="324"/>
      <c r="D11" s="324"/>
      <c r="E11" s="325"/>
      <c r="F11" s="324"/>
      <c r="G11" s="324" t="s">
        <v>1931</v>
      </c>
      <c r="H11" s="326" t="s">
        <v>2401</v>
      </c>
      <c r="I11" s="324" t="s">
        <v>2402</v>
      </c>
      <c r="J11" s="341"/>
      <c r="L11" s="23" t="s">
        <v>2401</v>
      </c>
      <c r="M11" s="23" t="s">
        <v>2403</v>
      </c>
    </row>
    <row r="12" spans="1:13">
      <c r="A12" s="323">
        <v>2.03</v>
      </c>
      <c r="B12" s="324"/>
      <c r="C12" s="324"/>
      <c r="D12" s="324"/>
      <c r="E12" s="325"/>
      <c r="F12" s="324"/>
      <c r="G12" s="324" t="s">
        <v>1931</v>
      </c>
      <c r="H12" s="326" t="s">
        <v>2401</v>
      </c>
      <c r="I12" s="324" t="s">
        <v>2404</v>
      </c>
      <c r="J12" s="341"/>
      <c r="L12" s="23" t="s">
        <v>2405</v>
      </c>
      <c r="M12" s="23" t="s">
        <v>2406</v>
      </c>
    </row>
    <row r="13" spans="1:26">
      <c r="A13" s="323">
        <v>2.04</v>
      </c>
      <c r="B13" s="324"/>
      <c r="C13" s="324"/>
      <c r="D13" s="324"/>
      <c r="E13" s="325"/>
      <c r="F13" s="324"/>
      <c r="G13" s="324" t="s">
        <v>1931</v>
      </c>
      <c r="H13" s="326" t="s">
        <v>2394</v>
      </c>
      <c r="I13" s="324"/>
      <c r="J13" s="341"/>
      <c r="Z13" s="23" t="s">
        <v>2407</v>
      </c>
    </row>
    <row r="14" spans="1:16">
      <c r="A14" s="323">
        <v>2.05</v>
      </c>
      <c r="B14" s="324"/>
      <c r="C14" s="324"/>
      <c r="D14" s="324"/>
      <c r="E14" s="325"/>
      <c r="F14" s="324"/>
      <c r="G14" s="324" t="s">
        <v>1931</v>
      </c>
      <c r="H14" s="326" t="s">
        <v>2399</v>
      </c>
      <c r="I14" s="324"/>
      <c r="J14" s="341"/>
      <c r="L14" s="23" t="s">
        <v>2408</v>
      </c>
      <c r="N14" s="23" t="s">
        <v>2409</v>
      </c>
      <c r="P14" s="23" t="s">
        <v>2410</v>
      </c>
    </row>
    <row r="15" spans="1:24">
      <c r="A15" s="323">
        <v>2.06</v>
      </c>
      <c r="B15" s="324"/>
      <c r="C15" s="324"/>
      <c r="D15" s="324"/>
      <c r="E15" s="325"/>
      <c r="F15" s="324"/>
      <c r="G15" s="324" t="s">
        <v>1931</v>
      </c>
      <c r="H15" s="326" t="s">
        <v>2405</v>
      </c>
      <c r="I15" s="324"/>
      <c r="J15" s="341"/>
      <c r="L15" s="239" t="s">
        <v>2411</v>
      </c>
      <c r="M15" s="240" t="s">
        <v>2412</v>
      </c>
      <c r="N15" s="240" t="s">
        <v>2413</v>
      </c>
      <c r="O15" s="240" t="s">
        <v>2414</v>
      </c>
      <c r="P15" s="240" t="s">
        <v>2415</v>
      </c>
      <c r="Q15" s="240" t="s">
        <v>2416</v>
      </c>
      <c r="R15" s="240" t="s">
        <v>2417</v>
      </c>
      <c r="S15" s="240" t="s">
        <v>2418</v>
      </c>
      <c r="T15" s="240" t="s">
        <v>2419</v>
      </c>
      <c r="U15" s="240" t="s">
        <v>2420</v>
      </c>
      <c r="V15" s="240" t="s">
        <v>2421</v>
      </c>
      <c r="W15" s="239" t="s">
        <v>2422</v>
      </c>
      <c r="X15" s="266" t="s">
        <v>2423</v>
      </c>
    </row>
    <row r="16" spans="1:32">
      <c r="A16" s="323">
        <v>2.07</v>
      </c>
      <c r="B16" s="324"/>
      <c r="C16" s="324"/>
      <c r="D16" s="324"/>
      <c r="E16" s="325"/>
      <c r="F16" s="324"/>
      <c r="G16" s="324" t="s">
        <v>1931</v>
      </c>
      <c r="H16" s="326" t="s">
        <v>2405</v>
      </c>
      <c r="I16" s="324"/>
      <c r="J16" s="341"/>
      <c r="L16" s="241">
        <v>1</v>
      </c>
      <c r="M16" s="242">
        <v>0</v>
      </c>
      <c r="N16" s="242">
        <v>3</v>
      </c>
      <c r="O16" s="242">
        <v>0</v>
      </c>
      <c r="P16" s="242">
        <v>0</v>
      </c>
      <c r="Q16" s="242">
        <v>0</v>
      </c>
      <c r="R16" s="242">
        <v>0</v>
      </c>
      <c r="S16" s="242">
        <v>3</v>
      </c>
      <c r="T16" s="242">
        <v>0</v>
      </c>
      <c r="U16" s="242">
        <v>5</v>
      </c>
      <c r="V16" s="242">
        <v>0</v>
      </c>
      <c r="W16" s="258">
        <f t="shared" ref="W16:W26" si="0">AVERAGE(M16:V16)</f>
        <v>1.1</v>
      </c>
      <c r="X16" s="267">
        <f t="shared" ref="X16:X35" si="1">SUM(M16:V16)</f>
        <v>11</v>
      </c>
      <c r="Z16" s="268" t="s">
        <v>2424</v>
      </c>
      <c r="AA16" s="268"/>
      <c r="AB16" s="269" t="s">
        <v>2425</v>
      </c>
      <c r="AC16" s="269"/>
      <c r="AD16" s="270" t="s">
        <v>2426</v>
      </c>
      <c r="AE16" s="270"/>
      <c r="AF16" s="23" t="s">
        <v>2427</v>
      </c>
    </row>
    <row r="17" spans="1:26">
      <c r="A17" s="323">
        <v>2.08</v>
      </c>
      <c r="B17" s="324"/>
      <c r="C17" s="324"/>
      <c r="D17" s="324"/>
      <c r="E17" s="325"/>
      <c r="F17" s="324"/>
      <c r="G17" s="324" t="s">
        <v>1931</v>
      </c>
      <c r="H17" s="326" t="s">
        <v>2394</v>
      </c>
      <c r="I17" s="324" t="s">
        <v>2428</v>
      </c>
      <c r="J17" s="341"/>
      <c r="L17" s="244">
        <v>2</v>
      </c>
      <c r="M17" s="245">
        <v>0</v>
      </c>
      <c r="N17" s="245">
        <v>0</v>
      </c>
      <c r="O17" s="245">
        <v>0</v>
      </c>
      <c r="P17" s="245">
        <v>20</v>
      </c>
      <c r="Q17" s="245">
        <v>5</v>
      </c>
      <c r="R17" s="245">
        <v>5</v>
      </c>
      <c r="S17" s="245">
        <v>0</v>
      </c>
      <c r="T17" s="245">
        <v>0</v>
      </c>
      <c r="U17" s="245">
        <v>0</v>
      </c>
      <c r="V17" s="245">
        <v>0</v>
      </c>
      <c r="W17" s="259">
        <f t="shared" si="0"/>
        <v>3</v>
      </c>
      <c r="X17" s="271">
        <f t="shared" si="1"/>
        <v>30</v>
      </c>
      <c r="Z17" s="23" t="s">
        <v>2429</v>
      </c>
    </row>
    <row r="18" spans="1:30">
      <c r="A18" s="323">
        <v>2.09</v>
      </c>
      <c r="B18" s="324"/>
      <c r="C18" s="324"/>
      <c r="D18" s="324"/>
      <c r="E18" s="325"/>
      <c r="F18" s="324"/>
      <c r="G18" s="324" t="s">
        <v>1931</v>
      </c>
      <c r="H18" s="326" t="s">
        <v>2397</v>
      </c>
      <c r="I18" s="324"/>
      <c r="J18" s="341"/>
      <c r="L18" s="246">
        <v>3</v>
      </c>
      <c r="M18" s="248">
        <v>18</v>
      </c>
      <c r="N18" s="248">
        <v>0</v>
      </c>
      <c r="O18" s="248">
        <v>0</v>
      </c>
      <c r="P18" s="248">
        <v>0</v>
      </c>
      <c r="Q18" s="248">
        <v>0</v>
      </c>
      <c r="R18" s="248">
        <v>0</v>
      </c>
      <c r="S18" s="248">
        <v>0</v>
      </c>
      <c r="T18" s="248">
        <v>0</v>
      </c>
      <c r="U18" s="248">
        <v>0</v>
      </c>
      <c r="V18" s="248">
        <v>0</v>
      </c>
      <c r="W18" s="260">
        <f t="shared" si="0"/>
        <v>1.8</v>
      </c>
      <c r="X18" s="272">
        <f t="shared" si="1"/>
        <v>18</v>
      </c>
      <c r="Z18" s="128" t="s">
        <v>2430</v>
      </c>
      <c r="AA18" s="128">
        <f>COUNTIF(M16:V25,0)</f>
        <v>81</v>
      </c>
      <c r="AB18" s="273">
        <f t="shared" ref="AB18:AB23" si="2">(AA18/100)</f>
        <v>0.81</v>
      </c>
      <c r="AD18" s="23" t="s">
        <v>2431</v>
      </c>
    </row>
    <row r="19" spans="1:34">
      <c r="A19" s="323">
        <v>2.1</v>
      </c>
      <c r="B19" s="324"/>
      <c r="C19" s="324"/>
      <c r="D19" s="324"/>
      <c r="E19" s="325"/>
      <c r="F19" s="324"/>
      <c r="G19" s="324" t="s">
        <v>2380</v>
      </c>
      <c r="H19" s="326" t="s">
        <v>2432</v>
      </c>
      <c r="I19" s="324"/>
      <c r="J19" s="341"/>
      <c r="L19" s="244">
        <v>4</v>
      </c>
      <c r="M19" s="245">
        <v>0</v>
      </c>
      <c r="N19" s="245">
        <v>0</v>
      </c>
      <c r="O19" s="245">
        <v>0</v>
      </c>
      <c r="P19" s="245">
        <v>3</v>
      </c>
      <c r="Q19" s="245">
        <v>0</v>
      </c>
      <c r="R19" s="245">
        <v>0</v>
      </c>
      <c r="S19" s="245">
        <v>3</v>
      </c>
      <c r="T19" s="245">
        <v>0</v>
      </c>
      <c r="U19" s="245">
        <v>0</v>
      </c>
      <c r="V19" s="245">
        <v>0</v>
      </c>
      <c r="W19" s="259">
        <f t="shared" si="0"/>
        <v>0.6</v>
      </c>
      <c r="X19" s="271">
        <f t="shared" si="1"/>
        <v>6</v>
      </c>
      <c r="Z19" s="128" t="s">
        <v>2433</v>
      </c>
      <c r="AA19" s="128">
        <f>COUNTIF(M16:V25,3)</f>
        <v>8</v>
      </c>
      <c r="AB19" s="273">
        <f t="shared" si="2"/>
        <v>0.08</v>
      </c>
      <c r="AD19" s="274" t="s">
        <v>2434</v>
      </c>
      <c r="AE19" s="275"/>
      <c r="AF19" s="280" t="s">
        <v>2435</v>
      </c>
      <c r="AG19" s="275" t="s">
        <v>2436</v>
      </c>
      <c r="AH19" s="281"/>
    </row>
    <row r="20" spans="1:33">
      <c r="A20" s="323">
        <v>2.11</v>
      </c>
      <c r="B20" s="324"/>
      <c r="C20" s="324"/>
      <c r="D20" s="324"/>
      <c r="E20" s="325"/>
      <c r="F20" s="324"/>
      <c r="G20" s="324" t="s">
        <v>2380</v>
      </c>
      <c r="H20" s="326" t="s">
        <v>2432</v>
      </c>
      <c r="I20" s="324"/>
      <c r="J20" s="341"/>
      <c r="L20" s="246">
        <v>5</v>
      </c>
      <c r="M20" s="248">
        <v>0</v>
      </c>
      <c r="N20" s="248">
        <v>0</v>
      </c>
      <c r="O20" s="248">
        <v>0</v>
      </c>
      <c r="P20" s="248">
        <v>0</v>
      </c>
      <c r="Q20" s="248">
        <v>0</v>
      </c>
      <c r="R20" s="248">
        <v>20</v>
      </c>
      <c r="S20" s="248">
        <v>0</v>
      </c>
      <c r="T20" s="248">
        <v>0</v>
      </c>
      <c r="U20" s="248">
        <v>0</v>
      </c>
      <c r="V20" s="248">
        <v>0</v>
      </c>
      <c r="W20" s="260">
        <f t="shared" si="0"/>
        <v>2</v>
      </c>
      <c r="X20" s="272">
        <f t="shared" si="1"/>
        <v>20</v>
      </c>
      <c r="Z20" s="128" t="s">
        <v>2437</v>
      </c>
      <c r="AA20" s="128">
        <f>COUNTIF(M16:V25,5)</f>
        <v>5</v>
      </c>
      <c r="AB20" s="273">
        <f t="shared" si="2"/>
        <v>0.05</v>
      </c>
      <c r="AD20" s="23" t="s">
        <v>2438</v>
      </c>
      <c r="AF20" s="128">
        <v>1</v>
      </c>
      <c r="AG20" s="282">
        <f t="shared" ref="AG20:AG22" si="3">(AF20/100)</f>
        <v>0.01</v>
      </c>
    </row>
    <row r="21" spans="1:33">
      <c r="A21" s="328">
        <v>2.12</v>
      </c>
      <c r="B21" s="329"/>
      <c r="C21" s="329"/>
      <c r="D21" s="329"/>
      <c r="E21" s="330"/>
      <c r="F21" s="329"/>
      <c r="G21" s="329" t="s">
        <v>2380</v>
      </c>
      <c r="H21" s="331" t="s">
        <v>2394</v>
      </c>
      <c r="I21" s="329"/>
      <c r="J21" s="341"/>
      <c r="L21" s="244">
        <v>6</v>
      </c>
      <c r="M21" s="245">
        <v>0</v>
      </c>
      <c r="N21" s="245">
        <v>0</v>
      </c>
      <c r="O21" s="245">
        <v>0</v>
      </c>
      <c r="P21" s="245">
        <v>0</v>
      </c>
      <c r="Q21" s="245">
        <v>0</v>
      </c>
      <c r="R21" s="245">
        <v>0</v>
      </c>
      <c r="S21" s="245">
        <v>15</v>
      </c>
      <c r="T21" s="245">
        <v>0</v>
      </c>
      <c r="U21" s="245">
        <v>0</v>
      </c>
      <c r="V21" s="245">
        <v>0</v>
      </c>
      <c r="W21" s="259">
        <f t="shared" si="0"/>
        <v>1.5</v>
      </c>
      <c r="X21" s="271">
        <f t="shared" si="1"/>
        <v>15</v>
      </c>
      <c r="Z21" s="128" t="s">
        <v>2439</v>
      </c>
      <c r="AA21" s="128">
        <f>COUNTIF(M16:V25,15)</f>
        <v>3</v>
      </c>
      <c r="AB21" s="273">
        <f t="shared" si="2"/>
        <v>0.03</v>
      </c>
      <c r="AD21" s="23" t="s">
        <v>2440</v>
      </c>
      <c r="AF21" s="128">
        <v>2</v>
      </c>
      <c r="AG21" s="282">
        <f t="shared" si="3"/>
        <v>0.02</v>
      </c>
    </row>
    <row r="22" hidden="1" spans="1:33">
      <c r="A22" s="319">
        <v>3.01</v>
      </c>
      <c r="B22" s="320"/>
      <c r="C22" s="320"/>
      <c r="D22" s="320"/>
      <c r="E22" s="321"/>
      <c r="F22" s="320"/>
      <c r="G22" s="320"/>
      <c r="H22" s="322"/>
      <c r="I22" s="320"/>
      <c r="J22" s="341"/>
      <c r="L22" s="246">
        <v>7</v>
      </c>
      <c r="M22" s="343">
        <v>0</v>
      </c>
      <c r="N22" s="344">
        <v>0</v>
      </c>
      <c r="O22" s="344">
        <v>0</v>
      </c>
      <c r="P22" s="344">
        <v>0</v>
      </c>
      <c r="Q22" s="344">
        <v>3</v>
      </c>
      <c r="R22" s="344">
        <v>0</v>
      </c>
      <c r="S22" s="344">
        <v>0</v>
      </c>
      <c r="T22" s="344">
        <v>0</v>
      </c>
      <c r="U22" s="344">
        <v>3</v>
      </c>
      <c r="V22" s="347">
        <v>0</v>
      </c>
      <c r="W22" s="260">
        <f t="shared" si="0"/>
        <v>0.6</v>
      </c>
      <c r="X22" s="272">
        <f t="shared" si="1"/>
        <v>6</v>
      </c>
      <c r="Z22" s="128" t="s">
        <v>2441</v>
      </c>
      <c r="AA22" s="128">
        <f>COUNTIF(M16:V25,18)</f>
        <v>1</v>
      </c>
      <c r="AB22" s="273">
        <f t="shared" si="2"/>
        <v>0.01</v>
      </c>
      <c r="AD22" s="23" t="s">
        <v>2442</v>
      </c>
      <c r="AF22" s="128">
        <v>2</v>
      </c>
      <c r="AG22" s="282">
        <f t="shared" si="3"/>
        <v>0.02</v>
      </c>
    </row>
    <row r="23" hidden="1" spans="1:28">
      <c r="A23" s="323">
        <v>3.02</v>
      </c>
      <c r="B23" s="324"/>
      <c r="C23" s="324"/>
      <c r="D23" s="324"/>
      <c r="E23" s="325"/>
      <c r="F23" s="324"/>
      <c r="G23" s="324"/>
      <c r="H23" s="326"/>
      <c r="I23" s="324"/>
      <c r="J23" s="341"/>
      <c r="L23" s="244">
        <v>8</v>
      </c>
      <c r="M23" s="245">
        <v>0</v>
      </c>
      <c r="N23" s="245">
        <v>0</v>
      </c>
      <c r="O23" s="245">
        <v>0</v>
      </c>
      <c r="P23" s="345">
        <v>0</v>
      </c>
      <c r="Q23" s="245">
        <v>15</v>
      </c>
      <c r="R23" s="245">
        <v>0</v>
      </c>
      <c r="S23" s="245">
        <v>0</v>
      </c>
      <c r="T23" s="255">
        <v>0</v>
      </c>
      <c r="U23" s="255">
        <v>0</v>
      </c>
      <c r="V23" s="345">
        <v>0</v>
      </c>
      <c r="W23" s="259">
        <f t="shared" si="0"/>
        <v>1.5</v>
      </c>
      <c r="X23" s="271">
        <f t="shared" si="1"/>
        <v>15</v>
      </c>
      <c r="Z23" s="128" t="s">
        <v>2443</v>
      </c>
      <c r="AA23" s="128">
        <f>COUNTIF(M16:V25,20)</f>
        <v>2</v>
      </c>
      <c r="AB23" s="273">
        <f t="shared" si="2"/>
        <v>0.02</v>
      </c>
    </row>
    <row r="24" hidden="1" spans="1:28">
      <c r="A24" s="327">
        <v>3.03</v>
      </c>
      <c r="B24" s="324"/>
      <c r="C24" s="324"/>
      <c r="D24" s="324"/>
      <c r="E24" s="325"/>
      <c r="F24" s="324"/>
      <c r="G24" s="324"/>
      <c r="H24" s="326"/>
      <c r="I24" s="324"/>
      <c r="J24" s="341"/>
      <c r="L24" s="246">
        <v>9</v>
      </c>
      <c r="M24" s="248">
        <v>0</v>
      </c>
      <c r="N24" s="248">
        <v>3</v>
      </c>
      <c r="O24" s="248">
        <v>0</v>
      </c>
      <c r="P24" s="248">
        <v>0</v>
      </c>
      <c r="Q24" s="248">
        <v>0</v>
      </c>
      <c r="R24" s="248">
        <v>0</v>
      </c>
      <c r="S24" s="248">
        <v>0</v>
      </c>
      <c r="T24" s="248">
        <v>15</v>
      </c>
      <c r="U24" s="256">
        <v>5</v>
      </c>
      <c r="V24" s="248">
        <v>0</v>
      </c>
      <c r="W24" s="260">
        <f t="shared" si="0"/>
        <v>2.3</v>
      </c>
      <c r="X24" s="272">
        <f t="shared" si="1"/>
        <v>23</v>
      </c>
      <c r="Y24" s="276">
        <f>AVERAGE(M16:V25)</f>
        <v>1.52</v>
      </c>
      <c r="Z24" s="277" t="s">
        <v>2444</v>
      </c>
      <c r="AA24" s="263"/>
      <c r="AB24" s="264"/>
    </row>
    <row r="25" hidden="1" spans="1:29">
      <c r="A25" s="323">
        <v>3.04</v>
      </c>
      <c r="B25" s="324"/>
      <c r="C25" s="324"/>
      <c r="D25" s="324"/>
      <c r="E25" s="325"/>
      <c r="F25" s="324"/>
      <c r="G25" s="324"/>
      <c r="H25" s="326"/>
      <c r="I25" s="324"/>
      <c r="J25" s="341"/>
      <c r="L25" s="244">
        <v>10</v>
      </c>
      <c r="M25" s="245">
        <v>0</v>
      </c>
      <c r="N25" s="245">
        <v>0</v>
      </c>
      <c r="O25" s="245">
        <v>5</v>
      </c>
      <c r="P25" s="245">
        <v>0</v>
      </c>
      <c r="Q25" s="245">
        <v>0</v>
      </c>
      <c r="R25" s="245">
        <v>0</v>
      </c>
      <c r="S25" s="245">
        <v>0</v>
      </c>
      <c r="T25" s="245">
        <v>3</v>
      </c>
      <c r="U25" s="245">
        <v>0</v>
      </c>
      <c r="V25" s="245">
        <v>0</v>
      </c>
      <c r="W25" s="261">
        <f t="shared" si="0"/>
        <v>0.8</v>
      </c>
      <c r="X25" s="271">
        <f t="shared" si="1"/>
        <v>8</v>
      </c>
      <c r="Y25" s="278">
        <f>SUM(X16:X25)</f>
        <v>152</v>
      </c>
      <c r="Z25" s="277" t="s">
        <v>2445</v>
      </c>
      <c r="AA25" s="263"/>
      <c r="AB25" s="263"/>
      <c r="AC25" s="264"/>
    </row>
    <row r="26" hidden="1" spans="1:32">
      <c r="A26" s="327">
        <v>3.05</v>
      </c>
      <c r="B26" s="324"/>
      <c r="C26" s="324"/>
      <c r="D26" s="324"/>
      <c r="E26" s="325"/>
      <c r="F26" s="324"/>
      <c r="G26" s="324"/>
      <c r="H26" s="326"/>
      <c r="I26" s="324"/>
      <c r="J26" s="341"/>
      <c r="L26" s="241">
        <v>11</v>
      </c>
      <c r="M26" s="242">
        <v>15</v>
      </c>
      <c r="N26" s="242">
        <v>0</v>
      </c>
      <c r="O26" s="242"/>
      <c r="P26" s="242"/>
      <c r="Q26" s="242"/>
      <c r="R26" s="242"/>
      <c r="S26" s="242"/>
      <c r="T26" s="242"/>
      <c r="U26" s="242"/>
      <c r="V26" s="242"/>
      <c r="W26" s="258">
        <f t="shared" si="0"/>
        <v>7.5</v>
      </c>
      <c r="X26" s="267">
        <f t="shared" si="1"/>
        <v>15</v>
      </c>
      <c r="Z26" s="268" t="s">
        <v>2442</v>
      </c>
      <c r="AA26" s="268"/>
      <c r="AB26" s="269" t="s">
        <v>2425</v>
      </c>
      <c r="AC26" s="269"/>
      <c r="AD26" s="270" t="s">
        <v>2426</v>
      </c>
      <c r="AE26" s="270"/>
      <c r="AF26" s="23" t="s">
        <v>2427</v>
      </c>
    </row>
    <row r="27" hidden="1" spans="1:26">
      <c r="A27" s="323">
        <v>3.06</v>
      </c>
      <c r="B27" s="324"/>
      <c r="C27" s="324"/>
      <c r="D27" s="324"/>
      <c r="E27" s="325"/>
      <c r="F27" s="324"/>
      <c r="G27" s="324"/>
      <c r="H27" s="326"/>
      <c r="I27" s="324"/>
      <c r="J27" s="341"/>
      <c r="L27" s="244">
        <v>12</v>
      </c>
      <c r="M27" s="245"/>
      <c r="N27" s="245"/>
      <c r="O27" s="245"/>
      <c r="P27" s="245"/>
      <c r="Q27" s="245"/>
      <c r="R27" s="245"/>
      <c r="S27" s="245"/>
      <c r="T27" s="245"/>
      <c r="U27" s="245"/>
      <c r="V27" s="245"/>
      <c r="W27" s="259" t="e">
        <v>#DIV/0!</v>
      </c>
      <c r="X27" s="271">
        <f t="shared" si="1"/>
        <v>0</v>
      </c>
      <c r="Z27" s="23" t="s">
        <v>2429</v>
      </c>
    </row>
    <row r="28" hidden="1" spans="1:30">
      <c r="A28" s="327">
        <v>3.07</v>
      </c>
      <c r="B28" s="324"/>
      <c r="C28" s="324"/>
      <c r="D28" s="324"/>
      <c r="E28" s="325"/>
      <c r="F28" s="324"/>
      <c r="G28" s="324"/>
      <c r="H28" s="326"/>
      <c r="I28" s="324"/>
      <c r="J28" s="341"/>
      <c r="L28" s="246">
        <v>13</v>
      </c>
      <c r="M28" s="248"/>
      <c r="N28" s="248"/>
      <c r="O28" s="248"/>
      <c r="P28" s="248"/>
      <c r="Q28" s="248"/>
      <c r="R28" s="248"/>
      <c r="S28" s="248"/>
      <c r="T28" s="248"/>
      <c r="U28" s="248"/>
      <c r="V28" s="248"/>
      <c r="W28" s="260" t="e">
        <v>#DIV/0!</v>
      </c>
      <c r="X28" s="272">
        <f t="shared" si="1"/>
        <v>0</v>
      </c>
      <c r="Z28" s="128" t="s">
        <v>2430</v>
      </c>
      <c r="AA28" s="128">
        <f>COUNTIF(M26:V35,0)</f>
        <v>1</v>
      </c>
      <c r="AB28" s="273">
        <f t="shared" ref="AB28:AB33" si="4">(AA28/100)</f>
        <v>0.01</v>
      </c>
      <c r="AD28" s="23" t="s">
        <v>2431</v>
      </c>
    </row>
    <row r="29" hidden="1" spans="1:34">
      <c r="A29" s="323">
        <v>3.08</v>
      </c>
      <c r="B29" s="324"/>
      <c r="C29" s="324"/>
      <c r="D29" s="324"/>
      <c r="E29" s="325"/>
      <c r="F29" s="324" t="s">
        <v>1931</v>
      </c>
      <c r="G29" s="324"/>
      <c r="H29" s="326"/>
      <c r="I29" s="324" t="s">
        <v>2446</v>
      </c>
      <c r="J29" s="341"/>
      <c r="L29" s="244">
        <v>14</v>
      </c>
      <c r="M29" s="245"/>
      <c r="N29" s="245"/>
      <c r="O29" s="245"/>
      <c r="P29" s="245"/>
      <c r="Q29" s="245"/>
      <c r="R29" s="245"/>
      <c r="S29" s="245"/>
      <c r="T29" s="245"/>
      <c r="U29" s="245"/>
      <c r="V29" s="245"/>
      <c r="W29" s="259" t="e">
        <v>#DIV/0!</v>
      </c>
      <c r="X29" s="271">
        <f t="shared" si="1"/>
        <v>0</v>
      </c>
      <c r="Z29" s="128" t="s">
        <v>2433</v>
      </c>
      <c r="AA29" s="128">
        <f>COUNTIF(M26:V35,3)</f>
        <v>0</v>
      </c>
      <c r="AB29" s="273">
        <f t="shared" si="4"/>
        <v>0</v>
      </c>
      <c r="AD29" s="274" t="s">
        <v>2434</v>
      </c>
      <c r="AE29" s="275"/>
      <c r="AF29" s="280" t="s">
        <v>2435</v>
      </c>
      <c r="AG29" s="275" t="s">
        <v>2436</v>
      </c>
      <c r="AH29" s="281"/>
    </row>
    <row r="30" hidden="1" spans="1:33">
      <c r="A30" s="327">
        <v>3.09</v>
      </c>
      <c r="B30" s="324"/>
      <c r="C30" s="324"/>
      <c r="D30" s="324"/>
      <c r="E30" s="325"/>
      <c r="F30" s="324"/>
      <c r="G30" s="324"/>
      <c r="H30" s="326"/>
      <c r="I30" s="324"/>
      <c r="J30" s="341"/>
      <c r="L30" s="246">
        <v>15</v>
      </c>
      <c r="M30" s="248"/>
      <c r="N30" s="248"/>
      <c r="O30" s="248"/>
      <c r="P30" s="248"/>
      <c r="Q30" s="248"/>
      <c r="R30" s="248"/>
      <c r="S30" s="248"/>
      <c r="T30" s="248"/>
      <c r="U30" s="248"/>
      <c r="V30" s="248"/>
      <c r="W30" s="260" t="e">
        <v>#DIV/0!</v>
      </c>
      <c r="X30" s="272">
        <f t="shared" si="1"/>
        <v>0</v>
      </c>
      <c r="Z30" s="128" t="s">
        <v>2437</v>
      </c>
      <c r="AA30" s="128">
        <f>COUNTIF(M26:V35,5)</f>
        <v>0</v>
      </c>
      <c r="AB30" s="273">
        <f t="shared" si="4"/>
        <v>0</v>
      </c>
      <c r="AD30" s="23" t="s">
        <v>2447</v>
      </c>
      <c r="AF30" s="128">
        <v>0</v>
      </c>
      <c r="AG30" s="282">
        <f t="shared" ref="AG30:AG32" si="5">(AF30/100)</f>
        <v>0</v>
      </c>
    </row>
    <row r="31" hidden="1" spans="1:33">
      <c r="A31" s="323">
        <v>3.1</v>
      </c>
      <c r="B31" s="333"/>
      <c r="C31" s="333"/>
      <c r="D31" s="333"/>
      <c r="E31" s="334"/>
      <c r="F31" s="324"/>
      <c r="G31" s="333"/>
      <c r="H31" s="326"/>
      <c r="I31" s="324"/>
      <c r="J31" s="341"/>
      <c r="L31" s="244">
        <v>16</v>
      </c>
      <c r="M31" s="245"/>
      <c r="N31" s="245"/>
      <c r="O31" s="245"/>
      <c r="P31" s="245"/>
      <c r="Q31" s="245"/>
      <c r="R31" s="245"/>
      <c r="S31" s="245"/>
      <c r="T31" s="245"/>
      <c r="U31" s="245"/>
      <c r="V31" s="245"/>
      <c r="W31" s="259" t="e">
        <v>#DIV/0!</v>
      </c>
      <c r="X31" s="271">
        <f t="shared" si="1"/>
        <v>0</v>
      </c>
      <c r="Z31" s="128" t="s">
        <v>2439</v>
      </c>
      <c r="AA31" s="128">
        <f>COUNTIF(M26:V35,15)</f>
        <v>1</v>
      </c>
      <c r="AB31" s="273">
        <f t="shared" si="4"/>
        <v>0.01</v>
      </c>
      <c r="AD31" s="23" t="s">
        <v>2440</v>
      </c>
      <c r="AF31" s="128">
        <v>0</v>
      </c>
      <c r="AG31" s="282">
        <f t="shared" si="5"/>
        <v>0</v>
      </c>
    </row>
    <row r="32" hidden="1" spans="1:33">
      <c r="A32" s="327">
        <v>3.11</v>
      </c>
      <c r="B32" s="324"/>
      <c r="C32" s="324"/>
      <c r="D32" s="324"/>
      <c r="E32" s="325"/>
      <c r="F32" s="324"/>
      <c r="G32" s="324"/>
      <c r="H32" s="326"/>
      <c r="I32" s="324"/>
      <c r="J32" s="341"/>
      <c r="L32" s="246">
        <v>17</v>
      </c>
      <c r="M32" s="248"/>
      <c r="N32" s="248"/>
      <c r="O32" s="248"/>
      <c r="P32" s="248"/>
      <c r="Q32" s="248"/>
      <c r="R32" s="248"/>
      <c r="S32" s="248"/>
      <c r="T32" s="248"/>
      <c r="U32" s="248"/>
      <c r="V32" s="248"/>
      <c r="W32" s="260" t="e">
        <v>#DIV/0!</v>
      </c>
      <c r="X32" s="272">
        <f t="shared" si="1"/>
        <v>0</v>
      </c>
      <c r="Z32" s="128" t="s">
        <v>2441</v>
      </c>
      <c r="AA32" s="128">
        <f>COUNTIF(M26:V35,18)</f>
        <v>0</v>
      </c>
      <c r="AB32" s="273">
        <f t="shared" si="4"/>
        <v>0</v>
      </c>
      <c r="AD32" s="23" t="s">
        <v>2442</v>
      </c>
      <c r="AF32" s="128">
        <v>0</v>
      </c>
      <c r="AG32" s="282">
        <f t="shared" si="5"/>
        <v>0</v>
      </c>
    </row>
    <row r="33" hidden="1" spans="1:28">
      <c r="A33" s="335">
        <v>3.12</v>
      </c>
      <c r="B33" s="329"/>
      <c r="C33" s="329"/>
      <c r="D33" s="329"/>
      <c r="E33" s="330"/>
      <c r="F33" s="329"/>
      <c r="G33" s="329"/>
      <c r="H33" s="331"/>
      <c r="I33" s="329"/>
      <c r="J33" s="341"/>
      <c r="L33" s="244">
        <v>18</v>
      </c>
      <c r="M33" s="245"/>
      <c r="N33" s="245"/>
      <c r="O33" s="245"/>
      <c r="P33" s="245"/>
      <c r="Q33" s="245"/>
      <c r="R33" s="245"/>
      <c r="S33" s="245"/>
      <c r="T33" s="245"/>
      <c r="U33" s="245"/>
      <c r="V33" s="245"/>
      <c r="W33" s="259" t="e">
        <v>#DIV/0!</v>
      </c>
      <c r="X33" s="271">
        <f t="shared" si="1"/>
        <v>0</v>
      </c>
      <c r="Z33" s="128" t="s">
        <v>2443</v>
      </c>
      <c r="AA33" s="128">
        <f>COUNTIF(M26:V35,20)</f>
        <v>0</v>
      </c>
      <c r="AB33" s="273">
        <f t="shared" si="4"/>
        <v>0</v>
      </c>
    </row>
    <row r="34" hidden="1" spans="1:28">
      <c r="A34" s="332">
        <v>4.01</v>
      </c>
      <c r="B34" s="320"/>
      <c r="C34" s="320"/>
      <c r="D34" s="320"/>
      <c r="E34" s="321"/>
      <c r="F34" s="320"/>
      <c r="G34" s="320"/>
      <c r="H34" s="322"/>
      <c r="I34" s="320"/>
      <c r="L34" s="246">
        <v>19</v>
      </c>
      <c r="M34" s="248"/>
      <c r="N34" s="248"/>
      <c r="O34" s="248"/>
      <c r="P34" s="248"/>
      <c r="Q34" s="248"/>
      <c r="R34" s="248"/>
      <c r="S34" s="248"/>
      <c r="T34" s="248"/>
      <c r="U34" s="248"/>
      <c r="V34" s="248"/>
      <c r="W34" s="260" t="e">
        <v>#DIV/0!</v>
      </c>
      <c r="X34" s="272">
        <f t="shared" si="1"/>
        <v>0</v>
      </c>
      <c r="Y34" s="276">
        <f>AVERAGE(M26:V35)</f>
        <v>7.5</v>
      </c>
      <c r="Z34" s="354" t="s">
        <v>2448</v>
      </c>
      <c r="AA34" s="263"/>
      <c r="AB34" s="264"/>
    </row>
    <row r="35" hidden="1" spans="1:29">
      <c r="A35" s="327">
        <v>4.02</v>
      </c>
      <c r="B35" s="324"/>
      <c r="C35" s="324"/>
      <c r="D35" s="324"/>
      <c r="E35" s="325"/>
      <c r="F35" s="324"/>
      <c r="G35" s="324"/>
      <c r="H35" s="326"/>
      <c r="I35" s="324"/>
      <c r="L35" s="244">
        <v>20</v>
      </c>
      <c r="M35" s="245"/>
      <c r="N35" s="245"/>
      <c r="O35" s="245"/>
      <c r="P35" s="245"/>
      <c r="Q35" s="245"/>
      <c r="R35" s="245"/>
      <c r="S35" s="245"/>
      <c r="T35" s="245"/>
      <c r="U35" s="245"/>
      <c r="V35" s="245"/>
      <c r="W35" s="261" t="e">
        <v>#DIV/0!</v>
      </c>
      <c r="X35" s="271">
        <f t="shared" si="1"/>
        <v>0</v>
      </c>
      <c r="Y35" s="278">
        <f>SUM(X26:X35)</f>
        <v>15</v>
      </c>
      <c r="Z35" s="277" t="s">
        <v>2445</v>
      </c>
      <c r="AA35" s="263"/>
      <c r="AB35" s="263"/>
      <c r="AC35" s="264"/>
    </row>
    <row r="36" hidden="1" spans="1:28">
      <c r="A36" s="323">
        <v>4.03</v>
      </c>
      <c r="B36" s="324"/>
      <c r="C36" s="324"/>
      <c r="D36" s="324"/>
      <c r="E36" s="325"/>
      <c r="F36" s="324"/>
      <c r="G36" s="324"/>
      <c r="H36" s="326"/>
      <c r="I36" s="324"/>
      <c r="T36" s="348" t="s">
        <v>2449</v>
      </c>
      <c r="U36" s="263"/>
      <c r="V36" s="349"/>
      <c r="W36" s="350">
        <f>AVERAGE(M16:V35)</f>
        <v>1.63725490196078</v>
      </c>
      <c r="X36" s="278">
        <f>SUM(X16:X35)</f>
        <v>167</v>
      </c>
      <c r="Y36" s="277" t="s">
        <v>2450</v>
      </c>
      <c r="Z36" s="263"/>
      <c r="AA36" s="263"/>
      <c r="AB36" s="264"/>
    </row>
    <row r="37" hidden="1" spans="1:12">
      <c r="A37" s="327">
        <v>4.04</v>
      </c>
      <c r="B37" s="324"/>
      <c r="C37" s="324"/>
      <c r="D37" s="324"/>
      <c r="E37" s="325"/>
      <c r="F37" s="324"/>
      <c r="G37" s="324"/>
      <c r="H37" s="326"/>
      <c r="I37" s="324" t="s">
        <v>2451</v>
      </c>
      <c r="J37" s="23" t="s">
        <v>2452</v>
      </c>
      <c r="L37" s="23" t="s">
        <v>2453</v>
      </c>
    </row>
    <row r="38" hidden="1" spans="1:24">
      <c r="A38" s="323">
        <v>4.05</v>
      </c>
      <c r="B38" s="324"/>
      <c r="C38" s="324"/>
      <c r="D38" s="324"/>
      <c r="E38" s="325"/>
      <c r="F38" s="324"/>
      <c r="G38" s="324"/>
      <c r="H38" s="326"/>
      <c r="I38" s="324"/>
      <c r="L38" s="239" t="s">
        <v>2411</v>
      </c>
      <c r="M38" s="240" t="s">
        <v>2412</v>
      </c>
      <c r="N38" s="240" t="s">
        <v>2413</v>
      </c>
      <c r="O38" s="240" t="s">
        <v>2414</v>
      </c>
      <c r="P38" s="240" t="s">
        <v>2415</v>
      </c>
      <c r="Q38" s="240" t="s">
        <v>2416</v>
      </c>
      <c r="R38" s="240" t="s">
        <v>2417</v>
      </c>
      <c r="S38" s="240" t="s">
        <v>2418</v>
      </c>
      <c r="T38" s="240" t="s">
        <v>2419</v>
      </c>
      <c r="U38" s="240" t="s">
        <v>2420</v>
      </c>
      <c r="V38" s="240" t="s">
        <v>2421</v>
      </c>
      <c r="W38" s="239" t="s">
        <v>2422</v>
      </c>
      <c r="X38" s="266" t="s">
        <v>2423</v>
      </c>
    </row>
    <row r="39" hidden="1" spans="1:32">
      <c r="A39" s="327">
        <v>4.06</v>
      </c>
      <c r="B39" s="324"/>
      <c r="C39" s="324"/>
      <c r="D39" s="324"/>
      <c r="E39" s="325"/>
      <c r="F39" s="324"/>
      <c r="G39" s="324"/>
      <c r="H39" s="326"/>
      <c r="I39" s="324"/>
      <c r="L39" s="241">
        <v>1</v>
      </c>
      <c r="M39" s="242">
        <v>10</v>
      </c>
      <c r="N39" s="242">
        <v>0</v>
      </c>
      <c r="O39" s="257">
        <v>0</v>
      </c>
      <c r="P39" s="257">
        <v>0</v>
      </c>
      <c r="Q39" s="242">
        <v>10</v>
      </c>
      <c r="R39" s="242">
        <v>0</v>
      </c>
      <c r="S39" s="242">
        <v>0</v>
      </c>
      <c r="T39" s="242">
        <v>0</v>
      </c>
      <c r="U39" s="242">
        <v>0</v>
      </c>
      <c r="V39" s="242">
        <v>10</v>
      </c>
      <c r="W39" s="258">
        <f t="shared" ref="W39:W41" si="6">AVERAGE(M39:V39)</f>
        <v>3</v>
      </c>
      <c r="X39" s="267">
        <f t="shared" ref="X39:X48" si="7">SUM(M39:V39)</f>
        <v>30</v>
      </c>
      <c r="Z39" s="268" t="s">
        <v>2454</v>
      </c>
      <c r="AA39" s="268"/>
      <c r="AB39" s="269" t="s">
        <v>2425</v>
      </c>
      <c r="AC39" s="269"/>
      <c r="AD39" s="270" t="s">
        <v>2426</v>
      </c>
      <c r="AE39" s="270"/>
      <c r="AF39" s="23" t="s">
        <v>2427</v>
      </c>
    </row>
    <row r="40" hidden="1" spans="1:26">
      <c r="A40" s="323">
        <v>4.07</v>
      </c>
      <c r="B40" s="324"/>
      <c r="C40" s="324"/>
      <c r="D40" s="324"/>
      <c r="E40" s="325"/>
      <c r="F40" s="324"/>
      <c r="G40" s="324"/>
      <c r="H40" s="326"/>
      <c r="I40" s="324"/>
      <c r="L40" s="244">
        <v>2</v>
      </c>
      <c r="M40" s="245">
        <v>0</v>
      </c>
      <c r="N40" s="245">
        <v>0</v>
      </c>
      <c r="O40" s="245">
        <v>0</v>
      </c>
      <c r="P40" s="245">
        <v>0</v>
      </c>
      <c r="Q40" s="245">
        <v>0</v>
      </c>
      <c r="R40" s="245">
        <v>0</v>
      </c>
      <c r="S40" s="245">
        <v>0</v>
      </c>
      <c r="T40" s="245">
        <v>0</v>
      </c>
      <c r="U40" s="252">
        <v>0</v>
      </c>
      <c r="V40" s="245">
        <v>0</v>
      </c>
      <c r="W40" s="259">
        <f t="shared" si="6"/>
        <v>0</v>
      </c>
      <c r="X40" s="271">
        <f t="shared" si="7"/>
        <v>0</v>
      </c>
      <c r="Z40" s="23" t="s">
        <v>2429</v>
      </c>
    </row>
    <row r="41" hidden="1" spans="1:30">
      <c r="A41" s="327">
        <v>4.08</v>
      </c>
      <c r="B41" s="324"/>
      <c r="C41" s="324"/>
      <c r="D41" s="324"/>
      <c r="E41" s="325"/>
      <c r="F41" s="324"/>
      <c r="G41" s="324"/>
      <c r="H41" s="326"/>
      <c r="I41" s="324" t="s">
        <v>2455</v>
      </c>
      <c r="L41" s="246">
        <v>3</v>
      </c>
      <c r="M41" s="248">
        <v>0</v>
      </c>
      <c r="N41" s="248">
        <v>0</v>
      </c>
      <c r="O41" s="248">
        <v>0</v>
      </c>
      <c r="P41" s="248">
        <v>0</v>
      </c>
      <c r="Q41" s="248">
        <v>0</v>
      </c>
      <c r="R41" s="248">
        <v>0</v>
      </c>
      <c r="S41" s="248">
        <v>10</v>
      </c>
      <c r="T41" s="248">
        <v>0</v>
      </c>
      <c r="U41" s="248">
        <v>0</v>
      </c>
      <c r="V41" s="248">
        <v>0</v>
      </c>
      <c r="W41" s="260">
        <f t="shared" si="6"/>
        <v>1</v>
      </c>
      <c r="X41" s="272">
        <f t="shared" si="7"/>
        <v>10</v>
      </c>
      <c r="Z41" s="128" t="s">
        <v>2456</v>
      </c>
      <c r="AA41" s="128">
        <f>COUNTIF(M39:V48,10)</f>
        <v>4</v>
      </c>
      <c r="AB41" s="273">
        <f t="shared" ref="AB41:AB44" si="8">(AA41/100)</f>
        <v>0.04</v>
      </c>
      <c r="AD41" s="23" t="s">
        <v>2431</v>
      </c>
    </row>
    <row r="42" hidden="1" spans="1:34">
      <c r="A42" s="323">
        <v>4.09</v>
      </c>
      <c r="B42" s="324">
        <v>5</v>
      </c>
      <c r="C42" s="324">
        <v>3</v>
      </c>
      <c r="D42" s="324">
        <v>7</v>
      </c>
      <c r="E42" s="325">
        <v>1</v>
      </c>
      <c r="F42" s="324"/>
      <c r="G42" s="324"/>
      <c r="H42" s="326"/>
      <c r="I42" s="324"/>
      <c r="L42" s="244">
        <v>4</v>
      </c>
      <c r="M42" s="245"/>
      <c r="N42" s="245"/>
      <c r="O42" s="245"/>
      <c r="P42" s="245"/>
      <c r="Q42" s="245"/>
      <c r="R42" s="245"/>
      <c r="S42" s="245"/>
      <c r="T42" s="245"/>
      <c r="U42" s="245"/>
      <c r="V42" s="245"/>
      <c r="W42" s="259" t="e">
        <v>#DIV/0!</v>
      </c>
      <c r="X42" s="271">
        <f t="shared" si="7"/>
        <v>0</v>
      </c>
      <c r="Z42" s="128" t="s">
        <v>2457</v>
      </c>
      <c r="AA42" s="128">
        <f>COUNTIF(M39:V48,2)</f>
        <v>0</v>
      </c>
      <c r="AB42" s="273">
        <f t="shared" si="8"/>
        <v>0</v>
      </c>
      <c r="AD42" s="274" t="s">
        <v>2434</v>
      </c>
      <c r="AE42" s="275"/>
      <c r="AF42" s="280" t="s">
        <v>2435</v>
      </c>
      <c r="AG42" s="275" t="s">
        <v>2436</v>
      </c>
      <c r="AH42" s="281"/>
    </row>
    <row r="43" hidden="1" spans="1:33">
      <c r="A43" s="327">
        <v>4.1</v>
      </c>
      <c r="B43" s="324">
        <v>5</v>
      </c>
      <c r="C43" s="324">
        <v>3</v>
      </c>
      <c r="D43" s="324">
        <v>7</v>
      </c>
      <c r="E43" s="325">
        <v>1</v>
      </c>
      <c r="F43" s="324"/>
      <c r="G43" s="324"/>
      <c r="H43" s="326"/>
      <c r="I43" s="324"/>
      <c r="L43" s="246">
        <v>5</v>
      </c>
      <c r="M43" s="248"/>
      <c r="N43" s="248"/>
      <c r="O43" s="248"/>
      <c r="P43" s="248"/>
      <c r="Q43" s="248"/>
      <c r="R43" s="248"/>
      <c r="S43" s="248"/>
      <c r="T43" s="248"/>
      <c r="U43" s="248"/>
      <c r="V43" s="248"/>
      <c r="W43" s="260" t="e">
        <v>#DIV/0!</v>
      </c>
      <c r="X43" s="272">
        <f t="shared" si="7"/>
        <v>0</v>
      </c>
      <c r="Z43" s="128"/>
      <c r="AA43" s="128"/>
      <c r="AB43" s="273"/>
      <c r="AD43" s="23" t="s">
        <v>2438</v>
      </c>
      <c r="AF43" s="128">
        <v>3</v>
      </c>
      <c r="AG43" s="282">
        <f t="shared" ref="AG43:AG45" si="9">(AF43/100)</f>
        <v>0.03</v>
      </c>
    </row>
    <row r="44" hidden="1" spans="1:33">
      <c r="A44" s="323">
        <v>4.11</v>
      </c>
      <c r="B44" s="324"/>
      <c r="C44" s="324"/>
      <c r="D44" s="324"/>
      <c r="E44" s="325"/>
      <c r="F44" s="324"/>
      <c r="G44" s="324"/>
      <c r="H44" s="326"/>
      <c r="I44" s="324"/>
      <c r="L44" s="244">
        <v>6</v>
      </c>
      <c r="M44" s="245"/>
      <c r="N44" s="245"/>
      <c r="O44" s="245"/>
      <c r="P44" s="245"/>
      <c r="Q44" s="245"/>
      <c r="R44" s="245"/>
      <c r="S44" s="245"/>
      <c r="T44" s="245"/>
      <c r="U44" s="245"/>
      <c r="V44" s="245"/>
      <c r="W44" s="259" t="e">
        <v>#DIV/0!</v>
      </c>
      <c r="X44" s="271">
        <f t="shared" si="7"/>
        <v>0</v>
      </c>
      <c r="Z44" s="128" t="s">
        <v>2458</v>
      </c>
      <c r="AA44" s="128">
        <f>COUNTBLANK(M39:V48)</f>
        <v>70</v>
      </c>
      <c r="AB44" s="273">
        <f t="shared" si="8"/>
        <v>0.7</v>
      </c>
      <c r="AD44" s="23" t="s">
        <v>2440</v>
      </c>
      <c r="AF44" s="128">
        <v>0</v>
      </c>
      <c r="AG44" s="282">
        <f t="shared" si="9"/>
        <v>0</v>
      </c>
    </row>
    <row r="45" hidden="1" spans="1:33">
      <c r="A45" s="328">
        <v>4.12</v>
      </c>
      <c r="B45" s="329">
        <v>6</v>
      </c>
      <c r="C45" s="329">
        <v>4</v>
      </c>
      <c r="D45" s="329">
        <v>8</v>
      </c>
      <c r="E45" s="330">
        <v>1</v>
      </c>
      <c r="F45" s="329"/>
      <c r="G45" s="329" t="s">
        <v>2459</v>
      </c>
      <c r="H45" s="331"/>
      <c r="I45" s="329"/>
      <c r="L45" s="246">
        <v>7</v>
      </c>
      <c r="M45" s="248"/>
      <c r="N45" s="248"/>
      <c r="O45" s="248"/>
      <c r="P45" s="248"/>
      <c r="Q45" s="248"/>
      <c r="R45" s="248"/>
      <c r="S45" s="248"/>
      <c r="T45" s="248"/>
      <c r="U45" s="248"/>
      <c r="V45" s="248"/>
      <c r="W45" s="260" t="e">
        <v>#DIV/0!</v>
      </c>
      <c r="X45" s="272">
        <f t="shared" si="7"/>
        <v>0</v>
      </c>
      <c r="Z45" s="128"/>
      <c r="AA45" s="128"/>
      <c r="AB45" s="273"/>
      <c r="AD45" s="23" t="s">
        <v>2454</v>
      </c>
      <c r="AF45" s="128">
        <v>0</v>
      </c>
      <c r="AG45" s="282">
        <f t="shared" si="9"/>
        <v>0</v>
      </c>
    </row>
    <row r="46" hidden="1" spans="1:28">
      <c r="A46" s="336">
        <v>5.01</v>
      </c>
      <c r="B46" s="320">
        <v>5</v>
      </c>
      <c r="C46" s="320">
        <v>3</v>
      </c>
      <c r="D46" s="320">
        <v>8</v>
      </c>
      <c r="E46" s="321">
        <v>2</v>
      </c>
      <c r="F46" s="320"/>
      <c r="G46" s="320"/>
      <c r="H46" s="322"/>
      <c r="I46" s="320"/>
      <c r="L46" s="244">
        <v>8</v>
      </c>
      <c r="M46" s="245"/>
      <c r="N46" s="245"/>
      <c r="O46" s="245"/>
      <c r="P46" s="245"/>
      <c r="Q46" s="245"/>
      <c r="R46" s="245"/>
      <c r="S46" s="245"/>
      <c r="T46" s="245"/>
      <c r="U46" s="245"/>
      <c r="V46" s="245"/>
      <c r="W46" s="259" t="e">
        <v>#DIV/0!</v>
      </c>
      <c r="X46" s="271">
        <f t="shared" si="7"/>
        <v>0</v>
      </c>
      <c r="Z46" s="128"/>
      <c r="AA46" s="128"/>
      <c r="AB46" s="273"/>
    </row>
    <row r="47" hidden="1" spans="1:24">
      <c r="A47" s="337">
        <v>5.02</v>
      </c>
      <c r="B47" s="324">
        <v>5</v>
      </c>
      <c r="C47" s="324">
        <v>3</v>
      </c>
      <c r="D47" s="324">
        <v>6</v>
      </c>
      <c r="E47" s="325">
        <v>1</v>
      </c>
      <c r="F47" s="324"/>
      <c r="G47" s="324"/>
      <c r="H47" s="326"/>
      <c r="I47" s="324"/>
      <c r="L47" s="246">
        <v>9</v>
      </c>
      <c r="M47" s="248"/>
      <c r="N47" s="248"/>
      <c r="O47" s="248"/>
      <c r="P47" s="248"/>
      <c r="Q47" s="248"/>
      <c r="R47" s="248"/>
      <c r="S47" s="248"/>
      <c r="T47" s="248"/>
      <c r="U47" s="248"/>
      <c r="V47" s="248"/>
      <c r="W47" s="260" t="e">
        <v>#DIV/0!</v>
      </c>
      <c r="X47" s="272">
        <f t="shared" si="7"/>
        <v>0</v>
      </c>
    </row>
    <row r="48" hidden="1" spans="1:24">
      <c r="A48" s="337">
        <v>5.03</v>
      </c>
      <c r="B48" s="333">
        <v>5</v>
      </c>
      <c r="C48" s="333">
        <v>3</v>
      </c>
      <c r="D48" s="333">
        <v>6</v>
      </c>
      <c r="E48" s="334">
        <v>1</v>
      </c>
      <c r="F48" s="324"/>
      <c r="G48" s="333"/>
      <c r="H48" s="326"/>
      <c r="I48" s="324"/>
      <c r="L48" s="244">
        <v>10</v>
      </c>
      <c r="M48" s="245"/>
      <c r="N48" s="245"/>
      <c r="O48" s="245"/>
      <c r="P48" s="245"/>
      <c r="Q48" s="245"/>
      <c r="R48" s="245"/>
      <c r="S48" s="245"/>
      <c r="T48" s="245"/>
      <c r="U48" s="245"/>
      <c r="V48" s="245"/>
      <c r="W48" s="261" t="e">
        <v>#DIV/0!</v>
      </c>
      <c r="X48" s="271">
        <f t="shared" si="7"/>
        <v>0</v>
      </c>
    </row>
    <row r="49" hidden="1" spans="1:28">
      <c r="A49" s="337">
        <v>5.04</v>
      </c>
      <c r="B49" s="338">
        <v>4</v>
      </c>
      <c r="C49" s="324">
        <v>4</v>
      </c>
      <c r="D49" s="324">
        <v>10</v>
      </c>
      <c r="E49" s="325">
        <v>0</v>
      </c>
      <c r="F49" s="324"/>
      <c r="G49" s="333"/>
      <c r="H49" s="326"/>
      <c r="I49" s="324"/>
      <c r="T49" s="348" t="s">
        <v>2444</v>
      </c>
      <c r="U49" s="263"/>
      <c r="V49" s="349"/>
      <c r="W49" s="350">
        <f>AVERAGE(M39:V48)</f>
        <v>1.33333333333333</v>
      </c>
      <c r="X49" s="351">
        <f>SUM(X39:X48)</f>
        <v>40</v>
      </c>
      <c r="Y49" s="354" t="s">
        <v>2460</v>
      </c>
      <c r="Z49" s="263"/>
      <c r="AA49" s="263"/>
      <c r="AB49" s="264"/>
    </row>
    <row r="50" hidden="1" spans="1:9">
      <c r="A50" s="337">
        <v>5.05</v>
      </c>
      <c r="B50" s="338">
        <v>4</v>
      </c>
      <c r="C50" s="324">
        <v>3</v>
      </c>
      <c r="D50" s="324">
        <v>5</v>
      </c>
      <c r="E50" s="325">
        <v>0</v>
      </c>
      <c r="F50" s="324" t="s">
        <v>1931</v>
      </c>
      <c r="G50" s="333"/>
      <c r="H50" s="326"/>
      <c r="I50" s="324"/>
    </row>
    <row r="51" hidden="1" spans="1:12">
      <c r="A51" s="337">
        <v>5.06</v>
      </c>
      <c r="B51" s="338">
        <v>4</v>
      </c>
      <c r="C51" s="324">
        <v>2</v>
      </c>
      <c r="D51" s="324">
        <v>5</v>
      </c>
      <c r="E51" s="325">
        <v>0</v>
      </c>
      <c r="F51" s="324"/>
      <c r="G51" s="333"/>
      <c r="H51" s="326"/>
      <c r="I51" s="324"/>
      <c r="L51" s="23" t="s">
        <v>2461</v>
      </c>
    </row>
    <row r="52" hidden="1" spans="1:24">
      <c r="A52" s="337">
        <v>5.07</v>
      </c>
      <c r="B52" s="338">
        <v>5</v>
      </c>
      <c r="C52" s="324">
        <v>4</v>
      </c>
      <c r="D52" s="324">
        <v>10</v>
      </c>
      <c r="E52" s="325">
        <v>0</v>
      </c>
      <c r="F52" s="324"/>
      <c r="G52" s="333"/>
      <c r="H52" s="326"/>
      <c r="I52" s="324"/>
      <c r="L52" s="239" t="s">
        <v>2462</v>
      </c>
      <c r="M52" s="240" t="s">
        <v>2412</v>
      </c>
      <c r="N52" s="240" t="s">
        <v>2413</v>
      </c>
      <c r="O52" s="240" t="s">
        <v>2414</v>
      </c>
      <c r="P52" s="240" t="s">
        <v>2415</v>
      </c>
      <c r="Q52" s="240" t="s">
        <v>2416</v>
      </c>
      <c r="R52" s="240" t="s">
        <v>2417</v>
      </c>
      <c r="S52" s="240" t="s">
        <v>2418</v>
      </c>
      <c r="T52" s="240" t="s">
        <v>2419</v>
      </c>
      <c r="U52" s="240" t="s">
        <v>2420</v>
      </c>
      <c r="V52" s="240" t="s">
        <v>2421</v>
      </c>
      <c r="W52" s="239" t="s">
        <v>2422</v>
      </c>
      <c r="X52" s="266" t="s">
        <v>2463</v>
      </c>
    </row>
    <row r="53" hidden="1" spans="1:32">
      <c r="A53" s="337">
        <v>5.08</v>
      </c>
      <c r="B53" s="338">
        <v>5</v>
      </c>
      <c r="C53" s="324">
        <v>4</v>
      </c>
      <c r="D53" s="324">
        <v>9</v>
      </c>
      <c r="E53" s="325">
        <v>0</v>
      </c>
      <c r="F53" s="324"/>
      <c r="G53" s="333"/>
      <c r="H53" s="326"/>
      <c r="I53" s="324" t="s">
        <v>2464</v>
      </c>
      <c r="L53" s="241">
        <v>1</v>
      </c>
      <c r="M53" s="242">
        <v>0</v>
      </c>
      <c r="N53" s="242">
        <v>0</v>
      </c>
      <c r="O53" s="346">
        <v>0</v>
      </c>
      <c r="P53" s="242">
        <v>0</v>
      </c>
      <c r="Q53" s="242">
        <v>0</v>
      </c>
      <c r="R53" s="242">
        <v>0</v>
      </c>
      <c r="S53" s="242">
        <v>0</v>
      </c>
      <c r="T53" s="242">
        <v>0</v>
      </c>
      <c r="U53" s="243">
        <v>0</v>
      </c>
      <c r="V53" s="346">
        <v>0</v>
      </c>
      <c r="W53" s="258">
        <f t="shared" ref="W53:W55" si="10">AVERAGE(M53:V53)</f>
        <v>0</v>
      </c>
      <c r="X53" s="267">
        <f t="shared" ref="X53:X62" si="11">SUM(M53:V53)</f>
        <v>0</v>
      </c>
      <c r="Z53" s="268" t="s">
        <v>2454</v>
      </c>
      <c r="AA53" s="268"/>
      <c r="AB53" s="269" t="s">
        <v>2425</v>
      </c>
      <c r="AC53" s="269"/>
      <c r="AD53" s="270" t="s">
        <v>2426</v>
      </c>
      <c r="AE53" s="270"/>
      <c r="AF53" s="23" t="s">
        <v>2427</v>
      </c>
    </row>
    <row r="54" hidden="1" spans="1:26">
      <c r="A54" s="337">
        <v>5.09</v>
      </c>
      <c r="B54" s="338">
        <v>6</v>
      </c>
      <c r="C54" s="324">
        <v>3</v>
      </c>
      <c r="D54" s="324">
        <v>8</v>
      </c>
      <c r="E54" s="325">
        <v>2</v>
      </c>
      <c r="F54" s="324"/>
      <c r="G54" s="333" t="s">
        <v>2465</v>
      </c>
      <c r="H54" s="326"/>
      <c r="I54" s="324"/>
      <c r="L54" s="244">
        <v>2</v>
      </c>
      <c r="M54" s="245">
        <v>0</v>
      </c>
      <c r="N54" s="245">
        <v>0</v>
      </c>
      <c r="O54" s="245">
        <v>0</v>
      </c>
      <c r="P54" s="245">
        <v>0</v>
      </c>
      <c r="Q54" s="245">
        <v>0</v>
      </c>
      <c r="R54" s="245">
        <v>0</v>
      </c>
      <c r="S54" s="255">
        <v>0</v>
      </c>
      <c r="T54" s="245">
        <v>0</v>
      </c>
      <c r="U54" s="245">
        <v>0</v>
      </c>
      <c r="V54" s="245">
        <v>0</v>
      </c>
      <c r="W54" s="259">
        <f t="shared" si="10"/>
        <v>0</v>
      </c>
      <c r="X54" s="271">
        <f t="shared" si="11"/>
        <v>0</v>
      </c>
      <c r="Z54" s="23" t="s">
        <v>2429</v>
      </c>
    </row>
    <row r="55" hidden="1" spans="1:30">
      <c r="A55" s="337">
        <v>5.1</v>
      </c>
      <c r="B55" s="338">
        <v>5</v>
      </c>
      <c r="C55" s="324">
        <v>4</v>
      </c>
      <c r="D55" s="324">
        <v>10</v>
      </c>
      <c r="E55" s="325">
        <v>0</v>
      </c>
      <c r="F55" s="324"/>
      <c r="G55" s="333"/>
      <c r="H55" s="326"/>
      <c r="I55" s="324"/>
      <c r="L55" s="246">
        <v>3</v>
      </c>
      <c r="M55" s="248">
        <v>0</v>
      </c>
      <c r="N55" s="248">
        <v>0</v>
      </c>
      <c r="O55" s="248">
        <v>0</v>
      </c>
      <c r="P55" s="248">
        <v>0</v>
      </c>
      <c r="Q55" s="248">
        <v>0</v>
      </c>
      <c r="R55" s="248">
        <v>0</v>
      </c>
      <c r="S55" s="248">
        <v>0</v>
      </c>
      <c r="T55" s="248">
        <v>0</v>
      </c>
      <c r="U55" s="248">
        <v>0</v>
      </c>
      <c r="V55" s="248">
        <v>0</v>
      </c>
      <c r="W55" s="260">
        <f t="shared" si="10"/>
        <v>0</v>
      </c>
      <c r="X55" s="272">
        <f t="shared" si="11"/>
        <v>0</v>
      </c>
      <c r="Z55" s="128" t="s">
        <v>2466</v>
      </c>
      <c r="AA55" s="128">
        <f>COUNTIF(M53:V62,1)</f>
        <v>0</v>
      </c>
      <c r="AB55" s="273">
        <f t="shared" ref="AB55:AB60" si="12">(AA55/100)</f>
        <v>0</v>
      </c>
      <c r="AD55" s="23" t="s">
        <v>2431</v>
      </c>
    </row>
    <row r="56" hidden="1" spans="1:34">
      <c r="A56" s="337">
        <v>5.11</v>
      </c>
      <c r="B56" s="338">
        <v>7</v>
      </c>
      <c r="C56" s="324">
        <v>4</v>
      </c>
      <c r="D56" s="324">
        <v>8</v>
      </c>
      <c r="E56" s="325">
        <v>1</v>
      </c>
      <c r="F56" s="324"/>
      <c r="G56" s="333" t="s">
        <v>1931</v>
      </c>
      <c r="H56" s="326"/>
      <c r="I56" s="324"/>
      <c r="L56" s="244">
        <v>4</v>
      </c>
      <c r="M56" s="245"/>
      <c r="N56" s="245"/>
      <c r="O56" s="245"/>
      <c r="P56" s="245"/>
      <c r="Q56" s="245"/>
      <c r="R56" s="245"/>
      <c r="S56" s="245"/>
      <c r="T56" s="245"/>
      <c r="U56" s="245"/>
      <c r="V56" s="245"/>
      <c r="W56" s="259" t="e">
        <v>#DIV/0!</v>
      </c>
      <c r="X56" s="271">
        <f t="shared" si="11"/>
        <v>0</v>
      </c>
      <c r="Z56" s="128" t="s">
        <v>2457</v>
      </c>
      <c r="AA56" s="128">
        <f>COUNTIF(M53:V62,2)</f>
        <v>0</v>
      </c>
      <c r="AB56" s="273">
        <f t="shared" si="12"/>
        <v>0</v>
      </c>
      <c r="AD56" s="274" t="s">
        <v>2434</v>
      </c>
      <c r="AE56" s="275"/>
      <c r="AF56" s="280" t="s">
        <v>2435</v>
      </c>
      <c r="AG56" s="275" t="s">
        <v>2436</v>
      </c>
      <c r="AH56" s="281"/>
    </row>
    <row r="57" hidden="1" spans="1:33">
      <c r="A57" s="328">
        <v>5.12</v>
      </c>
      <c r="B57" s="339">
        <v>7</v>
      </c>
      <c r="C57" s="329">
        <v>4</v>
      </c>
      <c r="D57" s="329">
        <v>10</v>
      </c>
      <c r="E57" s="330">
        <v>1</v>
      </c>
      <c r="F57" s="329"/>
      <c r="G57" s="329" t="s">
        <v>2465</v>
      </c>
      <c r="H57" s="331"/>
      <c r="I57" s="329"/>
      <c r="L57" s="246">
        <v>5</v>
      </c>
      <c r="M57" s="248"/>
      <c r="N57" s="248"/>
      <c r="O57" s="248"/>
      <c r="P57" s="248"/>
      <c r="Q57" s="248"/>
      <c r="R57" s="248"/>
      <c r="S57" s="248"/>
      <c r="T57" s="248"/>
      <c r="U57" s="248"/>
      <c r="V57" s="248"/>
      <c r="W57" s="260" t="e">
        <v>#DIV/0!</v>
      </c>
      <c r="X57" s="272">
        <f t="shared" si="11"/>
        <v>0</v>
      </c>
      <c r="Z57" s="128" t="s">
        <v>2456</v>
      </c>
      <c r="AA57" s="128">
        <f>COUNTIF(M53:V62,10)</f>
        <v>0</v>
      </c>
      <c r="AB57" s="273">
        <f t="shared" si="12"/>
        <v>0</v>
      </c>
      <c r="AD57" s="23" t="s">
        <v>2447</v>
      </c>
      <c r="AF57" s="128">
        <v>0</v>
      </c>
      <c r="AG57" s="282">
        <f t="shared" ref="AG57:AG59" si="13">(AF57/100)</f>
        <v>0</v>
      </c>
    </row>
    <row r="58" hidden="1" spans="1:33">
      <c r="A58" s="332">
        <v>6.01</v>
      </c>
      <c r="B58" s="340"/>
      <c r="C58" s="320">
        <v>5</v>
      </c>
      <c r="D58" s="320">
        <v>10</v>
      </c>
      <c r="E58" s="321">
        <v>2</v>
      </c>
      <c r="F58" s="320"/>
      <c r="G58" s="233" t="s">
        <v>2459</v>
      </c>
      <c r="H58" s="322"/>
      <c r="I58" s="320"/>
      <c r="L58" s="244">
        <v>6</v>
      </c>
      <c r="M58" s="245"/>
      <c r="N58" s="245"/>
      <c r="O58" s="245"/>
      <c r="P58" s="245"/>
      <c r="Q58" s="245"/>
      <c r="R58" s="245"/>
      <c r="S58" s="245"/>
      <c r="T58" s="245"/>
      <c r="U58" s="245"/>
      <c r="V58" s="245"/>
      <c r="W58" s="259" t="e">
        <v>#DIV/0!</v>
      </c>
      <c r="X58" s="271">
        <f t="shared" si="11"/>
        <v>0</v>
      </c>
      <c r="Z58" s="128" t="s">
        <v>2439</v>
      </c>
      <c r="AA58" s="128">
        <f>COUNTIF(M53:V62,15)</f>
        <v>0</v>
      </c>
      <c r="AB58" s="273">
        <f t="shared" si="12"/>
        <v>0</v>
      </c>
      <c r="AD58" s="23" t="s">
        <v>2440</v>
      </c>
      <c r="AF58" s="128">
        <v>2</v>
      </c>
      <c r="AG58" s="282">
        <f t="shared" si="13"/>
        <v>0.02</v>
      </c>
    </row>
    <row r="59" hidden="1" spans="1:33">
      <c r="A59" s="323">
        <v>6.02</v>
      </c>
      <c r="B59" s="338">
        <v>9</v>
      </c>
      <c r="C59" s="324">
        <v>3</v>
      </c>
      <c r="D59" s="324">
        <v>8</v>
      </c>
      <c r="E59" s="325">
        <v>2</v>
      </c>
      <c r="F59" s="324"/>
      <c r="G59" s="333" t="s">
        <v>2459</v>
      </c>
      <c r="H59" s="326"/>
      <c r="I59" s="324"/>
      <c r="L59" s="246">
        <v>7</v>
      </c>
      <c r="M59" s="248"/>
      <c r="N59" s="248"/>
      <c r="O59" s="248"/>
      <c r="P59" s="248"/>
      <c r="Q59" s="248"/>
      <c r="R59" s="248"/>
      <c r="S59" s="248"/>
      <c r="T59" s="248"/>
      <c r="U59" s="248"/>
      <c r="V59" s="248"/>
      <c r="W59" s="260" t="e">
        <v>#DIV/0!</v>
      </c>
      <c r="X59" s="272">
        <f t="shared" si="11"/>
        <v>0</v>
      </c>
      <c r="Z59" s="128" t="s">
        <v>2443</v>
      </c>
      <c r="AA59" s="128">
        <f>COUNTIF(M53:V62,20)</f>
        <v>0</v>
      </c>
      <c r="AB59" s="273">
        <f t="shared" si="12"/>
        <v>0</v>
      </c>
      <c r="AD59" s="23" t="s">
        <v>2454</v>
      </c>
      <c r="AF59" s="128">
        <v>2</v>
      </c>
      <c r="AG59" s="282">
        <f t="shared" si="13"/>
        <v>0.02</v>
      </c>
    </row>
    <row r="60" hidden="1" spans="1:28">
      <c r="A60" s="323">
        <v>6.03</v>
      </c>
      <c r="B60" s="338">
        <v>6</v>
      </c>
      <c r="C60" s="324">
        <v>2</v>
      </c>
      <c r="D60" s="324">
        <v>6</v>
      </c>
      <c r="E60" s="325">
        <v>2</v>
      </c>
      <c r="F60" s="324"/>
      <c r="G60" s="333"/>
      <c r="H60" s="326"/>
      <c r="I60" s="324"/>
      <c r="L60" s="244">
        <v>8</v>
      </c>
      <c r="M60" s="245"/>
      <c r="N60" s="245"/>
      <c r="O60" s="245"/>
      <c r="P60" s="245"/>
      <c r="Q60" s="245"/>
      <c r="R60" s="245"/>
      <c r="S60" s="245"/>
      <c r="T60" s="245"/>
      <c r="U60" s="245"/>
      <c r="V60" s="245"/>
      <c r="W60" s="259" t="e">
        <v>#DIV/0!</v>
      </c>
      <c r="X60" s="271">
        <f t="shared" si="11"/>
        <v>0</v>
      </c>
      <c r="Z60" s="128" t="s">
        <v>2467</v>
      </c>
      <c r="AA60" s="128">
        <f>COUNTBLANK(M53:V62)</f>
        <v>70</v>
      </c>
      <c r="AB60" s="273">
        <f t="shared" si="12"/>
        <v>0.7</v>
      </c>
    </row>
    <row r="61" hidden="1" spans="1:24">
      <c r="A61" s="323">
        <v>6.04</v>
      </c>
      <c r="B61" s="338">
        <v>7</v>
      </c>
      <c r="C61" s="324">
        <v>4</v>
      </c>
      <c r="D61" s="324">
        <v>7</v>
      </c>
      <c r="E61" s="325">
        <v>3</v>
      </c>
      <c r="F61" s="324"/>
      <c r="G61" s="333"/>
      <c r="H61" s="326"/>
      <c r="I61" s="324"/>
      <c r="L61" s="246">
        <v>9</v>
      </c>
      <c r="M61" s="248"/>
      <c r="N61" s="248"/>
      <c r="O61" s="248"/>
      <c r="P61" s="248"/>
      <c r="Q61" s="248"/>
      <c r="R61" s="248"/>
      <c r="S61" s="248"/>
      <c r="T61" s="248"/>
      <c r="U61" s="248"/>
      <c r="V61" s="248"/>
      <c r="W61" s="260" t="e">
        <v>#DIV/0!</v>
      </c>
      <c r="X61" s="272">
        <f t="shared" si="11"/>
        <v>0</v>
      </c>
    </row>
    <row r="62" hidden="1" spans="1:24">
      <c r="A62" s="323">
        <v>6.05</v>
      </c>
      <c r="B62" s="338">
        <v>10</v>
      </c>
      <c r="C62" s="324">
        <v>5</v>
      </c>
      <c r="D62" s="324">
        <v>13</v>
      </c>
      <c r="E62" s="325">
        <v>2</v>
      </c>
      <c r="F62" s="324"/>
      <c r="G62" s="333"/>
      <c r="H62" s="326"/>
      <c r="I62" s="324"/>
      <c r="L62" s="244">
        <v>10</v>
      </c>
      <c r="M62" s="245"/>
      <c r="N62" s="245"/>
      <c r="O62" s="245"/>
      <c r="P62" s="245"/>
      <c r="Q62" s="245"/>
      <c r="R62" s="245"/>
      <c r="S62" s="245"/>
      <c r="T62" s="245"/>
      <c r="U62" s="245"/>
      <c r="V62" s="245"/>
      <c r="W62" s="261" t="e">
        <v>#DIV/0!</v>
      </c>
      <c r="X62" s="271">
        <f t="shared" si="11"/>
        <v>0</v>
      </c>
    </row>
    <row r="63" hidden="1" spans="1:28">
      <c r="A63" s="323">
        <v>6.06</v>
      </c>
      <c r="B63" s="338">
        <v>10</v>
      </c>
      <c r="C63" s="324">
        <v>4</v>
      </c>
      <c r="D63" s="324">
        <v>9</v>
      </c>
      <c r="E63" s="325">
        <v>2</v>
      </c>
      <c r="F63" s="324"/>
      <c r="G63" s="333"/>
      <c r="H63" s="326"/>
      <c r="I63" s="324"/>
      <c r="T63" s="352" t="s">
        <v>2444</v>
      </c>
      <c r="U63" s="263"/>
      <c r="V63" s="263"/>
      <c r="W63" s="353">
        <f>AVERAGE(M53:V62)</f>
        <v>0</v>
      </c>
      <c r="X63" s="351">
        <f>SUM(X53:X62)</f>
        <v>0</v>
      </c>
      <c r="Y63" s="354" t="s">
        <v>2460</v>
      </c>
      <c r="Z63" s="263"/>
      <c r="AA63" s="263"/>
      <c r="AB63" s="264"/>
    </row>
    <row r="64" hidden="1" spans="1:9">
      <c r="A64" s="323">
        <v>6.07</v>
      </c>
      <c r="B64" s="338">
        <v>6</v>
      </c>
      <c r="C64" s="324">
        <v>3</v>
      </c>
      <c r="D64" s="324">
        <v>8</v>
      </c>
      <c r="E64" s="325">
        <v>2</v>
      </c>
      <c r="F64" s="324"/>
      <c r="G64" s="333"/>
      <c r="H64" s="326"/>
      <c r="I64" s="324"/>
    </row>
    <row r="65" hidden="1" spans="1:9">
      <c r="A65" s="323">
        <v>6.08</v>
      </c>
      <c r="B65" s="338">
        <v>5</v>
      </c>
      <c r="C65" s="324">
        <v>2</v>
      </c>
      <c r="D65" s="324">
        <v>6</v>
      </c>
      <c r="E65" s="325">
        <v>1</v>
      </c>
      <c r="F65" s="324" t="s">
        <v>1931</v>
      </c>
      <c r="G65" s="333"/>
      <c r="H65" s="326"/>
      <c r="I65" s="324" t="s">
        <v>2468</v>
      </c>
    </row>
    <row r="66" hidden="1" spans="1:9">
      <c r="A66" s="323">
        <v>6.09</v>
      </c>
      <c r="B66" s="338">
        <v>8</v>
      </c>
      <c r="C66" s="324">
        <v>4</v>
      </c>
      <c r="D66" s="324">
        <v>9</v>
      </c>
      <c r="E66" s="325">
        <v>2</v>
      </c>
      <c r="F66" s="324"/>
      <c r="G66" s="333"/>
      <c r="H66" s="326"/>
      <c r="I66" s="324"/>
    </row>
    <row r="67" hidden="1" spans="1:12">
      <c r="A67" s="323">
        <v>6.1</v>
      </c>
      <c r="B67" s="338">
        <v>7</v>
      </c>
      <c r="C67" s="324">
        <v>3</v>
      </c>
      <c r="D67" s="324">
        <v>8</v>
      </c>
      <c r="E67" s="325">
        <v>1</v>
      </c>
      <c r="F67" s="324"/>
      <c r="G67" s="324"/>
      <c r="H67" s="326"/>
      <c r="I67" s="324"/>
      <c r="L67" s="23" t="s">
        <v>2469</v>
      </c>
    </row>
    <row r="68" hidden="1" spans="1:24">
      <c r="A68" s="323">
        <v>6.11</v>
      </c>
      <c r="B68" s="338">
        <v>10</v>
      </c>
      <c r="C68" s="324">
        <v>3</v>
      </c>
      <c r="D68" s="324">
        <v>9</v>
      </c>
      <c r="E68" s="325">
        <v>3</v>
      </c>
      <c r="F68" s="324"/>
      <c r="G68" s="324"/>
      <c r="H68" s="326"/>
      <c r="I68" s="324"/>
      <c r="L68" s="239" t="s">
        <v>2470</v>
      </c>
      <c r="M68" s="240" t="s">
        <v>2412</v>
      </c>
      <c r="N68" s="240" t="s">
        <v>2413</v>
      </c>
      <c r="O68" s="240" t="s">
        <v>2414</v>
      </c>
      <c r="P68" s="240" t="s">
        <v>2415</v>
      </c>
      <c r="Q68" s="240" t="s">
        <v>2416</v>
      </c>
      <c r="R68" s="240" t="s">
        <v>2417</v>
      </c>
      <c r="S68" s="240" t="s">
        <v>2418</v>
      </c>
      <c r="T68" s="240" t="s">
        <v>2419</v>
      </c>
      <c r="U68" s="240" t="s">
        <v>2420</v>
      </c>
      <c r="V68" s="240" t="s">
        <v>2421</v>
      </c>
      <c r="W68" s="239" t="s">
        <v>2422</v>
      </c>
      <c r="X68" s="266" t="s">
        <v>2423</v>
      </c>
    </row>
    <row r="69" hidden="1" spans="1:32">
      <c r="A69" s="328">
        <v>6.12</v>
      </c>
      <c r="B69" s="339">
        <v>10</v>
      </c>
      <c r="C69" s="329">
        <v>4</v>
      </c>
      <c r="D69" s="329">
        <v>11</v>
      </c>
      <c r="E69" s="330">
        <v>4</v>
      </c>
      <c r="F69" s="329"/>
      <c r="G69" s="329"/>
      <c r="H69" s="331"/>
      <c r="I69" s="329"/>
      <c r="L69" s="241">
        <v>1</v>
      </c>
      <c r="M69" s="242"/>
      <c r="N69" s="242"/>
      <c r="O69" s="242"/>
      <c r="P69" s="242"/>
      <c r="Q69" s="242"/>
      <c r="R69" s="242"/>
      <c r="S69" s="242"/>
      <c r="T69" s="242"/>
      <c r="U69" s="242"/>
      <c r="V69" s="242"/>
      <c r="W69" s="258" t="e">
        <v>#DIV/0!</v>
      </c>
      <c r="X69" s="267">
        <f t="shared" ref="X69:X78" si="14">SUM(M69:V69)</f>
        <v>0</v>
      </c>
      <c r="Z69" s="268" t="s">
        <v>2442</v>
      </c>
      <c r="AA69" s="268"/>
      <c r="AB69" s="269" t="s">
        <v>2425</v>
      </c>
      <c r="AC69" s="269"/>
      <c r="AD69" s="270" t="s">
        <v>2426</v>
      </c>
      <c r="AE69" s="270"/>
      <c r="AF69" s="23" t="s">
        <v>2427</v>
      </c>
    </row>
    <row r="70" hidden="1" spans="1:26">
      <c r="A70" s="332">
        <v>7.01</v>
      </c>
      <c r="B70" s="340">
        <v>7</v>
      </c>
      <c r="C70" s="320">
        <v>4</v>
      </c>
      <c r="D70" s="320">
        <v>10</v>
      </c>
      <c r="E70" s="321">
        <v>1</v>
      </c>
      <c r="F70" s="320"/>
      <c r="G70" s="320"/>
      <c r="H70" s="322"/>
      <c r="I70" s="320"/>
      <c r="L70" s="244">
        <v>2</v>
      </c>
      <c r="M70" s="245"/>
      <c r="N70" s="245"/>
      <c r="O70" s="245"/>
      <c r="P70" s="245"/>
      <c r="Q70" s="245"/>
      <c r="R70" s="245"/>
      <c r="S70" s="245"/>
      <c r="T70" s="245"/>
      <c r="U70" s="245"/>
      <c r="V70" s="245"/>
      <c r="W70" s="259" t="e">
        <v>#DIV/0!</v>
      </c>
      <c r="X70" s="271">
        <f t="shared" si="14"/>
        <v>0</v>
      </c>
      <c r="Z70" s="23" t="s">
        <v>2429</v>
      </c>
    </row>
    <row r="71" hidden="1" spans="1:30">
      <c r="A71" s="323">
        <v>7.02</v>
      </c>
      <c r="B71" s="338">
        <v>5</v>
      </c>
      <c r="C71" s="324">
        <v>3</v>
      </c>
      <c r="D71" s="324">
        <v>9</v>
      </c>
      <c r="E71" s="325">
        <v>1</v>
      </c>
      <c r="F71" s="324"/>
      <c r="G71" s="324"/>
      <c r="H71" s="326"/>
      <c r="I71" s="324"/>
      <c r="L71" s="246">
        <v>3</v>
      </c>
      <c r="M71" s="248"/>
      <c r="N71" s="248"/>
      <c r="O71" s="248"/>
      <c r="P71" s="248"/>
      <c r="Q71" s="248"/>
      <c r="R71" s="248"/>
      <c r="S71" s="248"/>
      <c r="T71" s="248"/>
      <c r="U71" s="248"/>
      <c r="V71" s="248"/>
      <c r="W71" s="260" t="e">
        <v>#DIV/0!</v>
      </c>
      <c r="X71" s="272">
        <f t="shared" si="14"/>
        <v>0</v>
      </c>
      <c r="Z71" s="128" t="s">
        <v>2466</v>
      </c>
      <c r="AA71" s="128">
        <f>COUNTIF(M69:V78,1)</f>
        <v>0</v>
      </c>
      <c r="AB71" s="273">
        <f t="shared" ref="AB71:AB76" si="15">(AA71/100)</f>
        <v>0</v>
      </c>
      <c r="AD71" s="23" t="s">
        <v>2431</v>
      </c>
    </row>
    <row r="72" hidden="1" spans="1:34">
      <c r="A72" s="323">
        <v>7.03</v>
      </c>
      <c r="B72" s="338">
        <v>7</v>
      </c>
      <c r="C72" s="324">
        <v>4</v>
      </c>
      <c r="D72" s="324">
        <v>10</v>
      </c>
      <c r="E72" s="325">
        <v>2</v>
      </c>
      <c r="F72" s="324"/>
      <c r="G72" s="324"/>
      <c r="H72" s="326"/>
      <c r="I72" s="324"/>
      <c r="L72" s="244">
        <v>4</v>
      </c>
      <c r="M72" s="245"/>
      <c r="N72" s="245"/>
      <c r="O72" s="245"/>
      <c r="P72" s="245"/>
      <c r="Q72" s="245"/>
      <c r="R72" s="245"/>
      <c r="S72" s="245"/>
      <c r="T72" s="245"/>
      <c r="U72" s="245"/>
      <c r="V72" s="245"/>
      <c r="W72" s="259" t="e">
        <v>#DIV/0!</v>
      </c>
      <c r="X72" s="271">
        <f t="shared" si="14"/>
        <v>0</v>
      </c>
      <c r="Z72" s="128" t="s">
        <v>2457</v>
      </c>
      <c r="AA72" s="128">
        <f>COUNTIF(M69:V78,2)</f>
        <v>0</v>
      </c>
      <c r="AB72" s="273">
        <f t="shared" si="15"/>
        <v>0</v>
      </c>
      <c r="AD72" s="274" t="s">
        <v>2434</v>
      </c>
      <c r="AE72" s="275"/>
      <c r="AF72" s="280" t="s">
        <v>2435</v>
      </c>
      <c r="AG72" s="275" t="s">
        <v>2436</v>
      </c>
      <c r="AH72" s="281"/>
    </row>
    <row r="73" hidden="1" spans="1:33">
      <c r="A73" s="323">
        <v>7.04</v>
      </c>
      <c r="B73" s="338">
        <v>9</v>
      </c>
      <c r="C73" s="324">
        <v>4</v>
      </c>
      <c r="D73" s="324">
        <v>10</v>
      </c>
      <c r="E73" s="325">
        <v>3</v>
      </c>
      <c r="F73" s="324" t="s">
        <v>2471</v>
      </c>
      <c r="G73" s="324"/>
      <c r="H73" s="326"/>
      <c r="I73" s="324"/>
      <c r="L73" s="246">
        <v>5</v>
      </c>
      <c r="M73" s="248"/>
      <c r="N73" s="248"/>
      <c r="O73" s="248"/>
      <c r="P73" s="248"/>
      <c r="Q73" s="248"/>
      <c r="R73" s="248"/>
      <c r="S73" s="248"/>
      <c r="T73" s="248"/>
      <c r="U73" s="248"/>
      <c r="V73" s="248"/>
      <c r="W73" s="260" t="e">
        <v>#DIV/0!</v>
      </c>
      <c r="X73" s="272">
        <f t="shared" si="14"/>
        <v>0</v>
      </c>
      <c r="Z73" s="128" t="s">
        <v>2437</v>
      </c>
      <c r="AA73" s="128">
        <f>COUNTIF(M69:V78,5)</f>
        <v>0</v>
      </c>
      <c r="AB73" s="273">
        <f t="shared" si="15"/>
        <v>0</v>
      </c>
      <c r="AD73" s="23" t="s">
        <v>2438</v>
      </c>
      <c r="AF73" s="128">
        <v>0</v>
      </c>
      <c r="AG73" s="282">
        <f t="shared" ref="AG73:AG75" si="16">(AF73/100)</f>
        <v>0</v>
      </c>
    </row>
    <row r="74" hidden="1" spans="1:33">
      <c r="A74" s="323">
        <v>7.05</v>
      </c>
      <c r="B74" s="338">
        <v>9</v>
      </c>
      <c r="C74" s="324">
        <v>5</v>
      </c>
      <c r="D74" s="324">
        <v>14</v>
      </c>
      <c r="E74" s="325">
        <v>2</v>
      </c>
      <c r="F74" s="324"/>
      <c r="G74" s="324"/>
      <c r="H74" s="326"/>
      <c r="I74" s="324"/>
      <c r="L74" s="244">
        <v>6</v>
      </c>
      <c r="M74" s="245"/>
      <c r="N74" s="245"/>
      <c r="O74" s="245"/>
      <c r="P74" s="245"/>
      <c r="Q74" s="245"/>
      <c r="R74" s="245"/>
      <c r="S74" s="245"/>
      <c r="T74" s="245"/>
      <c r="U74" s="245"/>
      <c r="V74" s="245"/>
      <c r="W74" s="259" t="e">
        <v>#DIV/0!</v>
      </c>
      <c r="X74" s="271">
        <f t="shared" si="14"/>
        <v>0</v>
      </c>
      <c r="Z74" s="128" t="s">
        <v>2472</v>
      </c>
      <c r="AA74" s="128">
        <f>COUNTIF(M69:V78,6)</f>
        <v>0</v>
      </c>
      <c r="AB74" s="273">
        <f t="shared" si="15"/>
        <v>0</v>
      </c>
      <c r="AD74" s="23" t="s">
        <v>2440</v>
      </c>
      <c r="AF74" s="128">
        <v>0</v>
      </c>
      <c r="AG74" s="282">
        <f t="shared" si="16"/>
        <v>0</v>
      </c>
    </row>
    <row r="75" hidden="1" spans="1:33">
      <c r="A75" s="323">
        <v>7.06</v>
      </c>
      <c r="B75" s="338">
        <v>10</v>
      </c>
      <c r="C75" s="324">
        <v>5</v>
      </c>
      <c r="D75" s="324">
        <v>11</v>
      </c>
      <c r="E75" s="325">
        <v>2</v>
      </c>
      <c r="F75" s="324"/>
      <c r="G75" s="324"/>
      <c r="H75" s="326"/>
      <c r="I75" s="324"/>
      <c r="L75" s="246">
        <v>7</v>
      </c>
      <c r="M75" s="248"/>
      <c r="N75" s="248"/>
      <c r="O75" s="248"/>
      <c r="P75" s="248"/>
      <c r="Q75" s="248"/>
      <c r="R75" s="248"/>
      <c r="S75" s="248"/>
      <c r="T75" s="248"/>
      <c r="U75" s="248"/>
      <c r="V75" s="248"/>
      <c r="W75" s="260" t="e">
        <v>#DIV/0!</v>
      </c>
      <c r="X75" s="272">
        <f t="shared" si="14"/>
        <v>0</v>
      </c>
      <c r="Z75" s="128" t="s">
        <v>2456</v>
      </c>
      <c r="AA75" s="128">
        <f>COUNTIF(M69:V78,10)</f>
        <v>0</v>
      </c>
      <c r="AB75" s="273">
        <f t="shared" si="15"/>
        <v>0</v>
      </c>
      <c r="AD75" s="23" t="s">
        <v>2454</v>
      </c>
      <c r="AF75" s="128">
        <v>0</v>
      </c>
      <c r="AG75" s="282">
        <f t="shared" si="16"/>
        <v>0</v>
      </c>
    </row>
    <row r="76" hidden="1" spans="1:28">
      <c r="A76" s="323">
        <v>7.07</v>
      </c>
      <c r="B76" s="338">
        <v>10</v>
      </c>
      <c r="C76" s="324">
        <v>6</v>
      </c>
      <c r="D76" s="324">
        <v>14</v>
      </c>
      <c r="E76" s="325">
        <v>2</v>
      </c>
      <c r="F76" s="324"/>
      <c r="G76" s="324"/>
      <c r="H76" s="326"/>
      <c r="I76" s="324"/>
      <c r="L76" s="244">
        <v>8</v>
      </c>
      <c r="M76" s="245"/>
      <c r="N76" s="245"/>
      <c r="O76" s="245"/>
      <c r="P76" s="245"/>
      <c r="Q76" s="245"/>
      <c r="R76" s="245"/>
      <c r="S76" s="245"/>
      <c r="T76" s="245"/>
      <c r="U76" s="245"/>
      <c r="V76" s="245"/>
      <c r="W76" s="259" t="e">
        <v>#DIV/0!</v>
      </c>
      <c r="X76" s="271">
        <f t="shared" si="14"/>
        <v>0</v>
      </c>
      <c r="Z76" s="128" t="s">
        <v>2467</v>
      </c>
      <c r="AA76" s="128">
        <f>COUNTBLANK(M69:V78)</f>
        <v>100</v>
      </c>
      <c r="AB76" s="273">
        <f t="shared" si="15"/>
        <v>1</v>
      </c>
    </row>
    <row r="77" hidden="1" spans="1:24">
      <c r="A77" s="323">
        <v>7.08</v>
      </c>
      <c r="B77" s="338">
        <v>8</v>
      </c>
      <c r="C77" s="324">
        <v>3</v>
      </c>
      <c r="D77" s="324">
        <v>8</v>
      </c>
      <c r="E77" s="325">
        <v>2</v>
      </c>
      <c r="F77" s="324"/>
      <c r="G77" s="324"/>
      <c r="H77" s="326"/>
      <c r="I77" s="324" t="s">
        <v>2473</v>
      </c>
      <c r="L77" s="246">
        <v>9</v>
      </c>
      <c r="M77" s="248"/>
      <c r="N77" s="248"/>
      <c r="O77" s="248"/>
      <c r="P77" s="248"/>
      <c r="Q77" s="248"/>
      <c r="R77" s="248"/>
      <c r="S77" s="248"/>
      <c r="T77" s="248"/>
      <c r="U77" s="248"/>
      <c r="V77" s="248"/>
      <c r="W77" s="260" t="e">
        <v>#DIV/0!</v>
      </c>
      <c r="X77" s="272">
        <f t="shared" si="14"/>
        <v>0</v>
      </c>
    </row>
    <row r="78" hidden="1" spans="1:24">
      <c r="A78" s="323">
        <v>7.09</v>
      </c>
      <c r="B78" s="338">
        <v>6</v>
      </c>
      <c r="C78" s="324">
        <v>3</v>
      </c>
      <c r="D78" s="324">
        <v>8</v>
      </c>
      <c r="E78" s="325">
        <v>2</v>
      </c>
      <c r="F78" s="324"/>
      <c r="G78" s="324"/>
      <c r="H78" s="326"/>
      <c r="I78" s="324"/>
      <c r="L78" s="244">
        <v>10</v>
      </c>
      <c r="M78" s="245"/>
      <c r="N78" s="245"/>
      <c r="O78" s="245"/>
      <c r="P78" s="245"/>
      <c r="Q78" s="245"/>
      <c r="R78" s="245"/>
      <c r="S78" s="245"/>
      <c r="T78" s="245"/>
      <c r="U78" s="245"/>
      <c r="V78" s="245"/>
      <c r="W78" s="261" t="e">
        <v>#DIV/0!</v>
      </c>
      <c r="X78" s="271">
        <f t="shared" si="14"/>
        <v>0</v>
      </c>
    </row>
    <row r="79" hidden="1" spans="1:28">
      <c r="A79" s="323">
        <v>7.1</v>
      </c>
      <c r="B79" s="338">
        <v>9</v>
      </c>
      <c r="C79" s="324">
        <v>4</v>
      </c>
      <c r="D79" s="324">
        <v>9</v>
      </c>
      <c r="E79" s="325">
        <v>2</v>
      </c>
      <c r="F79" s="324"/>
      <c r="G79" s="324"/>
      <c r="H79" s="326"/>
      <c r="I79" s="324"/>
      <c r="T79" s="352" t="s">
        <v>2448</v>
      </c>
      <c r="U79" s="263"/>
      <c r="V79" s="263"/>
      <c r="W79" s="353" t="e">
        <v>#DIV/0!</v>
      </c>
      <c r="X79" s="351">
        <f>SUM(X69:X78)</f>
        <v>0</v>
      </c>
      <c r="Y79" s="354" t="s">
        <v>2460</v>
      </c>
      <c r="Z79" s="263"/>
      <c r="AA79" s="263"/>
      <c r="AB79" s="264"/>
    </row>
    <row r="80" hidden="1" spans="1:9">
      <c r="A80" s="323">
        <v>7.11</v>
      </c>
      <c r="B80" s="338">
        <v>10</v>
      </c>
      <c r="C80" s="324">
        <v>4</v>
      </c>
      <c r="D80" s="324">
        <v>8</v>
      </c>
      <c r="E80" s="325">
        <v>1</v>
      </c>
      <c r="F80" s="324"/>
      <c r="G80" s="324"/>
      <c r="H80" s="326"/>
      <c r="I80" s="324"/>
    </row>
    <row r="81" hidden="1" spans="1:9">
      <c r="A81" s="328">
        <v>7.12</v>
      </c>
      <c r="B81" s="339">
        <v>12</v>
      </c>
      <c r="C81" s="329">
        <v>6</v>
      </c>
      <c r="D81" s="329">
        <v>13</v>
      </c>
      <c r="E81" s="330">
        <v>3</v>
      </c>
      <c r="F81" s="329"/>
      <c r="G81" s="329"/>
      <c r="H81" s="331"/>
      <c r="I81" s="329"/>
    </row>
    <row r="82" hidden="1" spans="1:12">
      <c r="A82" s="332">
        <v>8.01</v>
      </c>
      <c r="B82" s="340">
        <v>9</v>
      </c>
      <c r="C82" s="320">
        <v>5</v>
      </c>
      <c r="D82" s="320">
        <v>19</v>
      </c>
      <c r="E82" s="321">
        <v>2</v>
      </c>
      <c r="F82" s="320"/>
      <c r="G82" s="320"/>
      <c r="H82" s="322"/>
      <c r="I82" s="320"/>
      <c r="L82" s="23" t="s">
        <v>2474</v>
      </c>
    </row>
    <row r="83" hidden="1" spans="1:24">
      <c r="A83" s="323">
        <v>8.02</v>
      </c>
      <c r="B83" s="338">
        <v>9</v>
      </c>
      <c r="C83" s="324">
        <v>5</v>
      </c>
      <c r="D83" s="324">
        <v>18</v>
      </c>
      <c r="E83" s="325">
        <v>2</v>
      </c>
      <c r="F83" s="324"/>
      <c r="G83" s="324"/>
      <c r="H83" s="326"/>
      <c r="I83" s="324"/>
      <c r="L83" s="239" t="s">
        <v>2462</v>
      </c>
      <c r="M83" s="240" t="s">
        <v>2412</v>
      </c>
      <c r="N83" s="240" t="s">
        <v>2413</v>
      </c>
      <c r="O83" s="240" t="s">
        <v>2414</v>
      </c>
      <c r="P83" s="240" t="s">
        <v>2415</v>
      </c>
      <c r="Q83" s="240" t="s">
        <v>2416</v>
      </c>
      <c r="R83" s="240" t="s">
        <v>2417</v>
      </c>
      <c r="S83" s="240" t="s">
        <v>2418</v>
      </c>
      <c r="T83" s="240" t="s">
        <v>2419</v>
      </c>
      <c r="U83" s="240" t="s">
        <v>2420</v>
      </c>
      <c r="V83" s="240" t="s">
        <v>2421</v>
      </c>
      <c r="W83" s="239" t="s">
        <v>2422</v>
      </c>
      <c r="X83" s="266" t="s">
        <v>2463</v>
      </c>
    </row>
    <row r="84" hidden="1" spans="1:24">
      <c r="A84" s="323">
        <v>8.03</v>
      </c>
      <c r="B84" s="338">
        <v>8</v>
      </c>
      <c r="C84" s="324">
        <v>5</v>
      </c>
      <c r="D84" s="324">
        <v>20</v>
      </c>
      <c r="E84" s="325">
        <v>3</v>
      </c>
      <c r="F84" s="324" t="s">
        <v>1931</v>
      </c>
      <c r="G84" s="324"/>
      <c r="H84" s="326"/>
      <c r="I84" s="324"/>
      <c r="J84" s="23" t="s">
        <v>2452</v>
      </c>
      <c r="L84" s="241">
        <v>1</v>
      </c>
      <c r="M84" s="242">
        <v>0</v>
      </c>
      <c r="N84" s="242">
        <v>0</v>
      </c>
      <c r="O84" s="242">
        <v>0</v>
      </c>
      <c r="P84" s="242">
        <v>0</v>
      </c>
      <c r="Q84" s="242">
        <v>15</v>
      </c>
      <c r="R84" s="242">
        <v>0</v>
      </c>
      <c r="S84" s="242">
        <v>0</v>
      </c>
      <c r="T84" s="242">
        <v>0</v>
      </c>
      <c r="U84" s="242">
        <v>0</v>
      </c>
      <c r="V84" s="242">
        <v>0</v>
      </c>
      <c r="W84" s="363">
        <f t="shared" ref="W84:W147" si="17">AVERAGE(M84:V84)</f>
        <v>1.5</v>
      </c>
      <c r="X84" s="267">
        <f t="shared" ref="X84:X147" si="18">SUM(M84:V84)</f>
        <v>15</v>
      </c>
    </row>
    <row r="85" hidden="1" spans="1:26">
      <c r="A85" s="323">
        <v>8.04</v>
      </c>
      <c r="B85" s="338">
        <v>10</v>
      </c>
      <c r="C85" s="324">
        <v>4</v>
      </c>
      <c r="D85" s="324">
        <v>15</v>
      </c>
      <c r="E85" s="325">
        <v>4</v>
      </c>
      <c r="F85" s="324"/>
      <c r="G85" s="324"/>
      <c r="H85" s="326"/>
      <c r="I85" s="324"/>
      <c r="L85" s="244">
        <v>2</v>
      </c>
      <c r="M85" s="245">
        <v>15</v>
      </c>
      <c r="N85" s="245">
        <v>15</v>
      </c>
      <c r="O85" s="245">
        <v>0</v>
      </c>
      <c r="P85" s="245">
        <v>20</v>
      </c>
      <c r="Q85" s="245">
        <v>0</v>
      </c>
      <c r="R85" s="245">
        <v>15</v>
      </c>
      <c r="S85" s="245">
        <v>0</v>
      </c>
      <c r="T85" s="245">
        <v>0</v>
      </c>
      <c r="U85" s="245">
        <v>0</v>
      </c>
      <c r="V85" s="245">
        <v>0</v>
      </c>
      <c r="W85" s="364">
        <f t="shared" si="17"/>
        <v>6.5</v>
      </c>
      <c r="X85" s="271">
        <f t="shared" si="18"/>
        <v>65</v>
      </c>
      <c r="Z85" s="23" t="s">
        <v>2429</v>
      </c>
    </row>
    <row r="86" hidden="1" spans="1:28">
      <c r="A86" s="323">
        <v>8.05</v>
      </c>
      <c r="B86" s="338">
        <v>10</v>
      </c>
      <c r="C86" s="324">
        <v>6</v>
      </c>
      <c r="D86" s="324">
        <v>20</v>
      </c>
      <c r="E86" s="325">
        <v>2</v>
      </c>
      <c r="F86" s="324"/>
      <c r="G86" s="324"/>
      <c r="H86" s="326"/>
      <c r="I86" s="324"/>
      <c r="L86" s="246">
        <v>3</v>
      </c>
      <c r="M86" s="248">
        <v>0</v>
      </c>
      <c r="N86" s="248">
        <v>0</v>
      </c>
      <c r="O86" s="248">
        <v>0</v>
      </c>
      <c r="P86" s="248">
        <v>0</v>
      </c>
      <c r="Q86" s="248">
        <v>0</v>
      </c>
      <c r="R86" s="248">
        <v>0</v>
      </c>
      <c r="S86" s="248">
        <v>0</v>
      </c>
      <c r="T86" s="248">
        <v>0</v>
      </c>
      <c r="U86" s="248">
        <v>0</v>
      </c>
      <c r="V86" s="248">
        <v>0</v>
      </c>
      <c r="W86" s="365">
        <f t="shared" si="17"/>
        <v>0</v>
      </c>
      <c r="X86" s="272">
        <f t="shared" si="18"/>
        <v>0</v>
      </c>
      <c r="Z86" s="128" t="s">
        <v>2430</v>
      </c>
      <c r="AA86" s="128">
        <f>COUNTIF(M84:V93,0)</f>
        <v>85</v>
      </c>
      <c r="AB86" s="273">
        <f t="shared" ref="AB86:AB89" si="19">(AA86/100)</f>
        <v>0.85</v>
      </c>
    </row>
    <row r="87" hidden="1" spans="1:28">
      <c r="A87" s="323">
        <v>8.06</v>
      </c>
      <c r="B87" s="355">
        <v>10</v>
      </c>
      <c r="C87" s="333">
        <v>5</v>
      </c>
      <c r="D87" s="333">
        <v>17</v>
      </c>
      <c r="E87" s="334">
        <v>2</v>
      </c>
      <c r="F87" s="324"/>
      <c r="G87" s="333"/>
      <c r="H87" s="326"/>
      <c r="I87" s="324"/>
      <c r="L87" s="244">
        <v>4</v>
      </c>
      <c r="M87" s="245">
        <v>0</v>
      </c>
      <c r="N87" s="245">
        <v>0</v>
      </c>
      <c r="O87" s="245">
        <v>0</v>
      </c>
      <c r="P87" s="245">
        <v>0</v>
      </c>
      <c r="Q87" s="245">
        <v>0</v>
      </c>
      <c r="R87" s="245">
        <v>0</v>
      </c>
      <c r="S87" s="245">
        <v>0</v>
      </c>
      <c r="T87" s="245">
        <v>0</v>
      </c>
      <c r="U87" s="245">
        <v>0</v>
      </c>
      <c r="V87" s="245">
        <v>0</v>
      </c>
      <c r="W87" s="364">
        <f t="shared" si="17"/>
        <v>0</v>
      </c>
      <c r="X87" s="271">
        <f t="shared" si="18"/>
        <v>0</v>
      </c>
      <c r="Z87" s="128" t="s">
        <v>2456</v>
      </c>
      <c r="AA87" s="128">
        <f>COUNTIF(M84:V93,10)</f>
        <v>5</v>
      </c>
      <c r="AB87" s="273">
        <f t="shared" si="19"/>
        <v>0.05</v>
      </c>
    </row>
    <row r="88" hidden="1" spans="1:28">
      <c r="A88" s="323">
        <v>8.07</v>
      </c>
      <c r="B88" s="338">
        <v>9</v>
      </c>
      <c r="C88" s="324">
        <v>4</v>
      </c>
      <c r="D88" s="324">
        <v>14</v>
      </c>
      <c r="E88" s="325">
        <v>2</v>
      </c>
      <c r="F88" s="324"/>
      <c r="G88" s="333"/>
      <c r="H88" s="326"/>
      <c r="I88" s="324"/>
      <c r="L88" s="246">
        <v>5</v>
      </c>
      <c r="M88" s="248">
        <v>0</v>
      </c>
      <c r="N88" s="248">
        <v>15</v>
      </c>
      <c r="O88" s="248">
        <v>0</v>
      </c>
      <c r="P88" s="248">
        <v>10</v>
      </c>
      <c r="Q88" s="248">
        <v>15</v>
      </c>
      <c r="R88" s="248">
        <v>0</v>
      </c>
      <c r="S88" s="248">
        <v>0</v>
      </c>
      <c r="T88" s="248">
        <v>0</v>
      </c>
      <c r="U88" s="248">
        <v>0</v>
      </c>
      <c r="V88" s="248">
        <v>0</v>
      </c>
      <c r="W88" s="365">
        <f t="shared" si="17"/>
        <v>4</v>
      </c>
      <c r="X88" s="272">
        <f t="shared" si="18"/>
        <v>40</v>
      </c>
      <c r="Z88" s="128" t="s">
        <v>2439</v>
      </c>
      <c r="AA88" s="128">
        <f>COUNTIF(M84:V93,15)</f>
        <v>9</v>
      </c>
      <c r="AB88" s="273">
        <f t="shared" si="19"/>
        <v>0.09</v>
      </c>
    </row>
    <row r="89" hidden="1" spans="1:28">
      <c r="A89" s="323">
        <v>8.08</v>
      </c>
      <c r="B89" s="338">
        <v>11</v>
      </c>
      <c r="C89" s="324">
        <v>6</v>
      </c>
      <c r="D89" s="324">
        <v>22</v>
      </c>
      <c r="E89" s="325">
        <v>3</v>
      </c>
      <c r="F89" s="324"/>
      <c r="G89" s="333"/>
      <c r="H89" s="326"/>
      <c r="I89" s="324" t="s">
        <v>2475</v>
      </c>
      <c r="J89" s="23" t="s">
        <v>2452</v>
      </c>
      <c r="L89" s="244">
        <v>6</v>
      </c>
      <c r="M89" s="245">
        <v>0</v>
      </c>
      <c r="N89" s="245">
        <v>0</v>
      </c>
      <c r="O89" s="245">
        <v>0</v>
      </c>
      <c r="P89" s="245">
        <v>0</v>
      </c>
      <c r="Q89" s="245">
        <v>0</v>
      </c>
      <c r="R89" s="245">
        <v>0</v>
      </c>
      <c r="S89" s="245">
        <v>0</v>
      </c>
      <c r="T89" s="245">
        <v>0</v>
      </c>
      <c r="U89" s="245">
        <v>0</v>
      </c>
      <c r="V89" s="245">
        <v>0</v>
      </c>
      <c r="W89" s="364">
        <f t="shared" si="17"/>
        <v>0</v>
      </c>
      <c r="X89" s="271">
        <f t="shared" si="18"/>
        <v>0</v>
      </c>
      <c r="Z89" s="128" t="s">
        <v>2443</v>
      </c>
      <c r="AA89" s="128">
        <f>COUNTIF(M84:V93,20)</f>
        <v>1</v>
      </c>
      <c r="AB89" s="273">
        <f t="shared" si="19"/>
        <v>0.01</v>
      </c>
    </row>
    <row r="90" hidden="1" spans="1:28">
      <c r="A90" s="323">
        <v>8.09</v>
      </c>
      <c r="B90" s="338">
        <v>10</v>
      </c>
      <c r="C90" s="324">
        <v>4</v>
      </c>
      <c r="D90" s="324">
        <v>19</v>
      </c>
      <c r="E90" s="325">
        <v>4</v>
      </c>
      <c r="F90" s="324"/>
      <c r="G90" s="333"/>
      <c r="H90" s="326"/>
      <c r="I90" s="324"/>
      <c r="L90" s="246">
        <v>7</v>
      </c>
      <c r="M90" s="248">
        <v>0</v>
      </c>
      <c r="N90" s="248">
        <v>0</v>
      </c>
      <c r="O90" s="248">
        <v>0</v>
      </c>
      <c r="P90" s="248">
        <v>15</v>
      </c>
      <c r="Q90" s="248">
        <v>0</v>
      </c>
      <c r="R90" s="248">
        <v>10</v>
      </c>
      <c r="S90" s="248">
        <v>0</v>
      </c>
      <c r="T90" s="248">
        <v>0</v>
      </c>
      <c r="U90" s="248">
        <v>0</v>
      </c>
      <c r="V90" s="248">
        <v>15</v>
      </c>
      <c r="W90" s="365">
        <f t="shared" si="17"/>
        <v>4</v>
      </c>
      <c r="X90" s="272">
        <f t="shared" si="18"/>
        <v>40</v>
      </c>
      <c r="Z90" s="128"/>
      <c r="AA90" s="128"/>
      <c r="AB90" s="273"/>
    </row>
    <row r="91" hidden="1" spans="1:24">
      <c r="A91" s="323">
        <v>8.1</v>
      </c>
      <c r="B91" s="338">
        <v>11</v>
      </c>
      <c r="C91" s="324">
        <v>7</v>
      </c>
      <c r="D91" s="324">
        <v>28</v>
      </c>
      <c r="E91" s="325">
        <v>2</v>
      </c>
      <c r="F91" s="324"/>
      <c r="G91" s="333"/>
      <c r="H91" s="326"/>
      <c r="I91" s="324"/>
      <c r="L91" s="244">
        <v>8</v>
      </c>
      <c r="M91" s="245">
        <v>0</v>
      </c>
      <c r="N91" s="245">
        <v>0</v>
      </c>
      <c r="O91" s="245">
        <v>10</v>
      </c>
      <c r="P91" s="245">
        <v>0</v>
      </c>
      <c r="Q91" s="245">
        <v>0</v>
      </c>
      <c r="R91" s="245">
        <v>15</v>
      </c>
      <c r="S91" s="245">
        <v>0</v>
      </c>
      <c r="T91" s="245">
        <v>0</v>
      </c>
      <c r="U91" s="245">
        <v>10</v>
      </c>
      <c r="V91" s="245">
        <v>0</v>
      </c>
      <c r="W91" s="364">
        <f t="shared" si="17"/>
        <v>3.5</v>
      </c>
      <c r="X91" s="271">
        <f t="shared" si="18"/>
        <v>35</v>
      </c>
    </row>
    <row r="92" hidden="1" spans="1:28">
      <c r="A92" s="323">
        <v>8.11</v>
      </c>
      <c r="B92" s="338">
        <v>10</v>
      </c>
      <c r="C92" s="324">
        <v>4</v>
      </c>
      <c r="D92" s="324">
        <v>10</v>
      </c>
      <c r="E92" s="325">
        <v>3</v>
      </c>
      <c r="F92" s="324" t="s">
        <v>1931</v>
      </c>
      <c r="G92" s="333"/>
      <c r="H92" s="326"/>
      <c r="I92" s="324"/>
      <c r="L92" s="246">
        <v>9</v>
      </c>
      <c r="M92" s="248">
        <v>0</v>
      </c>
      <c r="N92" s="248">
        <v>0</v>
      </c>
      <c r="O92" s="248">
        <v>0</v>
      </c>
      <c r="P92" s="248">
        <v>0</v>
      </c>
      <c r="Q92" s="248">
        <v>0</v>
      </c>
      <c r="R92" s="248">
        <v>0</v>
      </c>
      <c r="S92" s="248">
        <v>0</v>
      </c>
      <c r="T92" s="248">
        <v>0</v>
      </c>
      <c r="U92" s="248">
        <v>0</v>
      </c>
      <c r="V92" s="248">
        <v>0</v>
      </c>
      <c r="W92" s="365">
        <f t="shared" si="17"/>
        <v>0</v>
      </c>
      <c r="X92" s="272">
        <f t="shared" si="18"/>
        <v>0</v>
      </c>
      <c r="Y92" s="276">
        <f>AVERAGE(M84:V93)</f>
        <v>2.05</v>
      </c>
      <c r="Z92" s="277" t="s">
        <v>2448</v>
      </c>
      <c r="AA92" s="263"/>
      <c r="AB92" s="264"/>
    </row>
    <row r="93" hidden="1" spans="1:29">
      <c r="A93" s="328">
        <v>8.12</v>
      </c>
      <c r="B93" s="339">
        <v>11</v>
      </c>
      <c r="C93" s="329">
        <v>6</v>
      </c>
      <c r="D93" s="329">
        <v>21</v>
      </c>
      <c r="E93" s="330">
        <v>3</v>
      </c>
      <c r="F93" s="329"/>
      <c r="G93" s="329"/>
      <c r="H93" s="331"/>
      <c r="I93" s="329"/>
      <c r="L93" s="244">
        <v>10</v>
      </c>
      <c r="M93" s="245">
        <v>10</v>
      </c>
      <c r="N93" s="245">
        <v>0</v>
      </c>
      <c r="O93" s="245">
        <v>0</v>
      </c>
      <c r="P93" s="245">
        <v>0</v>
      </c>
      <c r="Q93" s="245">
        <v>0</v>
      </c>
      <c r="R93" s="245">
        <v>0</v>
      </c>
      <c r="S93" s="245">
        <v>0</v>
      </c>
      <c r="T93" s="245">
        <v>0</v>
      </c>
      <c r="U93" s="245">
        <v>0</v>
      </c>
      <c r="V93" s="245">
        <v>0</v>
      </c>
      <c r="W93" s="364">
        <f t="shared" si="17"/>
        <v>1</v>
      </c>
      <c r="X93" s="271">
        <f t="shared" si="18"/>
        <v>10</v>
      </c>
      <c r="Y93" s="278">
        <f>SUM(X84:X93)</f>
        <v>205</v>
      </c>
      <c r="Z93" s="277" t="s">
        <v>2445</v>
      </c>
      <c r="AA93" s="263"/>
      <c r="AB93" s="263"/>
      <c r="AC93" s="264"/>
    </row>
    <row r="94" hidden="1" spans="1:32">
      <c r="A94" s="332">
        <v>9.01</v>
      </c>
      <c r="B94" s="340">
        <v>11</v>
      </c>
      <c r="C94" s="320">
        <v>6</v>
      </c>
      <c r="D94" s="320">
        <v>21</v>
      </c>
      <c r="E94" s="321">
        <v>3</v>
      </c>
      <c r="F94" s="320"/>
      <c r="H94" s="322"/>
      <c r="I94" s="320"/>
      <c r="L94" s="241">
        <v>11</v>
      </c>
      <c r="M94" s="356">
        <v>10</v>
      </c>
      <c r="N94" s="242">
        <v>0</v>
      </c>
      <c r="O94" s="242">
        <v>0</v>
      </c>
      <c r="P94" s="242">
        <v>0</v>
      </c>
      <c r="Q94" s="242">
        <v>0</v>
      </c>
      <c r="R94" s="242">
        <v>0</v>
      </c>
      <c r="S94" s="242">
        <v>0</v>
      </c>
      <c r="T94" s="242">
        <v>0</v>
      </c>
      <c r="U94" s="242">
        <v>0</v>
      </c>
      <c r="V94" s="242">
        <v>0</v>
      </c>
      <c r="W94" s="258">
        <f t="shared" si="17"/>
        <v>1</v>
      </c>
      <c r="X94" s="267">
        <f t="shared" si="18"/>
        <v>10</v>
      </c>
      <c r="Z94" s="367" t="s">
        <v>2442</v>
      </c>
      <c r="AA94" s="367"/>
      <c r="AF94" s="23" t="s">
        <v>2476</v>
      </c>
    </row>
    <row r="95" hidden="1" spans="1:30">
      <c r="A95" s="323">
        <v>9.02</v>
      </c>
      <c r="B95" s="338">
        <v>12</v>
      </c>
      <c r="C95" s="324">
        <v>7</v>
      </c>
      <c r="D95" s="324">
        <v>24</v>
      </c>
      <c r="E95" s="325">
        <v>3</v>
      </c>
      <c r="F95" s="324"/>
      <c r="G95" s="333"/>
      <c r="H95" s="326"/>
      <c r="I95" s="324"/>
      <c r="L95" s="244">
        <v>12</v>
      </c>
      <c r="M95" s="357">
        <v>0</v>
      </c>
      <c r="N95" s="245">
        <v>15</v>
      </c>
      <c r="O95" s="245">
        <v>15</v>
      </c>
      <c r="P95" s="345">
        <v>0</v>
      </c>
      <c r="Q95" s="245">
        <v>0</v>
      </c>
      <c r="R95" s="245">
        <v>0</v>
      </c>
      <c r="S95" s="245">
        <v>0</v>
      </c>
      <c r="T95" s="245">
        <v>0</v>
      </c>
      <c r="U95" s="245">
        <v>0</v>
      </c>
      <c r="V95" s="245">
        <v>15</v>
      </c>
      <c r="W95" s="259">
        <f t="shared" si="17"/>
        <v>4.5</v>
      </c>
      <c r="X95" s="271">
        <f t="shared" si="18"/>
        <v>45</v>
      </c>
      <c r="Z95" s="23" t="s">
        <v>2429</v>
      </c>
      <c r="AD95" s="23" t="s">
        <v>2431</v>
      </c>
    </row>
    <row r="96" hidden="1" spans="1:34">
      <c r="A96" s="323">
        <v>9.03</v>
      </c>
      <c r="B96" s="338">
        <v>8</v>
      </c>
      <c r="C96" s="324">
        <v>5</v>
      </c>
      <c r="D96" s="324">
        <v>17</v>
      </c>
      <c r="E96" s="325">
        <v>1</v>
      </c>
      <c r="F96" s="324"/>
      <c r="G96" s="333"/>
      <c r="H96" s="326"/>
      <c r="I96" s="324"/>
      <c r="L96" s="246">
        <v>13</v>
      </c>
      <c r="M96" s="358">
        <v>0</v>
      </c>
      <c r="N96" s="248">
        <v>0</v>
      </c>
      <c r="O96" s="248">
        <v>0</v>
      </c>
      <c r="P96" s="248">
        <v>0</v>
      </c>
      <c r="Q96" s="248">
        <v>20</v>
      </c>
      <c r="R96" s="248">
        <v>0</v>
      </c>
      <c r="S96" s="248">
        <v>20</v>
      </c>
      <c r="T96" s="248">
        <v>0</v>
      </c>
      <c r="U96" s="248">
        <v>0</v>
      </c>
      <c r="V96" s="248">
        <v>0</v>
      </c>
      <c r="W96" s="260">
        <f t="shared" si="17"/>
        <v>4</v>
      </c>
      <c r="X96" s="272">
        <f t="shared" si="18"/>
        <v>40</v>
      </c>
      <c r="Z96" s="128" t="s">
        <v>2430</v>
      </c>
      <c r="AA96" s="128">
        <f>COUNTIF(M94:V103,0)</f>
        <v>76</v>
      </c>
      <c r="AB96" s="273">
        <f t="shared" ref="AB96:AB99" si="20">(AA96/100)</f>
        <v>0.76</v>
      </c>
      <c r="AD96" s="274" t="s">
        <v>2434</v>
      </c>
      <c r="AE96" s="275"/>
      <c r="AF96" s="280" t="s">
        <v>2435</v>
      </c>
      <c r="AG96" s="275" t="s">
        <v>2436</v>
      </c>
      <c r="AH96" s="281"/>
    </row>
    <row r="97" hidden="1" spans="1:33">
      <c r="A97" s="323">
        <v>9.04</v>
      </c>
      <c r="B97" s="338">
        <v>7</v>
      </c>
      <c r="C97" s="324">
        <v>6</v>
      </c>
      <c r="D97" s="324">
        <v>19</v>
      </c>
      <c r="E97" s="325">
        <v>0</v>
      </c>
      <c r="F97" s="324"/>
      <c r="G97" s="324"/>
      <c r="H97" s="326"/>
      <c r="I97" s="324"/>
      <c r="L97" s="244">
        <v>14</v>
      </c>
      <c r="M97" s="245">
        <v>15</v>
      </c>
      <c r="N97" s="245">
        <v>0</v>
      </c>
      <c r="O97" s="245">
        <v>0</v>
      </c>
      <c r="P97" s="245">
        <v>0</v>
      </c>
      <c r="Q97" s="245">
        <v>0</v>
      </c>
      <c r="R97" s="245">
        <v>0</v>
      </c>
      <c r="S97" s="245">
        <v>15</v>
      </c>
      <c r="T97" s="245">
        <v>0</v>
      </c>
      <c r="U97" s="245">
        <v>0</v>
      </c>
      <c r="V97" s="245">
        <v>0</v>
      </c>
      <c r="W97" s="259">
        <f t="shared" si="17"/>
        <v>3</v>
      </c>
      <c r="X97" s="271">
        <f t="shared" si="18"/>
        <v>30</v>
      </c>
      <c r="Z97" s="128" t="s">
        <v>2456</v>
      </c>
      <c r="AA97" s="128">
        <f>COUNTIF(M94:V103,10)</f>
        <v>3</v>
      </c>
      <c r="AB97" s="273">
        <f t="shared" si="20"/>
        <v>0.03</v>
      </c>
      <c r="AF97" s="128"/>
      <c r="AG97" s="282"/>
    </row>
    <row r="98" spans="1:33">
      <c r="A98" s="323">
        <v>9.05</v>
      </c>
      <c r="B98" s="338">
        <v>13</v>
      </c>
      <c r="C98" s="324">
        <v>3</v>
      </c>
      <c r="D98" s="324">
        <v>13</v>
      </c>
      <c r="E98" s="325">
        <v>6</v>
      </c>
      <c r="F98" s="333"/>
      <c r="G98" s="324"/>
      <c r="H98" s="326" t="s">
        <v>2405</v>
      </c>
      <c r="I98" s="324"/>
      <c r="L98" s="246">
        <v>15</v>
      </c>
      <c r="M98" s="248">
        <v>10</v>
      </c>
      <c r="N98" s="359">
        <v>0</v>
      </c>
      <c r="O98" s="248">
        <v>0</v>
      </c>
      <c r="P98" s="248">
        <v>15</v>
      </c>
      <c r="Q98" s="248">
        <v>0</v>
      </c>
      <c r="R98" s="248">
        <v>0</v>
      </c>
      <c r="S98" s="248">
        <v>0</v>
      </c>
      <c r="T98" s="248">
        <v>20</v>
      </c>
      <c r="U98" s="248">
        <v>0</v>
      </c>
      <c r="V98" s="248">
        <v>20</v>
      </c>
      <c r="W98" s="260">
        <f t="shared" si="17"/>
        <v>6.5</v>
      </c>
      <c r="X98" s="272">
        <f t="shared" si="18"/>
        <v>65</v>
      </c>
      <c r="Z98" s="128" t="s">
        <v>2439</v>
      </c>
      <c r="AA98" s="128">
        <f>COUNTIF(M94:V103,15)</f>
        <v>12</v>
      </c>
      <c r="AB98" s="273">
        <f t="shared" si="20"/>
        <v>0.12</v>
      </c>
      <c r="AF98" s="128"/>
      <c r="AG98" s="282"/>
    </row>
    <row r="99" hidden="1" spans="1:33">
      <c r="A99" s="323">
        <v>9.06</v>
      </c>
      <c r="B99" s="338">
        <v>8</v>
      </c>
      <c r="C99" s="324">
        <v>6</v>
      </c>
      <c r="D99" s="324">
        <v>20</v>
      </c>
      <c r="E99" s="325">
        <v>0</v>
      </c>
      <c r="F99" s="333"/>
      <c r="G99" s="324"/>
      <c r="H99" s="326"/>
      <c r="I99" s="324"/>
      <c r="L99" s="244">
        <v>16</v>
      </c>
      <c r="M99" s="245">
        <v>0</v>
      </c>
      <c r="N99" s="245">
        <v>0</v>
      </c>
      <c r="O99" s="245">
        <v>0</v>
      </c>
      <c r="P99" s="245">
        <v>0</v>
      </c>
      <c r="Q99" s="245">
        <v>0</v>
      </c>
      <c r="R99" s="245">
        <v>0</v>
      </c>
      <c r="S99" s="245">
        <v>0</v>
      </c>
      <c r="T99" s="245">
        <v>20</v>
      </c>
      <c r="U99" s="245">
        <v>0</v>
      </c>
      <c r="V99" s="245">
        <v>0</v>
      </c>
      <c r="W99" s="259">
        <f t="shared" si="17"/>
        <v>2</v>
      </c>
      <c r="X99" s="271">
        <f t="shared" si="18"/>
        <v>20</v>
      </c>
      <c r="Z99" s="128" t="s">
        <v>2443</v>
      </c>
      <c r="AA99" s="128">
        <f>COUNTIF(M94:V103,20)</f>
        <v>9</v>
      </c>
      <c r="AB99" s="273">
        <f t="shared" si="20"/>
        <v>0.09</v>
      </c>
      <c r="AD99" s="23" t="s">
        <v>2454</v>
      </c>
      <c r="AF99" s="128">
        <v>3</v>
      </c>
      <c r="AG99" s="282">
        <f>(AF99/100)</f>
        <v>0.03</v>
      </c>
    </row>
    <row r="100" spans="1:28">
      <c r="A100" s="323">
        <v>9.07</v>
      </c>
      <c r="B100" s="338">
        <v>7</v>
      </c>
      <c r="C100" s="324">
        <v>2</v>
      </c>
      <c r="D100" s="324">
        <v>10</v>
      </c>
      <c r="E100" s="325">
        <v>3</v>
      </c>
      <c r="F100" s="333"/>
      <c r="G100" s="324" t="s">
        <v>1931</v>
      </c>
      <c r="H100" s="326" t="s">
        <v>2477</v>
      </c>
      <c r="I100" s="324" t="s">
        <v>2478</v>
      </c>
      <c r="J100" s="23" t="s">
        <v>2479</v>
      </c>
      <c r="L100" s="246">
        <v>17</v>
      </c>
      <c r="M100" s="248">
        <v>0</v>
      </c>
      <c r="N100" s="248">
        <v>0</v>
      </c>
      <c r="O100" s="248">
        <v>20</v>
      </c>
      <c r="P100" s="248">
        <v>15</v>
      </c>
      <c r="Q100" s="248">
        <v>20</v>
      </c>
      <c r="R100" s="248">
        <v>0</v>
      </c>
      <c r="S100" s="248">
        <v>15</v>
      </c>
      <c r="T100" s="248">
        <v>0</v>
      </c>
      <c r="U100" s="248">
        <v>15</v>
      </c>
      <c r="V100" s="248">
        <v>0</v>
      </c>
      <c r="W100" s="260">
        <f t="shared" si="17"/>
        <v>8.5</v>
      </c>
      <c r="X100" s="272">
        <f t="shared" si="18"/>
        <v>85</v>
      </c>
      <c r="Z100" s="128"/>
      <c r="AA100" s="128"/>
      <c r="AB100" s="273"/>
    </row>
    <row r="101" hidden="1" spans="1:24">
      <c r="A101" s="323">
        <v>9.08</v>
      </c>
      <c r="B101" s="338">
        <v>8</v>
      </c>
      <c r="C101" s="324">
        <v>3</v>
      </c>
      <c r="D101" s="324">
        <v>12</v>
      </c>
      <c r="E101" s="325">
        <v>4</v>
      </c>
      <c r="F101" s="333"/>
      <c r="G101" s="324"/>
      <c r="H101" s="326"/>
      <c r="I101" s="324" t="s">
        <v>2480</v>
      </c>
      <c r="L101" s="244">
        <v>18</v>
      </c>
      <c r="M101" s="245">
        <v>0</v>
      </c>
      <c r="N101" s="245">
        <v>0</v>
      </c>
      <c r="O101" s="245">
        <v>20</v>
      </c>
      <c r="P101" s="245">
        <v>0</v>
      </c>
      <c r="Q101" s="245">
        <v>0</v>
      </c>
      <c r="R101" s="245">
        <v>0</v>
      </c>
      <c r="S101" s="245">
        <v>0</v>
      </c>
      <c r="T101" s="245">
        <v>0</v>
      </c>
      <c r="U101" s="245">
        <v>15</v>
      </c>
      <c r="V101" s="245">
        <v>0</v>
      </c>
      <c r="W101" s="259">
        <f t="shared" si="17"/>
        <v>3.5</v>
      </c>
      <c r="X101" s="271">
        <f t="shared" si="18"/>
        <v>35</v>
      </c>
    </row>
    <row r="102" hidden="1" spans="1:28">
      <c r="A102" s="323">
        <v>9.09</v>
      </c>
      <c r="B102" s="338">
        <v>8</v>
      </c>
      <c r="C102" s="324">
        <v>4</v>
      </c>
      <c r="D102" s="324">
        <v>18</v>
      </c>
      <c r="E102" s="325">
        <v>5</v>
      </c>
      <c r="F102" s="333"/>
      <c r="G102" s="324"/>
      <c r="H102" s="326"/>
      <c r="I102" s="324" t="s">
        <v>2481</v>
      </c>
      <c r="L102" s="246">
        <v>19</v>
      </c>
      <c r="M102" s="248">
        <v>0</v>
      </c>
      <c r="N102" s="248">
        <v>0</v>
      </c>
      <c r="O102" s="248">
        <v>0</v>
      </c>
      <c r="P102" s="248">
        <v>15</v>
      </c>
      <c r="Q102" s="248">
        <v>0</v>
      </c>
      <c r="R102" s="248">
        <v>0</v>
      </c>
      <c r="S102" s="248">
        <v>0</v>
      </c>
      <c r="T102" s="248">
        <v>20</v>
      </c>
      <c r="U102" s="248">
        <v>0</v>
      </c>
      <c r="V102" s="248">
        <v>0</v>
      </c>
      <c r="W102" s="260">
        <f t="shared" si="17"/>
        <v>3.5</v>
      </c>
      <c r="X102" s="272">
        <f t="shared" si="18"/>
        <v>35</v>
      </c>
      <c r="Y102" s="276">
        <f>AVERAGE(M94:V103)</f>
        <v>3.9</v>
      </c>
      <c r="Z102" s="277" t="s">
        <v>2448</v>
      </c>
      <c r="AA102" s="263"/>
      <c r="AB102" s="264"/>
    </row>
    <row r="103" hidden="1" spans="1:29">
      <c r="A103" s="323">
        <v>9.1</v>
      </c>
      <c r="B103" s="338">
        <v>12</v>
      </c>
      <c r="C103" s="324">
        <v>7</v>
      </c>
      <c r="D103" s="324">
        <v>22</v>
      </c>
      <c r="E103" s="325">
        <v>4</v>
      </c>
      <c r="F103" s="333"/>
      <c r="G103" s="324"/>
      <c r="H103" s="326"/>
      <c r="I103" s="324"/>
      <c r="L103" s="300">
        <v>20</v>
      </c>
      <c r="M103" s="288">
        <v>0</v>
      </c>
      <c r="N103" s="288">
        <v>0</v>
      </c>
      <c r="O103" s="288">
        <v>0</v>
      </c>
      <c r="P103" s="288">
        <v>15</v>
      </c>
      <c r="Q103" s="288">
        <v>10</v>
      </c>
      <c r="R103" s="288">
        <v>0</v>
      </c>
      <c r="S103" s="288">
        <v>0</v>
      </c>
      <c r="T103" s="288">
        <v>0</v>
      </c>
      <c r="U103" s="288">
        <v>0</v>
      </c>
      <c r="V103" s="288">
        <v>0</v>
      </c>
      <c r="W103" s="261">
        <f t="shared" si="17"/>
        <v>2.5</v>
      </c>
      <c r="X103" s="294">
        <f t="shared" si="18"/>
        <v>25</v>
      </c>
      <c r="Y103" s="278">
        <f>SUM(X94:X103)</f>
        <v>390</v>
      </c>
      <c r="Z103" s="277" t="s">
        <v>2460</v>
      </c>
      <c r="AA103" s="263"/>
      <c r="AB103" s="263"/>
      <c r="AC103" s="264"/>
    </row>
    <row r="104" hidden="1" spans="1:32">
      <c r="A104" s="323">
        <v>9.11</v>
      </c>
      <c r="B104" s="338">
        <v>10</v>
      </c>
      <c r="C104" s="324">
        <v>5</v>
      </c>
      <c r="D104" s="324">
        <v>18</v>
      </c>
      <c r="E104" s="325">
        <v>2</v>
      </c>
      <c r="F104" s="333"/>
      <c r="G104" s="324"/>
      <c r="H104" s="326"/>
      <c r="I104" s="324"/>
      <c r="L104" s="241">
        <v>21</v>
      </c>
      <c r="M104" s="248">
        <v>0</v>
      </c>
      <c r="N104" s="360">
        <v>0</v>
      </c>
      <c r="O104" s="248">
        <v>15</v>
      </c>
      <c r="P104" s="247">
        <v>0</v>
      </c>
      <c r="Q104" s="247">
        <v>0</v>
      </c>
      <c r="R104" s="248">
        <v>0</v>
      </c>
      <c r="S104" s="248">
        <v>0</v>
      </c>
      <c r="T104" s="248">
        <v>0</v>
      </c>
      <c r="U104" s="248">
        <v>10</v>
      </c>
      <c r="V104" s="247">
        <v>0</v>
      </c>
      <c r="W104" s="260">
        <f t="shared" si="17"/>
        <v>2.5</v>
      </c>
      <c r="X104" s="272">
        <f t="shared" si="18"/>
        <v>25</v>
      </c>
      <c r="Z104" s="268" t="s">
        <v>2454</v>
      </c>
      <c r="AA104" s="268"/>
      <c r="AB104" s="269" t="s">
        <v>2425</v>
      </c>
      <c r="AC104" s="269"/>
      <c r="AD104" s="270" t="s">
        <v>2426</v>
      </c>
      <c r="AE104" s="270"/>
      <c r="AF104" s="23" t="s">
        <v>2482</v>
      </c>
    </row>
    <row r="105" hidden="1" spans="1:30">
      <c r="A105" s="328">
        <v>9.12</v>
      </c>
      <c r="B105" s="339">
        <v>11</v>
      </c>
      <c r="C105" s="329">
        <v>5</v>
      </c>
      <c r="D105" s="329">
        <v>20</v>
      </c>
      <c r="E105" s="330">
        <v>4</v>
      </c>
      <c r="F105" s="329"/>
      <c r="G105" s="329"/>
      <c r="H105" s="331"/>
      <c r="I105" s="329"/>
      <c r="L105" s="244">
        <v>22</v>
      </c>
      <c r="M105" s="245">
        <v>0</v>
      </c>
      <c r="N105" s="255">
        <v>0</v>
      </c>
      <c r="O105" s="245">
        <v>15</v>
      </c>
      <c r="P105" s="255">
        <v>0</v>
      </c>
      <c r="Q105" s="252">
        <v>0</v>
      </c>
      <c r="R105" s="245">
        <v>0</v>
      </c>
      <c r="S105" s="255">
        <v>0</v>
      </c>
      <c r="T105" s="245">
        <v>0</v>
      </c>
      <c r="U105" s="245">
        <v>0</v>
      </c>
      <c r="V105" s="245">
        <v>0</v>
      </c>
      <c r="W105" s="259">
        <f t="shared" si="17"/>
        <v>1.5</v>
      </c>
      <c r="X105" s="271">
        <f t="shared" si="18"/>
        <v>15</v>
      </c>
      <c r="Z105" s="23" t="s">
        <v>2429</v>
      </c>
      <c r="AD105" s="23" t="s">
        <v>2427</v>
      </c>
    </row>
    <row r="106" hidden="1" spans="1:30">
      <c r="A106" s="332">
        <v>10.01</v>
      </c>
      <c r="B106" s="340">
        <v>8</v>
      </c>
      <c r="C106" s="320">
        <v>4</v>
      </c>
      <c r="D106" s="320">
        <v>16</v>
      </c>
      <c r="E106" s="321">
        <v>1</v>
      </c>
      <c r="G106" s="320"/>
      <c r="H106" s="322"/>
      <c r="I106" s="320"/>
      <c r="L106" s="246">
        <v>23</v>
      </c>
      <c r="M106" s="248">
        <v>0</v>
      </c>
      <c r="N106" s="361">
        <v>0</v>
      </c>
      <c r="O106" s="248">
        <v>0</v>
      </c>
      <c r="P106" s="256">
        <v>0</v>
      </c>
      <c r="Q106" s="248">
        <v>15</v>
      </c>
      <c r="R106" s="248">
        <v>0</v>
      </c>
      <c r="S106" s="247">
        <v>0</v>
      </c>
      <c r="T106" s="248">
        <v>15</v>
      </c>
      <c r="U106" s="248">
        <v>0</v>
      </c>
      <c r="V106" s="248">
        <v>0</v>
      </c>
      <c r="W106" s="260">
        <f t="shared" si="17"/>
        <v>3</v>
      </c>
      <c r="X106" s="272">
        <f t="shared" si="18"/>
        <v>30</v>
      </c>
      <c r="Z106" s="128" t="s">
        <v>2430</v>
      </c>
      <c r="AA106" s="128">
        <f>COUNTIF(M104:V113,0)</f>
        <v>84</v>
      </c>
      <c r="AB106" s="273">
        <f t="shared" ref="AB106:AB109" si="21">(AA106/100)</f>
        <v>0.84</v>
      </c>
      <c r="AD106" s="23" t="s">
        <v>2431</v>
      </c>
    </row>
    <row r="107" hidden="1" spans="1:34">
      <c r="A107" s="323">
        <v>10.02</v>
      </c>
      <c r="B107" s="338">
        <v>9</v>
      </c>
      <c r="C107" s="324">
        <v>5</v>
      </c>
      <c r="D107" s="324">
        <v>20</v>
      </c>
      <c r="E107" s="325">
        <v>3</v>
      </c>
      <c r="F107" s="333"/>
      <c r="G107" s="324"/>
      <c r="H107" s="326"/>
      <c r="I107" s="324"/>
      <c r="L107" s="244">
        <v>24</v>
      </c>
      <c r="M107" s="245">
        <v>15</v>
      </c>
      <c r="N107" s="245">
        <v>0</v>
      </c>
      <c r="O107" s="255">
        <v>0</v>
      </c>
      <c r="P107" s="245">
        <v>0</v>
      </c>
      <c r="Q107" s="245">
        <v>0</v>
      </c>
      <c r="R107" s="252">
        <v>0</v>
      </c>
      <c r="S107" s="245">
        <v>0</v>
      </c>
      <c r="T107" s="245">
        <v>0</v>
      </c>
      <c r="U107" s="245">
        <v>20</v>
      </c>
      <c r="V107" s="245">
        <v>0</v>
      </c>
      <c r="W107" s="259">
        <f t="shared" si="17"/>
        <v>3.5</v>
      </c>
      <c r="X107" s="271">
        <f t="shared" si="18"/>
        <v>35</v>
      </c>
      <c r="Z107" s="128" t="s">
        <v>2456</v>
      </c>
      <c r="AA107" s="128">
        <f>COUNTIF(M104:V113,10)</f>
        <v>2</v>
      </c>
      <c r="AB107" s="273">
        <f t="shared" si="21"/>
        <v>0.02</v>
      </c>
      <c r="AD107" s="274" t="s">
        <v>2434</v>
      </c>
      <c r="AE107" s="275"/>
      <c r="AF107" s="280" t="s">
        <v>2435</v>
      </c>
      <c r="AG107" s="275" t="s">
        <v>2436</v>
      </c>
      <c r="AH107" s="281"/>
    </row>
    <row r="108" hidden="1" spans="1:33">
      <c r="A108" s="323">
        <v>10.03</v>
      </c>
      <c r="B108" s="338">
        <v>9</v>
      </c>
      <c r="C108" s="324">
        <v>4</v>
      </c>
      <c r="D108" s="324">
        <v>19</v>
      </c>
      <c r="E108" s="325">
        <v>2</v>
      </c>
      <c r="F108" s="333"/>
      <c r="G108" s="324"/>
      <c r="H108" s="326"/>
      <c r="I108" s="324"/>
      <c r="L108" s="246">
        <v>25</v>
      </c>
      <c r="M108" s="248">
        <v>0</v>
      </c>
      <c r="N108" s="248">
        <v>0</v>
      </c>
      <c r="O108" s="256">
        <v>0</v>
      </c>
      <c r="P108" s="256">
        <v>0</v>
      </c>
      <c r="Q108" s="248">
        <v>20</v>
      </c>
      <c r="R108" s="248">
        <v>0</v>
      </c>
      <c r="S108" s="256">
        <v>0</v>
      </c>
      <c r="T108" s="248">
        <v>0</v>
      </c>
      <c r="U108" s="248">
        <v>15</v>
      </c>
      <c r="V108" s="247">
        <v>0</v>
      </c>
      <c r="W108" s="260">
        <f t="shared" si="17"/>
        <v>3.5</v>
      </c>
      <c r="X108" s="272">
        <f t="shared" si="18"/>
        <v>35</v>
      </c>
      <c r="Z108" s="128" t="s">
        <v>2439</v>
      </c>
      <c r="AA108" s="128">
        <f>COUNTIF(M104:V113,15)</f>
        <v>11</v>
      </c>
      <c r="AB108" s="273">
        <f t="shared" si="21"/>
        <v>0.11</v>
      </c>
      <c r="AD108" s="23" t="s">
        <v>2447</v>
      </c>
      <c r="AF108" s="128">
        <v>12</v>
      </c>
      <c r="AG108" s="282">
        <f t="shared" ref="AG108:AG110" si="22">(AF108/100)</f>
        <v>0.12</v>
      </c>
    </row>
    <row r="109" hidden="1" spans="1:33">
      <c r="A109" s="323">
        <v>10.04</v>
      </c>
      <c r="B109" s="338">
        <v>12</v>
      </c>
      <c r="C109" s="324">
        <v>6</v>
      </c>
      <c r="D109" s="324">
        <v>26</v>
      </c>
      <c r="E109" s="325">
        <v>3</v>
      </c>
      <c r="F109" s="333"/>
      <c r="G109" s="324"/>
      <c r="H109" s="326"/>
      <c r="I109" s="324"/>
      <c r="L109" s="244">
        <v>26</v>
      </c>
      <c r="M109" s="345">
        <v>0</v>
      </c>
      <c r="N109" s="245">
        <v>15</v>
      </c>
      <c r="O109" s="360">
        <v>0</v>
      </c>
      <c r="P109" s="252">
        <v>0</v>
      </c>
      <c r="Q109" s="252">
        <v>0</v>
      </c>
      <c r="R109" s="245">
        <v>0</v>
      </c>
      <c r="S109" s="245">
        <v>0</v>
      </c>
      <c r="T109" s="255">
        <v>0</v>
      </c>
      <c r="U109" s="245">
        <v>0</v>
      </c>
      <c r="V109" s="245">
        <v>15</v>
      </c>
      <c r="W109" s="259">
        <f t="shared" si="17"/>
        <v>3</v>
      </c>
      <c r="X109" s="271">
        <f t="shared" si="18"/>
        <v>30</v>
      </c>
      <c r="Z109" s="128" t="s">
        <v>2443</v>
      </c>
      <c r="AA109" s="128">
        <f>COUNTIF(M104:V113,20)</f>
        <v>3</v>
      </c>
      <c r="AB109" s="273">
        <f t="shared" si="21"/>
        <v>0.03</v>
      </c>
      <c r="AD109" s="23" t="s">
        <v>2440</v>
      </c>
      <c r="AF109" s="128">
        <v>18</v>
      </c>
      <c r="AG109" s="282">
        <f t="shared" si="22"/>
        <v>0.18</v>
      </c>
    </row>
    <row r="110" hidden="1" spans="1:33">
      <c r="A110" s="323">
        <v>10.05</v>
      </c>
      <c r="B110" s="338">
        <v>8</v>
      </c>
      <c r="C110" s="324">
        <v>4</v>
      </c>
      <c r="D110" s="324">
        <v>24</v>
      </c>
      <c r="E110" s="325">
        <v>0</v>
      </c>
      <c r="F110" s="333"/>
      <c r="G110" s="324"/>
      <c r="H110" s="326"/>
      <c r="I110" s="324"/>
      <c r="L110" s="246">
        <v>27</v>
      </c>
      <c r="M110" s="248">
        <v>0</v>
      </c>
      <c r="N110" s="248">
        <v>0</v>
      </c>
      <c r="O110" s="248">
        <v>10</v>
      </c>
      <c r="P110" s="248">
        <v>15</v>
      </c>
      <c r="Q110" s="247">
        <v>0</v>
      </c>
      <c r="R110" s="248">
        <v>0</v>
      </c>
      <c r="S110" s="248">
        <v>0</v>
      </c>
      <c r="T110" s="248">
        <v>0</v>
      </c>
      <c r="U110" s="248">
        <v>0</v>
      </c>
      <c r="V110" s="248">
        <v>0</v>
      </c>
      <c r="W110" s="260">
        <f t="shared" si="17"/>
        <v>2.5</v>
      </c>
      <c r="X110" s="272">
        <f t="shared" si="18"/>
        <v>25</v>
      </c>
      <c r="Z110" s="128"/>
      <c r="AA110" s="128"/>
      <c r="AB110" s="273"/>
      <c r="AD110" s="23" t="s">
        <v>2442</v>
      </c>
      <c r="AF110" s="128">
        <v>5</v>
      </c>
      <c r="AG110" s="282">
        <f t="shared" si="22"/>
        <v>0.05</v>
      </c>
    </row>
    <row r="111" hidden="1" spans="1:24">
      <c r="A111" s="323">
        <v>10.06</v>
      </c>
      <c r="B111" s="338">
        <v>11</v>
      </c>
      <c r="C111" s="324">
        <v>6</v>
      </c>
      <c r="D111" s="324">
        <v>27</v>
      </c>
      <c r="E111" s="325">
        <v>3</v>
      </c>
      <c r="F111" s="333"/>
      <c r="G111" s="324"/>
      <c r="H111" s="326"/>
      <c r="I111" s="324"/>
      <c r="L111" s="244">
        <v>28</v>
      </c>
      <c r="M111" s="245">
        <v>0</v>
      </c>
      <c r="N111" s="245">
        <v>0</v>
      </c>
      <c r="O111" s="245">
        <v>0</v>
      </c>
      <c r="P111" s="255">
        <v>0</v>
      </c>
      <c r="Q111" s="245">
        <v>0</v>
      </c>
      <c r="R111" s="245">
        <v>0</v>
      </c>
      <c r="S111" s="252">
        <v>0</v>
      </c>
      <c r="T111" s="245">
        <v>0</v>
      </c>
      <c r="U111" s="255">
        <v>0</v>
      </c>
      <c r="V111" s="252">
        <v>0</v>
      </c>
      <c r="W111" s="259">
        <f t="shared" si="17"/>
        <v>0</v>
      </c>
      <c r="X111" s="271">
        <f t="shared" si="18"/>
        <v>0</v>
      </c>
    </row>
    <row r="112" hidden="1" spans="1:28">
      <c r="A112" s="323">
        <v>10.07</v>
      </c>
      <c r="B112" s="338">
        <v>11</v>
      </c>
      <c r="C112" s="324">
        <v>7</v>
      </c>
      <c r="D112" s="324">
        <v>37</v>
      </c>
      <c r="E112" s="325">
        <v>2</v>
      </c>
      <c r="F112" s="333"/>
      <c r="G112" s="324"/>
      <c r="H112" s="326"/>
      <c r="I112" s="324"/>
      <c r="L112" s="246">
        <v>29</v>
      </c>
      <c r="M112" s="248">
        <v>0</v>
      </c>
      <c r="N112" s="247">
        <v>0</v>
      </c>
      <c r="O112" s="247">
        <v>0</v>
      </c>
      <c r="P112" s="248">
        <v>0</v>
      </c>
      <c r="Q112" s="256">
        <v>20</v>
      </c>
      <c r="R112" s="248">
        <v>0</v>
      </c>
      <c r="S112" s="248">
        <v>0</v>
      </c>
      <c r="T112" s="247">
        <v>0</v>
      </c>
      <c r="U112" s="248">
        <v>0</v>
      </c>
      <c r="V112" s="248">
        <v>0</v>
      </c>
      <c r="W112" s="260">
        <f t="shared" si="17"/>
        <v>2</v>
      </c>
      <c r="X112" s="272">
        <f t="shared" si="18"/>
        <v>20</v>
      </c>
      <c r="Y112" s="276">
        <f>AVERAGE(M104:V113)</f>
        <v>2.45</v>
      </c>
      <c r="Z112" s="277" t="s">
        <v>2448</v>
      </c>
      <c r="AA112" s="263"/>
      <c r="AB112" s="264"/>
    </row>
    <row r="113" hidden="1" spans="1:29">
      <c r="A113" s="323">
        <v>10.08</v>
      </c>
      <c r="B113" s="338">
        <v>11</v>
      </c>
      <c r="C113" s="324">
        <v>7</v>
      </c>
      <c r="D113" s="324">
        <v>27</v>
      </c>
      <c r="E113" s="325">
        <v>3</v>
      </c>
      <c r="F113" s="333"/>
      <c r="G113" s="324"/>
      <c r="H113" s="326"/>
      <c r="I113" s="324" t="s">
        <v>2483</v>
      </c>
      <c r="L113" s="300">
        <v>30</v>
      </c>
      <c r="M113" s="287">
        <v>0</v>
      </c>
      <c r="N113" s="288">
        <v>15</v>
      </c>
      <c r="O113" s="288">
        <v>0</v>
      </c>
      <c r="P113" s="288">
        <v>0</v>
      </c>
      <c r="Q113" s="288">
        <v>0</v>
      </c>
      <c r="R113" s="288">
        <v>0</v>
      </c>
      <c r="S113" s="362">
        <v>0</v>
      </c>
      <c r="T113" s="288">
        <v>15</v>
      </c>
      <c r="U113" s="288">
        <v>0</v>
      </c>
      <c r="V113" s="293">
        <v>0</v>
      </c>
      <c r="W113" s="261">
        <f t="shared" si="17"/>
        <v>3</v>
      </c>
      <c r="X113" s="294">
        <f t="shared" si="18"/>
        <v>30</v>
      </c>
      <c r="Y113" s="278">
        <f>SUM(X104:X113)</f>
        <v>245</v>
      </c>
      <c r="Z113" s="277" t="s">
        <v>2484</v>
      </c>
      <c r="AA113" s="263"/>
      <c r="AB113" s="263"/>
      <c r="AC113" s="264"/>
    </row>
    <row r="114" hidden="1" spans="1:32">
      <c r="A114" s="323">
        <v>10.09</v>
      </c>
      <c r="B114" s="338">
        <v>10</v>
      </c>
      <c r="C114" s="324">
        <v>5</v>
      </c>
      <c r="D114" s="324">
        <v>25</v>
      </c>
      <c r="E114" s="325">
        <v>3</v>
      </c>
      <c r="F114" s="333"/>
      <c r="G114" s="324"/>
      <c r="H114" s="326"/>
      <c r="I114" s="324"/>
      <c r="L114" s="246">
        <v>31</v>
      </c>
      <c r="M114" s="248">
        <v>20</v>
      </c>
      <c r="N114" s="248">
        <v>10</v>
      </c>
      <c r="O114" s="256">
        <v>15</v>
      </c>
      <c r="P114" s="248">
        <v>0</v>
      </c>
      <c r="Q114" s="248">
        <v>0</v>
      </c>
      <c r="R114" s="248">
        <v>0</v>
      </c>
      <c r="S114" s="248">
        <v>10</v>
      </c>
      <c r="T114" s="248">
        <v>15</v>
      </c>
      <c r="U114" s="248">
        <v>0</v>
      </c>
      <c r="V114" s="248">
        <v>0</v>
      </c>
      <c r="W114" s="260">
        <f t="shared" si="17"/>
        <v>7</v>
      </c>
      <c r="X114" s="272">
        <f t="shared" si="18"/>
        <v>70</v>
      </c>
      <c r="Z114" s="268" t="s">
        <v>2442</v>
      </c>
      <c r="AA114" s="268"/>
      <c r="AB114" s="269" t="s">
        <v>2425</v>
      </c>
      <c r="AC114" s="269"/>
      <c r="AD114" s="270" t="s">
        <v>2426</v>
      </c>
      <c r="AE114" s="270"/>
      <c r="AF114" s="23" t="s">
        <v>2427</v>
      </c>
    </row>
    <row r="115" hidden="1" spans="1:26">
      <c r="A115" s="323">
        <v>10.1</v>
      </c>
      <c r="B115" s="338">
        <v>11</v>
      </c>
      <c r="C115" s="324">
        <v>5</v>
      </c>
      <c r="D115" s="324">
        <v>18</v>
      </c>
      <c r="E115" s="325">
        <v>3</v>
      </c>
      <c r="F115" s="333"/>
      <c r="G115" s="324"/>
      <c r="H115" s="326"/>
      <c r="I115" s="324"/>
      <c r="L115" s="244">
        <v>32</v>
      </c>
      <c r="M115" s="245">
        <v>0</v>
      </c>
      <c r="N115" s="245">
        <v>0</v>
      </c>
      <c r="O115" s="252">
        <v>0</v>
      </c>
      <c r="P115" s="252">
        <v>0</v>
      </c>
      <c r="Q115" s="255">
        <v>0</v>
      </c>
      <c r="R115" s="245">
        <v>0</v>
      </c>
      <c r="S115" s="245">
        <v>0</v>
      </c>
      <c r="T115" s="245">
        <v>0</v>
      </c>
      <c r="U115" s="245">
        <v>0</v>
      </c>
      <c r="V115" s="245">
        <v>0</v>
      </c>
      <c r="W115" s="259">
        <f t="shared" si="17"/>
        <v>0</v>
      </c>
      <c r="X115" s="271">
        <f t="shared" si="18"/>
        <v>0</v>
      </c>
      <c r="Z115" s="23" t="s">
        <v>2429</v>
      </c>
    </row>
    <row r="116" hidden="1" spans="1:30">
      <c r="A116" s="323">
        <v>10.11</v>
      </c>
      <c r="B116" s="338">
        <v>9</v>
      </c>
      <c r="C116" s="324">
        <v>5</v>
      </c>
      <c r="D116" s="324">
        <v>21</v>
      </c>
      <c r="E116" s="325">
        <v>2</v>
      </c>
      <c r="F116" s="333"/>
      <c r="G116" s="324"/>
      <c r="H116" s="326"/>
      <c r="I116" s="324"/>
      <c r="L116" s="246">
        <v>33</v>
      </c>
      <c r="M116" s="359">
        <v>0</v>
      </c>
      <c r="N116" s="248">
        <v>0</v>
      </c>
      <c r="O116" s="248">
        <v>0</v>
      </c>
      <c r="P116" s="248">
        <v>0</v>
      </c>
      <c r="Q116" s="248">
        <v>10</v>
      </c>
      <c r="R116" s="256">
        <v>0</v>
      </c>
      <c r="S116" s="248">
        <v>0</v>
      </c>
      <c r="T116" s="248">
        <v>10</v>
      </c>
      <c r="U116" s="359">
        <v>0</v>
      </c>
      <c r="V116" s="248">
        <v>10</v>
      </c>
      <c r="W116" s="260">
        <f t="shared" si="17"/>
        <v>3</v>
      </c>
      <c r="X116" s="272">
        <f t="shared" si="18"/>
        <v>30</v>
      </c>
      <c r="Z116" s="128" t="s">
        <v>2430</v>
      </c>
      <c r="AA116" s="128">
        <f>COUNTIF(M114:V123,0)</f>
        <v>79</v>
      </c>
      <c r="AB116" s="273">
        <f t="shared" ref="AB116:AB119" si="23">(AA116/100)</f>
        <v>0.79</v>
      </c>
      <c r="AD116" s="23" t="s">
        <v>2431</v>
      </c>
    </row>
    <row r="117" hidden="1" spans="1:34">
      <c r="A117" s="328">
        <v>10.12</v>
      </c>
      <c r="B117" s="339">
        <v>12</v>
      </c>
      <c r="C117" s="329">
        <v>6</v>
      </c>
      <c r="D117" s="329">
        <v>31</v>
      </c>
      <c r="E117" s="330">
        <v>4</v>
      </c>
      <c r="F117" s="329"/>
      <c r="G117" s="329"/>
      <c r="H117" s="331"/>
      <c r="I117" s="329"/>
      <c r="L117" s="244">
        <v>34</v>
      </c>
      <c r="M117" s="245">
        <v>0</v>
      </c>
      <c r="N117" s="245">
        <v>10</v>
      </c>
      <c r="O117" s="245">
        <v>0</v>
      </c>
      <c r="P117" s="245">
        <v>0</v>
      </c>
      <c r="Q117" s="245">
        <v>0</v>
      </c>
      <c r="R117" s="245">
        <v>0</v>
      </c>
      <c r="S117" s="245">
        <v>0</v>
      </c>
      <c r="T117" s="245">
        <v>10</v>
      </c>
      <c r="U117" s="245">
        <v>0</v>
      </c>
      <c r="V117" s="245">
        <v>0</v>
      </c>
      <c r="W117" s="259">
        <f t="shared" si="17"/>
        <v>2</v>
      </c>
      <c r="X117" s="271">
        <f t="shared" si="18"/>
        <v>20</v>
      </c>
      <c r="Z117" s="128" t="s">
        <v>2456</v>
      </c>
      <c r="AA117" s="128">
        <f>COUNTIF(M114:V123,10)</f>
        <v>10</v>
      </c>
      <c r="AB117" s="273">
        <f t="shared" si="23"/>
        <v>0.1</v>
      </c>
      <c r="AD117" s="274" t="s">
        <v>2434</v>
      </c>
      <c r="AE117" s="275"/>
      <c r="AF117" s="280" t="s">
        <v>2435</v>
      </c>
      <c r="AG117" s="275" t="s">
        <v>2436</v>
      </c>
      <c r="AH117" s="281"/>
    </row>
    <row r="118" hidden="1" spans="1:33">
      <c r="A118" s="332">
        <v>11.01</v>
      </c>
      <c r="B118" s="340">
        <v>8</v>
      </c>
      <c r="C118" s="320">
        <v>3</v>
      </c>
      <c r="D118" s="320">
        <v>21</v>
      </c>
      <c r="E118" s="321">
        <v>3</v>
      </c>
      <c r="G118" s="320"/>
      <c r="H118" s="322"/>
      <c r="I118" s="320"/>
      <c r="L118" s="246">
        <v>35</v>
      </c>
      <c r="M118" s="248">
        <v>0</v>
      </c>
      <c r="N118" s="256">
        <v>10</v>
      </c>
      <c r="O118" s="248">
        <v>0</v>
      </c>
      <c r="P118" s="248">
        <v>0</v>
      </c>
      <c r="Q118" s="256">
        <v>0</v>
      </c>
      <c r="R118" s="248">
        <v>0</v>
      </c>
      <c r="S118" s="359">
        <v>0</v>
      </c>
      <c r="T118" s="248">
        <v>0</v>
      </c>
      <c r="U118" s="248">
        <v>0</v>
      </c>
      <c r="V118" s="248">
        <v>0</v>
      </c>
      <c r="W118" s="260">
        <f t="shared" si="17"/>
        <v>1</v>
      </c>
      <c r="X118" s="272">
        <f t="shared" si="18"/>
        <v>10</v>
      </c>
      <c r="Z118" s="128" t="s">
        <v>2439</v>
      </c>
      <c r="AA118" s="128">
        <f>COUNTIF(M114:V123,15)</f>
        <v>7</v>
      </c>
      <c r="AB118" s="273">
        <f t="shared" si="23"/>
        <v>0.07</v>
      </c>
      <c r="AD118" s="23" t="s">
        <v>2438</v>
      </c>
      <c r="AF118" s="128">
        <v>15</v>
      </c>
      <c r="AG118" s="282">
        <f t="shared" ref="AG118:AG120" si="24">(AF118/100)</f>
        <v>0.15</v>
      </c>
    </row>
    <row r="119" hidden="1" spans="1:33">
      <c r="A119" s="323">
        <v>11.02</v>
      </c>
      <c r="B119" s="338">
        <v>6</v>
      </c>
      <c r="C119" s="324">
        <v>4</v>
      </c>
      <c r="D119" s="324">
        <v>18</v>
      </c>
      <c r="E119" s="325">
        <v>3</v>
      </c>
      <c r="F119" s="333"/>
      <c r="G119" s="324" t="s">
        <v>2485</v>
      </c>
      <c r="H119" s="326"/>
      <c r="I119" s="324"/>
      <c r="L119" s="244">
        <v>36</v>
      </c>
      <c r="M119" s="245">
        <v>15</v>
      </c>
      <c r="N119" s="245">
        <v>0</v>
      </c>
      <c r="O119" s="252">
        <v>0</v>
      </c>
      <c r="P119" s="245">
        <v>0</v>
      </c>
      <c r="Q119" s="245">
        <v>0</v>
      </c>
      <c r="R119" s="245">
        <v>0</v>
      </c>
      <c r="S119" s="245">
        <v>0</v>
      </c>
      <c r="T119" s="245">
        <v>0</v>
      </c>
      <c r="U119" s="245">
        <v>0</v>
      </c>
      <c r="V119" s="245">
        <v>0</v>
      </c>
      <c r="W119" s="259">
        <f t="shared" si="17"/>
        <v>1.5</v>
      </c>
      <c r="X119" s="271">
        <f t="shared" si="18"/>
        <v>15</v>
      </c>
      <c r="Z119" s="128" t="s">
        <v>2443</v>
      </c>
      <c r="AA119" s="128">
        <f>COUNTIF(M114:V123,20)</f>
        <v>4</v>
      </c>
      <c r="AB119" s="273">
        <f t="shared" si="23"/>
        <v>0.04</v>
      </c>
      <c r="AD119" s="23" t="s">
        <v>2440</v>
      </c>
      <c r="AF119" s="128">
        <v>6</v>
      </c>
      <c r="AG119" s="282">
        <f t="shared" si="24"/>
        <v>0.06</v>
      </c>
    </row>
    <row r="120" hidden="1" spans="1:33">
      <c r="A120" s="323">
        <v>11.03</v>
      </c>
      <c r="B120" s="338">
        <v>6</v>
      </c>
      <c r="C120" s="324">
        <v>4</v>
      </c>
      <c r="D120" s="324">
        <v>23</v>
      </c>
      <c r="E120" s="325">
        <v>1</v>
      </c>
      <c r="F120" s="324"/>
      <c r="G120" s="324"/>
      <c r="H120" s="326"/>
      <c r="I120" s="324"/>
      <c r="L120" s="246">
        <v>37</v>
      </c>
      <c r="M120" s="248">
        <v>0</v>
      </c>
      <c r="N120" s="256">
        <v>0</v>
      </c>
      <c r="O120" s="248">
        <v>20</v>
      </c>
      <c r="P120" s="247">
        <v>0</v>
      </c>
      <c r="Q120" s="248">
        <v>15</v>
      </c>
      <c r="R120" s="248">
        <v>20</v>
      </c>
      <c r="S120" s="248">
        <v>0</v>
      </c>
      <c r="T120" s="248">
        <v>10</v>
      </c>
      <c r="U120" s="248">
        <v>0</v>
      </c>
      <c r="V120" s="248">
        <v>0</v>
      </c>
      <c r="W120" s="260">
        <f t="shared" si="17"/>
        <v>6.5</v>
      </c>
      <c r="X120" s="272">
        <f t="shared" si="18"/>
        <v>65</v>
      </c>
      <c r="Z120" s="128"/>
      <c r="AA120" s="128"/>
      <c r="AB120" s="273"/>
      <c r="AD120" s="23" t="s">
        <v>2442</v>
      </c>
      <c r="AF120" s="128">
        <v>6</v>
      </c>
      <c r="AG120" s="282">
        <f t="shared" si="24"/>
        <v>0.06</v>
      </c>
    </row>
    <row r="121" hidden="1" spans="1:24">
      <c r="A121" s="323">
        <v>11.04</v>
      </c>
      <c r="B121" s="355">
        <v>8</v>
      </c>
      <c r="C121" s="333">
        <v>5</v>
      </c>
      <c r="D121" s="333">
        <v>45</v>
      </c>
      <c r="E121" s="334">
        <v>1</v>
      </c>
      <c r="F121" s="333"/>
      <c r="G121" s="324"/>
      <c r="H121" s="326"/>
      <c r="I121" s="324"/>
      <c r="L121" s="244">
        <v>38</v>
      </c>
      <c r="M121" s="245">
        <v>0</v>
      </c>
      <c r="N121" s="252">
        <v>15</v>
      </c>
      <c r="O121" s="245">
        <v>0</v>
      </c>
      <c r="P121" s="252">
        <v>0</v>
      </c>
      <c r="Q121" s="252">
        <v>0</v>
      </c>
      <c r="R121" s="245">
        <v>0</v>
      </c>
      <c r="S121" s="245">
        <v>0</v>
      </c>
      <c r="T121" s="245">
        <v>0</v>
      </c>
      <c r="U121" s="245">
        <v>10</v>
      </c>
      <c r="V121" s="345">
        <v>0</v>
      </c>
      <c r="W121" s="259">
        <f t="shared" si="17"/>
        <v>2.5</v>
      </c>
      <c r="X121" s="271">
        <f t="shared" si="18"/>
        <v>25</v>
      </c>
    </row>
    <row r="122" hidden="1" spans="1:28">
      <c r="A122" s="323">
        <v>11.05</v>
      </c>
      <c r="B122" s="338">
        <v>5</v>
      </c>
      <c r="C122" s="324">
        <v>2</v>
      </c>
      <c r="D122" s="324">
        <v>11</v>
      </c>
      <c r="E122" s="325">
        <v>0</v>
      </c>
      <c r="F122" s="324"/>
      <c r="G122" s="324"/>
      <c r="H122" s="326"/>
      <c r="I122" s="324"/>
      <c r="L122" s="246">
        <v>39</v>
      </c>
      <c r="M122" s="248">
        <v>15</v>
      </c>
      <c r="N122" s="247">
        <v>0</v>
      </c>
      <c r="O122" s="248">
        <v>0</v>
      </c>
      <c r="P122" s="359">
        <v>0</v>
      </c>
      <c r="Q122" s="256">
        <v>0</v>
      </c>
      <c r="R122" s="248">
        <v>0</v>
      </c>
      <c r="S122" s="256">
        <v>0</v>
      </c>
      <c r="T122" s="248">
        <v>20</v>
      </c>
      <c r="U122" s="248">
        <v>15</v>
      </c>
      <c r="V122" s="248">
        <v>0</v>
      </c>
      <c r="W122" s="260">
        <f t="shared" si="17"/>
        <v>5</v>
      </c>
      <c r="X122" s="272">
        <f t="shared" si="18"/>
        <v>50</v>
      </c>
      <c r="Y122" s="276">
        <f>AVERAGE(M114:V123)</f>
        <v>2.85</v>
      </c>
      <c r="Z122" s="277" t="s">
        <v>2444</v>
      </c>
      <c r="AA122" s="263"/>
      <c r="AB122" s="264"/>
    </row>
    <row r="123" hidden="1" spans="1:29">
      <c r="A123" s="323">
        <v>11.06</v>
      </c>
      <c r="B123" s="338">
        <v>7</v>
      </c>
      <c r="C123" s="324">
        <v>4</v>
      </c>
      <c r="D123" s="324">
        <v>21</v>
      </c>
      <c r="E123" s="325">
        <v>1</v>
      </c>
      <c r="F123" s="324"/>
      <c r="G123" s="324"/>
      <c r="H123" s="326"/>
      <c r="I123" s="324"/>
      <c r="L123" s="300">
        <v>40</v>
      </c>
      <c r="M123" s="292">
        <v>0</v>
      </c>
      <c r="N123" s="301">
        <v>0</v>
      </c>
      <c r="O123" s="362">
        <v>0</v>
      </c>
      <c r="P123" s="288">
        <v>0</v>
      </c>
      <c r="Q123" s="288">
        <v>0</v>
      </c>
      <c r="R123" s="288">
        <v>0</v>
      </c>
      <c r="S123" s="366">
        <v>0</v>
      </c>
      <c r="T123" s="288">
        <v>0</v>
      </c>
      <c r="U123" s="288">
        <v>0</v>
      </c>
      <c r="V123" s="292">
        <v>0</v>
      </c>
      <c r="W123" s="261">
        <f t="shared" si="17"/>
        <v>0</v>
      </c>
      <c r="X123" s="294">
        <f t="shared" si="18"/>
        <v>0</v>
      </c>
      <c r="Y123" s="278">
        <f>SUM(X114:X123)</f>
        <v>285</v>
      </c>
      <c r="Z123" s="277" t="s">
        <v>2460</v>
      </c>
      <c r="AA123" s="263"/>
      <c r="AB123" s="263"/>
      <c r="AC123" s="264"/>
    </row>
    <row r="124" hidden="1" spans="1:32">
      <c r="A124" s="323">
        <v>11.07</v>
      </c>
      <c r="B124" s="338">
        <v>3</v>
      </c>
      <c r="C124" s="324">
        <v>1</v>
      </c>
      <c r="D124" s="324">
        <v>10</v>
      </c>
      <c r="E124" s="325">
        <v>0</v>
      </c>
      <c r="F124" s="324" t="s">
        <v>1931</v>
      </c>
      <c r="G124" s="324"/>
      <c r="H124" s="326"/>
      <c r="I124" s="324"/>
      <c r="L124" s="246">
        <v>41</v>
      </c>
      <c r="M124" s="248">
        <v>0</v>
      </c>
      <c r="N124" s="248">
        <v>0</v>
      </c>
      <c r="O124" s="248">
        <v>0</v>
      </c>
      <c r="P124" s="248">
        <v>0</v>
      </c>
      <c r="Q124" s="359">
        <v>10</v>
      </c>
      <c r="R124" s="256">
        <v>0</v>
      </c>
      <c r="S124" s="248">
        <v>15</v>
      </c>
      <c r="T124" s="248">
        <v>15</v>
      </c>
      <c r="U124" s="247">
        <v>0</v>
      </c>
      <c r="V124" s="248">
        <v>0</v>
      </c>
      <c r="W124" s="260">
        <f t="shared" si="17"/>
        <v>4</v>
      </c>
      <c r="X124" s="272">
        <f t="shared" si="18"/>
        <v>40</v>
      </c>
      <c r="Z124" s="268" t="s">
        <v>2454</v>
      </c>
      <c r="AA124" s="268"/>
      <c r="AB124" s="269" t="s">
        <v>2425</v>
      </c>
      <c r="AC124" s="269"/>
      <c r="AD124" s="270" t="s">
        <v>2426</v>
      </c>
      <c r="AE124" s="270"/>
      <c r="AF124" s="23" t="s">
        <v>2427</v>
      </c>
    </row>
    <row r="125" hidden="1" spans="1:26">
      <c r="A125" s="323">
        <v>11.08</v>
      </c>
      <c r="B125" s="338">
        <v>5</v>
      </c>
      <c r="C125" s="324">
        <v>3</v>
      </c>
      <c r="D125" s="324">
        <v>10</v>
      </c>
      <c r="E125" s="325">
        <v>0</v>
      </c>
      <c r="F125" s="324" t="s">
        <v>1931</v>
      </c>
      <c r="G125" s="324"/>
      <c r="H125" s="326"/>
      <c r="I125" s="324" t="s">
        <v>2486</v>
      </c>
      <c r="L125" s="244">
        <v>42</v>
      </c>
      <c r="M125" s="245">
        <v>0</v>
      </c>
      <c r="N125" s="252">
        <v>0</v>
      </c>
      <c r="O125" s="252">
        <v>0</v>
      </c>
      <c r="P125" s="252">
        <v>0</v>
      </c>
      <c r="Q125" s="245">
        <v>0</v>
      </c>
      <c r="R125" s="245">
        <v>0</v>
      </c>
      <c r="S125" s="245">
        <v>10</v>
      </c>
      <c r="T125" s="245">
        <v>0</v>
      </c>
      <c r="U125" s="345">
        <v>0</v>
      </c>
      <c r="V125" s="245">
        <v>0</v>
      </c>
      <c r="W125" s="259">
        <f t="shared" si="17"/>
        <v>1</v>
      </c>
      <c r="X125" s="271">
        <f t="shared" si="18"/>
        <v>10</v>
      </c>
      <c r="Z125" s="23" t="s">
        <v>2429</v>
      </c>
    </row>
    <row r="126" hidden="1" spans="1:30">
      <c r="A126" s="323">
        <v>11.09</v>
      </c>
      <c r="B126" s="338">
        <v>5</v>
      </c>
      <c r="C126" s="324">
        <v>5</v>
      </c>
      <c r="D126" s="324">
        <v>22</v>
      </c>
      <c r="E126" s="325">
        <v>0</v>
      </c>
      <c r="F126" s="324" t="s">
        <v>1931</v>
      </c>
      <c r="G126" s="324"/>
      <c r="H126" s="326"/>
      <c r="I126" s="324"/>
      <c r="L126" s="246">
        <v>43</v>
      </c>
      <c r="M126" s="247">
        <v>0</v>
      </c>
      <c r="N126" s="248">
        <v>0</v>
      </c>
      <c r="O126" s="248">
        <v>0</v>
      </c>
      <c r="P126" s="247">
        <v>0</v>
      </c>
      <c r="Q126" s="248">
        <v>0</v>
      </c>
      <c r="R126" s="248">
        <v>20</v>
      </c>
      <c r="S126" s="248">
        <v>0</v>
      </c>
      <c r="T126" s="256">
        <v>0</v>
      </c>
      <c r="U126" s="248">
        <v>0</v>
      </c>
      <c r="V126" s="248">
        <v>0</v>
      </c>
      <c r="W126" s="260">
        <f t="shared" si="17"/>
        <v>2</v>
      </c>
      <c r="X126" s="272">
        <f t="shared" si="18"/>
        <v>20</v>
      </c>
      <c r="Z126" s="128" t="s">
        <v>2430</v>
      </c>
      <c r="AA126" s="128">
        <f>COUNTIF(M124:V133,0)</f>
        <v>79</v>
      </c>
      <c r="AB126" s="273">
        <f t="shared" ref="AB126:AB130" si="25">(AA126/100)</f>
        <v>0.79</v>
      </c>
      <c r="AD126" s="23" t="s">
        <v>2431</v>
      </c>
    </row>
    <row r="127" hidden="1" spans="1:34">
      <c r="A127" s="323">
        <v>11.1</v>
      </c>
      <c r="B127" s="338">
        <v>7</v>
      </c>
      <c r="C127" s="324">
        <v>6</v>
      </c>
      <c r="D127" s="324">
        <v>36</v>
      </c>
      <c r="E127" s="325">
        <v>1</v>
      </c>
      <c r="F127" s="324"/>
      <c r="G127" s="324"/>
      <c r="H127" s="326"/>
      <c r="I127" s="324" t="s">
        <v>2487</v>
      </c>
      <c r="L127" s="244">
        <v>44</v>
      </c>
      <c r="M127" s="245">
        <v>0</v>
      </c>
      <c r="N127" s="245">
        <v>0</v>
      </c>
      <c r="O127" s="245">
        <v>0</v>
      </c>
      <c r="P127" s="245">
        <v>15</v>
      </c>
      <c r="Q127" s="255">
        <v>0</v>
      </c>
      <c r="R127" s="245">
        <v>10</v>
      </c>
      <c r="S127" s="245">
        <v>10</v>
      </c>
      <c r="T127" s="245">
        <v>0</v>
      </c>
      <c r="U127" s="245">
        <v>0</v>
      </c>
      <c r="V127" s="245">
        <v>0</v>
      </c>
      <c r="W127" s="259">
        <f t="shared" si="17"/>
        <v>3.5</v>
      </c>
      <c r="X127" s="271">
        <f t="shared" si="18"/>
        <v>35</v>
      </c>
      <c r="Z127" s="128" t="s">
        <v>2456</v>
      </c>
      <c r="AA127" s="128">
        <f>COUNTIF(M124:V133,10)</f>
        <v>7</v>
      </c>
      <c r="AB127" s="273">
        <f t="shared" si="25"/>
        <v>0.07</v>
      </c>
      <c r="AD127" s="274" t="s">
        <v>2434</v>
      </c>
      <c r="AE127" s="275"/>
      <c r="AF127" s="280" t="s">
        <v>2435</v>
      </c>
      <c r="AG127" s="275" t="s">
        <v>2436</v>
      </c>
      <c r="AH127" s="281"/>
    </row>
    <row r="128" spans="1:33">
      <c r="A128" s="323">
        <v>11.11</v>
      </c>
      <c r="B128" s="338">
        <v>20</v>
      </c>
      <c r="C128" s="324">
        <v>7</v>
      </c>
      <c r="D128" s="324">
        <v>30</v>
      </c>
      <c r="E128" s="325">
        <v>5</v>
      </c>
      <c r="F128" s="324" t="s">
        <v>2488</v>
      </c>
      <c r="G128" s="324" t="s">
        <v>2380</v>
      </c>
      <c r="H128" s="326" t="s">
        <v>2489</v>
      </c>
      <c r="I128" s="324" t="s">
        <v>2490</v>
      </c>
      <c r="J128" s="23" t="s">
        <v>2491</v>
      </c>
      <c r="L128" s="246">
        <v>45</v>
      </c>
      <c r="M128" s="247">
        <v>0</v>
      </c>
      <c r="N128" s="248">
        <v>0</v>
      </c>
      <c r="O128" s="248">
        <v>15</v>
      </c>
      <c r="P128" s="248">
        <v>0</v>
      </c>
      <c r="Q128" s="247">
        <v>0</v>
      </c>
      <c r="R128" s="247">
        <v>0</v>
      </c>
      <c r="S128" s="248">
        <v>10</v>
      </c>
      <c r="T128" s="256">
        <v>0</v>
      </c>
      <c r="U128" s="359">
        <v>0</v>
      </c>
      <c r="V128" s="247">
        <v>0</v>
      </c>
      <c r="W128" s="260">
        <f t="shared" si="17"/>
        <v>2.5</v>
      </c>
      <c r="X128" s="272">
        <f t="shared" si="18"/>
        <v>25</v>
      </c>
      <c r="Z128" s="128" t="s">
        <v>2439</v>
      </c>
      <c r="AA128" s="128">
        <f>COUNTIF(M124:V133,15)</f>
        <v>10</v>
      </c>
      <c r="AB128" s="273">
        <f t="shared" si="25"/>
        <v>0.1</v>
      </c>
      <c r="AD128" s="23" t="s">
        <v>2438</v>
      </c>
      <c r="AF128" s="128">
        <v>9</v>
      </c>
      <c r="AG128" s="282">
        <f t="shared" ref="AG128:AG130" si="26">(AF128/100)</f>
        <v>0.09</v>
      </c>
    </row>
    <row r="129" hidden="1" spans="1:33">
      <c r="A129" s="328">
        <v>11.12</v>
      </c>
      <c r="B129" s="339">
        <v>9</v>
      </c>
      <c r="C129" s="329">
        <v>6</v>
      </c>
      <c r="D129" s="329">
        <v>39</v>
      </c>
      <c r="E129" s="330">
        <v>2</v>
      </c>
      <c r="F129" s="329"/>
      <c r="G129" s="329"/>
      <c r="H129" s="331"/>
      <c r="I129" s="329"/>
      <c r="L129" s="244">
        <v>46</v>
      </c>
      <c r="M129" s="245">
        <v>0</v>
      </c>
      <c r="N129" s="245">
        <v>15</v>
      </c>
      <c r="O129" s="255">
        <v>0</v>
      </c>
      <c r="P129" s="245">
        <v>0</v>
      </c>
      <c r="Q129" s="255">
        <v>0</v>
      </c>
      <c r="R129" s="245">
        <v>0</v>
      </c>
      <c r="S129" s="245">
        <v>0</v>
      </c>
      <c r="T129" s="245">
        <v>0</v>
      </c>
      <c r="U129" s="245">
        <v>30</v>
      </c>
      <c r="V129" s="252">
        <v>0</v>
      </c>
      <c r="W129" s="259">
        <f t="shared" si="17"/>
        <v>4.5</v>
      </c>
      <c r="X129" s="271">
        <f t="shared" si="18"/>
        <v>45</v>
      </c>
      <c r="Z129" s="128" t="s">
        <v>2443</v>
      </c>
      <c r="AA129" s="128">
        <f>COUNTIF(M124:V133,20)</f>
        <v>3</v>
      </c>
      <c r="AB129" s="273">
        <f t="shared" si="25"/>
        <v>0.03</v>
      </c>
      <c r="AD129" s="23" t="s">
        <v>2440</v>
      </c>
      <c r="AF129" s="128">
        <v>14</v>
      </c>
      <c r="AG129" s="282">
        <f t="shared" si="26"/>
        <v>0.14</v>
      </c>
    </row>
    <row r="130" hidden="1" spans="1:33">
      <c r="A130" s="336">
        <v>12.01</v>
      </c>
      <c r="B130" s="368">
        <v>5</v>
      </c>
      <c r="C130" s="233">
        <v>3</v>
      </c>
      <c r="D130" s="233">
        <v>12</v>
      </c>
      <c r="E130" s="232">
        <v>3</v>
      </c>
      <c r="H130" s="322"/>
      <c r="I130" s="320"/>
      <c r="L130" s="246">
        <v>47</v>
      </c>
      <c r="M130" s="248">
        <v>0</v>
      </c>
      <c r="N130" s="248">
        <v>15</v>
      </c>
      <c r="O130" s="248">
        <v>0</v>
      </c>
      <c r="P130" s="248">
        <v>20</v>
      </c>
      <c r="Q130" s="248">
        <v>0</v>
      </c>
      <c r="R130" s="248">
        <v>0</v>
      </c>
      <c r="S130" s="248">
        <v>0</v>
      </c>
      <c r="T130" s="248">
        <v>0</v>
      </c>
      <c r="U130" s="247">
        <v>0</v>
      </c>
      <c r="V130" s="359">
        <v>0</v>
      </c>
      <c r="W130" s="260">
        <f t="shared" si="17"/>
        <v>3.5</v>
      </c>
      <c r="X130" s="272">
        <f t="shared" si="18"/>
        <v>35</v>
      </c>
      <c r="Z130" s="128" t="s">
        <v>2492</v>
      </c>
      <c r="AA130" s="128">
        <f>COUNTIF(M124:V133,30)</f>
        <v>1</v>
      </c>
      <c r="AB130" s="273">
        <f t="shared" si="25"/>
        <v>0.01</v>
      </c>
      <c r="AD130" s="23" t="s">
        <v>2454</v>
      </c>
      <c r="AF130" s="128">
        <v>4</v>
      </c>
      <c r="AG130" s="282">
        <f t="shared" si="26"/>
        <v>0.04</v>
      </c>
    </row>
    <row r="131" hidden="1" spans="1:28">
      <c r="A131" s="323">
        <v>12.02</v>
      </c>
      <c r="B131" s="338">
        <v>6</v>
      </c>
      <c r="C131" s="324">
        <v>5</v>
      </c>
      <c r="D131" s="324">
        <v>21</v>
      </c>
      <c r="E131" s="325">
        <v>3</v>
      </c>
      <c r="F131" s="324"/>
      <c r="G131" s="324"/>
      <c r="H131" s="326"/>
      <c r="I131" s="324"/>
      <c r="L131" s="244">
        <v>48</v>
      </c>
      <c r="M131" s="245">
        <v>0</v>
      </c>
      <c r="N131" s="252">
        <v>0</v>
      </c>
      <c r="O131" s="245">
        <v>0</v>
      </c>
      <c r="P131" s="245">
        <v>0</v>
      </c>
      <c r="Q131" s="245">
        <v>0</v>
      </c>
      <c r="R131" s="245">
        <v>0</v>
      </c>
      <c r="S131" s="245">
        <v>0</v>
      </c>
      <c r="T131" s="245">
        <v>20</v>
      </c>
      <c r="U131" s="252">
        <v>0</v>
      </c>
      <c r="V131" s="245">
        <v>0</v>
      </c>
      <c r="W131" s="259">
        <f t="shared" si="17"/>
        <v>2</v>
      </c>
      <c r="X131" s="271">
        <f t="shared" si="18"/>
        <v>20</v>
      </c>
      <c r="Z131" s="128"/>
      <c r="AA131" s="128"/>
      <c r="AB131" s="273"/>
    </row>
    <row r="132" hidden="1" spans="1:28">
      <c r="A132" s="337">
        <v>12.03</v>
      </c>
      <c r="B132" s="338">
        <v>11</v>
      </c>
      <c r="C132" s="324">
        <v>6</v>
      </c>
      <c r="D132" s="324">
        <v>23</v>
      </c>
      <c r="E132" s="325">
        <v>8</v>
      </c>
      <c r="F132" s="324"/>
      <c r="G132" s="324"/>
      <c r="H132" s="326"/>
      <c r="I132" s="324" t="s">
        <v>2493</v>
      </c>
      <c r="L132" s="246">
        <v>49</v>
      </c>
      <c r="M132" s="248">
        <v>0</v>
      </c>
      <c r="N132" s="248">
        <v>0</v>
      </c>
      <c r="O132" s="247">
        <v>15</v>
      </c>
      <c r="P132" s="248">
        <v>0</v>
      </c>
      <c r="Q132" s="248">
        <v>0</v>
      </c>
      <c r="R132" s="248">
        <v>10</v>
      </c>
      <c r="S132" s="248">
        <v>0</v>
      </c>
      <c r="T132" s="248">
        <v>0</v>
      </c>
      <c r="U132" s="247">
        <v>15</v>
      </c>
      <c r="V132" s="248">
        <v>0</v>
      </c>
      <c r="W132" s="260">
        <f t="shared" si="17"/>
        <v>4</v>
      </c>
      <c r="X132" s="272">
        <f t="shared" si="18"/>
        <v>40</v>
      </c>
      <c r="Y132" s="276">
        <f>AVERAGE(M124:V133)</f>
        <v>3.1</v>
      </c>
      <c r="Z132" s="277" t="s">
        <v>2448</v>
      </c>
      <c r="AA132" s="263"/>
      <c r="AB132" s="264"/>
    </row>
    <row r="133" ht="15" customHeight="1" spans="1:29">
      <c r="A133" s="323">
        <v>12.04</v>
      </c>
      <c r="B133" s="338">
        <v>5</v>
      </c>
      <c r="C133" s="324">
        <v>3</v>
      </c>
      <c r="D133" s="324">
        <v>29</v>
      </c>
      <c r="E133" s="325">
        <v>3</v>
      </c>
      <c r="F133" s="324"/>
      <c r="G133" s="324" t="s">
        <v>1931</v>
      </c>
      <c r="H133" s="326" t="s">
        <v>2405</v>
      </c>
      <c r="I133" s="324" t="s">
        <v>2494</v>
      </c>
      <c r="L133" s="283">
        <v>50</v>
      </c>
      <c r="M133" s="284">
        <v>0</v>
      </c>
      <c r="N133" s="286">
        <v>15</v>
      </c>
      <c r="O133" s="286">
        <v>0</v>
      </c>
      <c r="P133" s="286">
        <v>0</v>
      </c>
      <c r="Q133" s="286">
        <v>15</v>
      </c>
      <c r="R133" s="285">
        <v>0</v>
      </c>
      <c r="S133" s="286">
        <v>0</v>
      </c>
      <c r="T133" s="286">
        <v>10</v>
      </c>
      <c r="U133" s="286">
        <v>0</v>
      </c>
      <c r="V133" s="290">
        <v>0</v>
      </c>
      <c r="W133" s="291">
        <f t="shared" si="17"/>
        <v>4</v>
      </c>
      <c r="X133" s="295">
        <f t="shared" si="18"/>
        <v>40</v>
      </c>
      <c r="Y133" s="278">
        <f>SUM(X124:X133)</f>
        <v>310</v>
      </c>
      <c r="Z133" s="277" t="s">
        <v>2495</v>
      </c>
      <c r="AA133" s="263"/>
      <c r="AB133" s="263"/>
      <c r="AC133" s="264"/>
    </row>
    <row r="134" hidden="1" spans="1:32">
      <c r="A134" s="337">
        <v>12.05</v>
      </c>
      <c r="B134" s="338">
        <v>15</v>
      </c>
      <c r="C134" s="324">
        <v>7</v>
      </c>
      <c r="D134" s="324">
        <v>29</v>
      </c>
      <c r="E134" s="325">
        <v>6</v>
      </c>
      <c r="F134" s="324"/>
      <c r="G134" s="324"/>
      <c r="H134" s="326"/>
      <c r="I134" s="324"/>
      <c r="L134" s="246">
        <v>51</v>
      </c>
      <c r="M134" s="248">
        <v>0</v>
      </c>
      <c r="N134" s="359">
        <v>0</v>
      </c>
      <c r="O134" s="248">
        <v>0</v>
      </c>
      <c r="P134" s="248">
        <v>15</v>
      </c>
      <c r="Q134" s="247">
        <v>0</v>
      </c>
      <c r="R134" s="248">
        <v>0</v>
      </c>
      <c r="S134" s="248">
        <v>0</v>
      </c>
      <c r="T134" s="359">
        <v>0</v>
      </c>
      <c r="U134" s="248">
        <v>20</v>
      </c>
      <c r="V134" s="256">
        <v>0</v>
      </c>
      <c r="W134" s="260">
        <f t="shared" si="17"/>
        <v>3.5</v>
      </c>
      <c r="X134" s="272">
        <f t="shared" si="18"/>
        <v>35</v>
      </c>
      <c r="Z134" s="268" t="s">
        <v>2424</v>
      </c>
      <c r="AA134" s="268"/>
      <c r="AB134" s="269" t="s">
        <v>2425</v>
      </c>
      <c r="AC134" s="269"/>
      <c r="AD134" s="270" t="s">
        <v>2426</v>
      </c>
      <c r="AE134" s="270"/>
      <c r="AF134" s="23" t="s">
        <v>2427</v>
      </c>
    </row>
    <row r="135" hidden="1" spans="1:26">
      <c r="A135" s="323">
        <v>12.06</v>
      </c>
      <c r="B135" s="338">
        <v>13</v>
      </c>
      <c r="C135" s="324">
        <v>8</v>
      </c>
      <c r="D135" s="324">
        <v>34</v>
      </c>
      <c r="E135" s="369" t="s">
        <v>2496</v>
      </c>
      <c r="F135" s="324"/>
      <c r="G135" s="324"/>
      <c r="H135" s="326"/>
      <c r="I135" s="324" t="s">
        <v>2497</v>
      </c>
      <c r="L135" s="244">
        <v>52</v>
      </c>
      <c r="M135" s="245">
        <v>0</v>
      </c>
      <c r="N135" s="255">
        <v>0</v>
      </c>
      <c r="O135" s="245">
        <v>0</v>
      </c>
      <c r="P135" s="245">
        <v>0</v>
      </c>
      <c r="Q135" s="245">
        <v>0</v>
      </c>
      <c r="R135" s="345">
        <v>0</v>
      </c>
      <c r="S135" s="255">
        <v>0</v>
      </c>
      <c r="T135" s="345">
        <v>10</v>
      </c>
      <c r="U135" s="245">
        <v>30</v>
      </c>
      <c r="V135" s="245">
        <v>10</v>
      </c>
      <c r="W135" s="259">
        <f t="shared" si="17"/>
        <v>5</v>
      </c>
      <c r="X135" s="271">
        <f t="shared" si="18"/>
        <v>50</v>
      </c>
      <c r="Z135" s="23" t="s">
        <v>2429</v>
      </c>
    </row>
    <row r="136" hidden="1" spans="1:30">
      <c r="A136" s="337">
        <v>12.07</v>
      </c>
      <c r="B136" s="338">
        <v>10</v>
      </c>
      <c r="C136" s="324">
        <v>6</v>
      </c>
      <c r="D136" s="324">
        <v>29</v>
      </c>
      <c r="E136" s="369" t="s">
        <v>2498</v>
      </c>
      <c r="F136" s="324"/>
      <c r="G136" s="324"/>
      <c r="H136" s="326"/>
      <c r="I136" s="324"/>
      <c r="L136" s="246">
        <v>53</v>
      </c>
      <c r="M136" s="248">
        <v>0</v>
      </c>
      <c r="N136" s="248">
        <v>0</v>
      </c>
      <c r="O136" s="256">
        <v>0</v>
      </c>
      <c r="P136" s="248">
        <v>0</v>
      </c>
      <c r="Q136" s="248">
        <v>15</v>
      </c>
      <c r="R136" s="248">
        <v>0</v>
      </c>
      <c r="S136" s="248">
        <v>0</v>
      </c>
      <c r="T136" s="248">
        <v>0</v>
      </c>
      <c r="U136" s="359">
        <v>0</v>
      </c>
      <c r="V136" s="248">
        <v>0</v>
      </c>
      <c r="W136" s="260">
        <f t="shared" si="17"/>
        <v>1.5</v>
      </c>
      <c r="X136" s="272">
        <f t="shared" si="18"/>
        <v>15</v>
      </c>
      <c r="Z136" s="128" t="s">
        <v>2430</v>
      </c>
      <c r="AA136" s="128">
        <f>COUNTIF(M134:V143,0)</f>
        <v>83</v>
      </c>
      <c r="AB136" s="273">
        <f t="shared" ref="AB136:AB141" si="27">(AA136/100)</f>
        <v>0.83</v>
      </c>
      <c r="AD136" s="23" t="s">
        <v>2431</v>
      </c>
    </row>
    <row r="137" hidden="1" spans="1:34">
      <c r="A137" s="323">
        <v>12.08</v>
      </c>
      <c r="B137" s="338">
        <v>7</v>
      </c>
      <c r="C137" s="324">
        <v>5</v>
      </c>
      <c r="D137" s="324">
        <v>39</v>
      </c>
      <c r="E137" s="325">
        <v>5</v>
      </c>
      <c r="F137" s="324"/>
      <c r="G137" s="324"/>
      <c r="H137" s="326"/>
      <c r="I137" s="324" t="s">
        <v>2499</v>
      </c>
      <c r="L137" s="244">
        <v>54</v>
      </c>
      <c r="M137" s="255">
        <v>0</v>
      </c>
      <c r="N137" s="245">
        <v>0</v>
      </c>
      <c r="O137" s="245">
        <v>0</v>
      </c>
      <c r="P137" s="245">
        <v>0</v>
      </c>
      <c r="Q137" s="245">
        <v>0</v>
      </c>
      <c r="R137" s="245">
        <v>0</v>
      </c>
      <c r="S137" s="245">
        <v>0</v>
      </c>
      <c r="T137" s="245">
        <v>0</v>
      </c>
      <c r="U137" s="245">
        <v>10</v>
      </c>
      <c r="V137" s="245">
        <v>0</v>
      </c>
      <c r="W137" s="259">
        <f t="shared" si="17"/>
        <v>1</v>
      </c>
      <c r="X137" s="271">
        <f t="shared" si="18"/>
        <v>10</v>
      </c>
      <c r="Z137" s="128" t="s">
        <v>2456</v>
      </c>
      <c r="AA137" s="128">
        <f>COUNTIF(M134:V143,10)</f>
        <v>8</v>
      </c>
      <c r="AB137" s="273">
        <f t="shared" si="27"/>
        <v>0.08</v>
      </c>
      <c r="AD137" s="274" t="s">
        <v>2434</v>
      </c>
      <c r="AE137" s="275"/>
      <c r="AF137" s="280" t="s">
        <v>2435</v>
      </c>
      <c r="AG137" s="275" t="s">
        <v>2436</v>
      </c>
      <c r="AH137" s="281"/>
    </row>
    <row r="138" hidden="1" spans="1:33">
      <c r="A138" s="337">
        <v>12.09</v>
      </c>
      <c r="B138" s="338">
        <v>6</v>
      </c>
      <c r="C138" s="324">
        <v>5</v>
      </c>
      <c r="D138" s="324">
        <v>36</v>
      </c>
      <c r="E138" s="325">
        <v>4</v>
      </c>
      <c r="F138" s="324"/>
      <c r="G138" s="324"/>
      <c r="H138" s="326"/>
      <c r="I138" s="324"/>
      <c r="L138" s="246">
        <v>55</v>
      </c>
      <c r="M138" s="248">
        <v>0</v>
      </c>
      <c r="N138" s="256">
        <v>0</v>
      </c>
      <c r="O138" s="247">
        <v>0</v>
      </c>
      <c r="P138" s="248">
        <v>0</v>
      </c>
      <c r="Q138" s="248">
        <v>0</v>
      </c>
      <c r="R138" s="256">
        <v>0</v>
      </c>
      <c r="S138" s="247">
        <v>0</v>
      </c>
      <c r="T138" s="247">
        <v>10</v>
      </c>
      <c r="U138" s="256">
        <v>20</v>
      </c>
      <c r="V138" s="248">
        <v>10</v>
      </c>
      <c r="W138" s="260">
        <f t="shared" si="17"/>
        <v>4</v>
      </c>
      <c r="X138" s="272">
        <f t="shared" si="18"/>
        <v>40</v>
      </c>
      <c r="Z138" s="128" t="s">
        <v>2439</v>
      </c>
      <c r="AA138" s="128">
        <f>COUNTIF(M134:V143,15)</f>
        <v>3</v>
      </c>
      <c r="AB138" s="273">
        <f t="shared" si="27"/>
        <v>0.03</v>
      </c>
      <c r="AD138" s="23" t="s">
        <v>2447</v>
      </c>
      <c r="AF138" s="128">
        <v>9</v>
      </c>
      <c r="AG138" s="282">
        <f t="shared" ref="AG138:AG140" si="28">(AF138/100)</f>
        <v>0.09</v>
      </c>
    </row>
    <row r="139" hidden="1" spans="1:33">
      <c r="A139" s="323">
        <v>12.1</v>
      </c>
      <c r="B139" s="338">
        <v>7</v>
      </c>
      <c r="C139" s="324">
        <v>3</v>
      </c>
      <c r="D139" s="324">
        <v>6</v>
      </c>
      <c r="E139" s="325">
        <v>2</v>
      </c>
      <c r="F139" s="324"/>
      <c r="G139" s="324"/>
      <c r="H139" s="326"/>
      <c r="I139" s="324"/>
      <c r="L139" s="244">
        <v>56</v>
      </c>
      <c r="M139" s="245">
        <v>10</v>
      </c>
      <c r="N139" s="255">
        <v>0</v>
      </c>
      <c r="O139" s="245">
        <v>0</v>
      </c>
      <c r="P139" s="255">
        <v>0</v>
      </c>
      <c r="Q139" s="252">
        <v>20</v>
      </c>
      <c r="R139" s="245">
        <v>0</v>
      </c>
      <c r="S139" s="245">
        <v>10</v>
      </c>
      <c r="T139" s="245">
        <v>0</v>
      </c>
      <c r="U139" s="245">
        <v>0</v>
      </c>
      <c r="V139" s="245">
        <v>0</v>
      </c>
      <c r="W139" s="259">
        <f t="shared" si="17"/>
        <v>4</v>
      </c>
      <c r="X139" s="271">
        <f t="shared" si="18"/>
        <v>40</v>
      </c>
      <c r="Z139" s="128" t="s">
        <v>2443</v>
      </c>
      <c r="AA139" s="128">
        <f>COUNTIF(M134:V143,20)</f>
        <v>3</v>
      </c>
      <c r="AB139" s="273">
        <f t="shared" si="27"/>
        <v>0.03</v>
      </c>
      <c r="AD139" s="23" t="s">
        <v>2440</v>
      </c>
      <c r="AF139" s="128">
        <v>13</v>
      </c>
      <c r="AG139" s="282">
        <f t="shared" si="28"/>
        <v>0.13</v>
      </c>
    </row>
    <row r="140" hidden="1" spans="1:33">
      <c r="A140" s="337">
        <v>12.11</v>
      </c>
      <c r="B140" s="338">
        <v>15</v>
      </c>
      <c r="C140" s="324">
        <v>10</v>
      </c>
      <c r="D140" s="324">
        <v>47</v>
      </c>
      <c r="E140" s="369" t="s">
        <v>2500</v>
      </c>
      <c r="F140" s="324"/>
      <c r="G140" s="324"/>
      <c r="H140" s="326"/>
      <c r="I140" s="324" t="s">
        <v>2501</v>
      </c>
      <c r="L140" s="246">
        <v>57</v>
      </c>
      <c r="M140" s="248">
        <v>0</v>
      </c>
      <c r="N140" s="248">
        <v>0</v>
      </c>
      <c r="O140" s="248">
        <v>0</v>
      </c>
      <c r="P140" s="248">
        <v>30</v>
      </c>
      <c r="Q140" s="248">
        <v>0</v>
      </c>
      <c r="R140" s="359">
        <v>0</v>
      </c>
      <c r="S140" s="248">
        <v>35</v>
      </c>
      <c r="T140" s="248">
        <v>0</v>
      </c>
      <c r="U140" s="248">
        <v>0</v>
      </c>
      <c r="V140" s="248">
        <v>0</v>
      </c>
      <c r="W140" s="260">
        <f t="shared" si="17"/>
        <v>6.5</v>
      </c>
      <c r="X140" s="272">
        <f t="shared" si="18"/>
        <v>65</v>
      </c>
      <c r="Z140" s="128" t="s">
        <v>2492</v>
      </c>
      <c r="AA140" s="128">
        <f>COUNTIF(M134:V143,30)</f>
        <v>2</v>
      </c>
      <c r="AB140" s="273">
        <f t="shared" si="27"/>
        <v>0.02</v>
      </c>
      <c r="AD140" s="23" t="s">
        <v>2442</v>
      </c>
      <c r="AF140" s="128">
        <v>7</v>
      </c>
      <c r="AG140" s="282">
        <f t="shared" si="28"/>
        <v>0.07</v>
      </c>
    </row>
    <row r="141" hidden="1" spans="1:28">
      <c r="A141" s="328">
        <v>12.12</v>
      </c>
      <c r="B141" s="339">
        <v>14</v>
      </c>
      <c r="C141" s="329">
        <v>10</v>
      </c>
      <c r="D141" s="329">
        <v>59</v>
      </c>
      <c r="E141" s="330">
        <v>7</v>
      </c>
      <c r="F141" s="329"/>
      <c r="G141" s="329"/>
      <c r="H141" s="331"/>
      <c r="I141" s="329"/>
      <c r="L141" s="244">
        <v>58</v>
      </c>
      <c r="M141" s="245">
        <v>0</v>
      </c>
      <c r="N141" s="345">
        <v>0</v>
      </c>
      <c r="O141" s="255">
        <v>0</v>
      </c>
      <c r="P141" s="245">
        <v>0</v>
      </c>
      <c r="Q141" s="252">
        <v>0</v>
      </c>
      <c r="R141" s="245">
        <v>0</v>
      </c>
      <c r="S141" s="245">
        <v>0</v>
      </c>
      <c r="T141" s="255">
        <v>0</v>
      </c>
      <c r="U141" s="245">
        <v>15</v>
      </c>
      <c r="V141" s="245">
        <v>0</v>
      </c>
      <c r="W141" s="259">
        <f t="shared" si="17"/>
        <v>1.5</v>
      </c>
      <c r="X141" s="271">
        <f t="shared" si="18"/>
        <v>15</v>
      </c>
      <c r="Z141" s="128" t="s">
        <v>2502</v>
      </c>
      <c r="AA141" s="128">
        <f>COUNTIF(M134:V143,35)</f>
        <v>1</v>
      </c>
      <c r="AB141" s="273">
        <f t="shared" si="27"/>
        <v>0.01</v>
      </c>
    </row>
    <row r="142" hidden="1" spans="1:28">
      <c r="A142" s="332">
        <v>13.01</v>
      </c>
      <c r="B142" s="340">
        <v>6</v>
      </c>
      <c r="C142" s="320">
        <v>4</v>
      </c>
      <c r="D142" s="320">
        <v>23</v>
      </c>
      <c r="E142" s="321">
        <v>0</v>
      </c>
      <c r="F142" s="320"/>
      <c r="G142" s="320"/>
      <c r="H142" s="322"/>
      <c r="I142" s="320"/>
      <c r="L142" s="246">
        <v>59</v>
      </c>
      <c r="M142" s="247">
        <v>0</v>
      </c>
      <c r="N142" s="248">
        <v>0</v>
      </c>
      <c r="O142" s="248">
        <v>0</v>
      </c>
      <c r="P142" s="247">
        <v>10</v>
      </c>
      <c r="Q142" s="248">
        <v>0</v>
      </c>
      <c r="R142" s="248">
        <v>0</v>
      </c>
      <c r="S142" s="256">
        <v>0</v>
      </c>
      <c r="T142" s="248">
        <v>0</v>
      </c>
      <c r="U142" s="248">
        <v>0</v>
      </c>
      <c r="V142" s="256">
        <v>0</v>
      </c>
      <c r="W142" s="260">
        <f t="shared" si="17"/>
        <v>1</v>
      </c>
      <c r="X142" s="272">
        <f t="shared" si="18"/>
        <v>10</v>
      </c>
      <c r="Y142" s="276">
        <f>AVERAGE(M134:V143)</f>
        <v>2.8</v>
      </c>
      <c r="Z142" s="277" t="s">
        <v>2448</v>
      </c>
      <c r="AA142" s="263"/>
      <c r="AB142" s="264"/>
    </row>
    <row r="143" hidden="1" spans="1:29">
      <c r="A143" s="323">
        <v>13.02</v>
      </c>
      <c r="B143" s="338">
        <v>9</v>
      </c>
      <c r="C143" s="324">
        <v>3</v>
      </c>
      <c r="D143" s="324">
        <v>20</v>
      </c>
      <c r="E143" s="325">
        <v>4</v>
      </c>
      <c r="F143" s="324"/>
      <c r="G143" s="324"/>
      <c r="H143" s="326"/>
      <c r="I143" s="324" t="s">
        <v>2503</v>
      </c>
      <c r="L143" s="300">
        <v>60</v>
      </c>
      <c r="M143" s="287">
        <v>0</v>
      </c>
      <c r="N143" s="288">
        <v>0</v>
      </c>
      <c r="O143" s="288">
        <v>0</v>
      </c>
      <c r="P143" s="288">
        <v>0</v>
      </c>
      <c r="Q143" s="288">
        <v>0</v>
      </c>
      <c r="R143" s="288">
        <v>0</v>
      </c>
      <c r="S143" s="288">
        <v>0</v>
      </c>
      <c r="T143" s="288">
        <v>0</v>
      </c>
      <c r="U143" s="288">
        <v>0</v>
      </c>
      <c r="V143" s="293">
        <v>0</v>
      </c>
      <c r="W143" s="261">
        <f t="shared" si="17"/>
        <v>0</v>
      </c>
      <c r="X143" s="294">
        <f t="shared" si="18"/>
        <v>0</v>
      </c>
      <c r="Y143" s="278">
        <f>SUM(X134:X143)</f>
        <v>280</v>
      </c>
      <c r="Z143" s="277" t="s">
        <v>2460</v>
      </c>
      <c r="AA143" s="263"/>
      <c r="AB143" s="263"/>
      <c r="AC143" s="264"/>
    </row>
    <row r="144" hidden="1" spans="1:32">
      <c r="A144" s="323">
        <v>13.03</v>
      </c>
      <c r="B144" s="338">
        <v>8</v>
      </c>
      <c r="C144" s="324">
        <v>4</v>
      </c>
      <c r="D144" s="324">
        <v>24</v>
      </c>
      <c r="E144" s="325">
        <v>3</v>
      </c>
      <c r="F144" s="324"/>
      <c r="G144" s="324"/>
      <c r="H144" s="326"/>
      <c r="I144" s="324"/>
      <c r="L144" s="241">
        <v>61</v>
      </c>
      <c r="M144" s="248">
        <v>0</v>
      </c>
      <c r="N144" s="248">
        <v>0</v>
      </c>
      <c r="O144" s="359">
        <v>0</v>
      </c>
      <c r="P144" s="248">
        <v>10</v>
      </c>
      <c r="Q144" s="248">
        <v>0</v>
      </c>
      <c r="R144" s="248">
        <v>0</v>
      </c>
      <c r="S144" s="248">
        <v>0</v>
      </c>
      <c r="T144" s="248">
        <v>0</v>
      </c>
      <c r="U144" s="248">
        <v>0</v>
      </c>
      <c r="V144" s="247">
        <v>0</v>
      </c>
      <c r="W144" s="260">
        <f t="shared" si="17"/>
        <v>1</v>
      </c>
      <c r="X144" s="272">
        <f t="shared" si="18"/>
        <v>10</v>
      </c>
      <c r="Z144" s="268" t="s">
        <v>2454</v>
      </c>
      <c r="AA144" s="268"/>
      <c r="AB144" s="269" t="s">
        <v>2425</v>
      </c>
      <c r="AC144" s="269"/>
      <c r="AD144" s="270" t="s">
        <v>2426</v>
      </c>
      <c r="AE144" s="270"/>
      <c r="AF144" s="23" t="s">
        <v>2427</v>
      </c>
    </row>
    <row r="145" hidden="1" spans="1:26">
      <c r="A145" s="323">
        <v>13.04</v>
      </c>
      <c r="B145" s="355">
        <v>8</v>
      </c>
      <c r="C145" s="333">
        <v>4</v>
      </c>
      <c r="D145" s="333">
        <v>24</v>
      </c>
      <c r="E145" s="325">
        <v>1</v>
      </c>
      <c r="F145" s="333"/>
      <c r="G145" s="333"/>
      <c r="H145" s="370"/>
      <c r="I145" s="333"/>
      <c r="L145" s="244">
        <v>62</v>
      </c>
      <c r="M145" s="255">
        <v>0</v>
      </c>
      <c r="N145" s="245">
        <v>0</v>
      </c>
      <c r="O145" s="252">
        <v>0</v>
      </c>
      <c r="P145" s="245">
        <v>15</v>
      </c>
      <c r="Q145" s="245">
        <v>0</v>
      </c>
      <c r="R145" s="245">
        <v>0</v>
      </c>
      <c r="S145" s="245">
        <v>0</v>
      </c>
      <c r="T145" s="377">
        <v>0</v>
      </c>
      <c r="U145" s="245">
        <v>0</v>
      </c>
      <c r="V145" s="245">
        <v>0</v>
      </c>
      <c r="W145" s="259">
        <f t="shared" si="17"/>
        <v>1.5</v>
      </c>
      <c r="X145" s="271">
        <f t="shared" si="18"/>
        <v>15</v>
      </c>
      <c r="Z145" s="23" t="s">
        <v>2429</v>
      </c>
    </row>
    <row r="146" hidden="1" spans="1:30">
      <c r="A146" s="323">
        <v>13.05</v>
      </c>
      <c r="B146" s="338">
        <v>5</v>
      </c>
      <c r="C146" s="324">
        <v>4</v>
      </c>
      <c r="D146" s="324">
        <v>22</v>
      </c>
      <c r="E146" s="325">
        <v>1</v>
      </c>
      <c r="F146" s="324"/>
      <c r="G146" s="324"/>
      <c r="H146" s="326"/>
      <c r="I146" s="324"/>
      <c r="L146" s="246">
        <v>63</v>
      </c>
      <c r="M146" s="248">
        <v>0</v>
      </c>
      <c r="N146" s="248">
        <v>10</v>
      </c>
      <c r="O146" s="248">
        <v>0</v>
      </c>
      <c r="P146" s="248">
        <v>0</v>
      </c>
      <c r="Q146" s="248">
        <v>15</v>
      </c>
      <c r="R146" s="248">
        <v>10</v>
      </c>
      <c r="S146" s="256">
        <v>0</v>
      </c>
      <c r="T146" s="247">
        <v>0</v>
      </c>
      <c r="U146" s="248">
        <v>0</v>
      </c>
      <c r="V146" s="248">
        <v>0</v>
      </c>
      <c r="W146" s="260">
        <f t="shared" si="17"/>
        <v>3.5</v>
      </c>
      <c r="X146" s="272">
        <f t="shared" si="18"/>
        <v>35</v>
      </c>
      <c r="Z146" s="128" t="s">
        <v>2430</v>
      </c>
      <c r="AA146" s="128">
        <f>COUNTIF(M144:V153,0)</f>
        <v>84</v>
      </c>
      <c r="AB146" s="273">
        <f t="shared" ref="AB146:AB151" si="29">(AA146/100)</f>
        <v>0.84</v>
      </c>
      <c r="AD146" s="23" t="s">
        <v>2431</v>
      </c>
    </row>
    <row r="147" hidden="1" spans="1:34">
      <c r="A147" s="323">
        <v>13.06</v>
      </c>
      <c r="B147" s="338">
        <v>9</v>
      </c>
      <c r="C147" s="324">
        <v>4</v>
      </c>
      <c r="D147" s="324">
        <v>20</v>
      </c>
      <c r="E147" s="325">
        <v>3</v>
      </c>
      <c r="F147" s="324"/>
      <c r="G147" s="324"/>
      <c r="H147" s="326"/>
      <c r="I147" s="324"/>
      <c r="L147" s="244">
        <v>64</v>
      </c>
      <c r="M147" s="245">
        <v>0</v>
      </c>
      <c r="N147" s="245">
        <v>0</v>
      </c>
      <c r="O147" s="245">
        <v>0</v>
      </c>
      <c r="P147" s="245">
        <v>0</v>
      </c>
      <c r="Q147" s="245">
        <v>0</v>
      </c>
      <c r="R147" s="245">
        <v>0</v>
      </c>
      <c r="S147" s="245">
        <v>15</v>
      </c>
      <c r="T147" s="245">
        <v>0</v>
      </c>
      <c r="U147" s="255">
        <v>10</v>
      </c>
      <c r="V147" s="245">
        <v>0</v>
      </c>
      <c r="W147" s="259">
        <f t="shared" si="17"/>
        <v>2.5</v>
      </c>
      <c r="X147" s="271">
        <f t="shared" si="18"/>
        <v>25</v>
      </c>
      <c r="Z147" s="128" t="s">
        <v>2456</v>
      </c>
      <c r="AA147" s="128">
        <f>COUNTIF(M144:V153,10)</f>
        <v>6</v>
      </c>
      <c r="AB147" s="273">
        <f t="shared" si="29"/>
        <v>0.06</v>
      </c>
      <c r="AD147" s="274" t="s">
        <v>2434</v>
      </c>
      <c r="AE147" s="275"/>
      <c r="AF147" s="280" t="s">
        <v>2435</v>
      </c>
      <c r="AG147" s="275" t="s">
        <v>2436</v>
      </c>
      <c r="AH147" s="281"/>
    </row>
    <row r="148" hidden="1" spans="1:33">
      <c r="A148" s="323">
        <v>13.07</v>
      </c>
      <c r="B148" s="338">
        <v>6</v>
      </c>
      <c r="C148" s="324">
        <v>4</v>
      </c>
      <c r="D148" s="324">
        <v>24</v>
      </c>
      <c r="E148" s="325">
        <v>0</v>
      </c>
      <c r="F148" s="324"/>
      <c r="G148" s="324"/>
      <c r="H148" s="326"/>
      <c r="I148" s="324"/>
      <c r="L148" s="246">
        <v>65</v>
      </c>
      <c r="M148" s="248">
        <v>0</v>
      </c>
      <c r="N148" s="248">
        <v>20</v>
      </c>
      <c r="O148" s="248">
        <v>0</v>
      </c>
      <c r="P148" s="248">
        <v>0</v>
      </c>
      <c r="Q148" s="248">
        <v>0</v>
      </c>
      <c r="R148" s="248">
        <v>15</v>
      </c>
      <c r="S148" s="256">
        <v>0</v>
      </c>
      <c r="T148" s="247">
        <v>0</v>
      </c>
      <c r="U148" s="248">
        <v>0</v>
      </c>
      <c r="V148" s="248">
        <v>10</v>
      </c>
      <c r="W148" s="260">
        <f t="shared" ref="W148:W211" si="30">AVERAGE(M148:V148)</f>
        <v>4.5</v>
      </c>
      <c r="X148" s="272">
        <f t="shared" ref="X148:X211" si="31">SUM(M148:V148)</f>
        <v>45</v>
      </c>
      <c r="Z148" s="128" t="s">
        <v>2439</v>
      </c>
      <c r="AA148" s="128">
        <f>COUNTIF(M144:V153,15)</f>
        <v>7</v>
      </c>
      <c r="AB148" s="273">
        <f t="shared" si="29"/>
        <v>0.07</v>
      </c>
      <c r="AD148" s="23" t="s">
        <v>2438</v>
      </c>
      <c r="AF148" s="128">
        <v>8</v>
      </c>
      <c r="AG148" s="282">
        <f t="shared" ref="AG148:AG150" si="32">(AF148/100)</f>
        <v>0.08</v>
      </c>
    </row>
    <row r="149" hidden="1" spans="1:33">
      <c r="A149" s="323">
        <v>13.08</v>
      </c>
      <c r="B149" s="338">
        <v>7</v>
      </c>
      <c r="C149" s="324">
        <v>4</v>
      </c>
      <c r="D149" s="324">
        <v>23</v>
      </c>
      <c r="E149" s="325">
        <v>1</v>
      </c>
      <c r="F149" s="324"/>
      <c r="G149" s="324"/>
      <c r="H149" s="326"/>
      <c r="I149" s="324" t="s">
        <v>2504</v>
      </c>
      <c r="L149" s="244">
        <v>66</v>
      </c>
      <c r="M149" s="345">
        <v>0</v>
      </c>
      <c r="N149" s="245">
        <v>15</v>
      </c>
      <c r="O149" s="245">
        <v>0</v>
      </c>
      <c r="P149" s="252">
        <v>0</v>
      </c>
      <c r="Q149" s="245">
        <v>0</v>
      </c>
      <c r="R149" s="252">
        <v>0</v>
      </c>
      <c r="S149" s="245">
        <v>0</v>
      </c>
      <c r="T149" s="245">
        <v>15</v>
      </c>
      <c r="U149" s="245">
        <v>0</v>
      </c>
      <c r="V149" s="345">
        <v>0</v>
      </c>
      <c r="W149" s="259">
        <f t="shared" si="30"/>
        <v>3</v>
      </c>
      <c r="X149" s="271">
        <f t="shared" si="31"/>
        <v>30</v>
      </c>
      <c r="Z149" s="128" t="s">
        <v>2443</v>
      </c>
      <c r="AA149" s="128">
        <f>COUNTIF(M144:V153,20)</f>
        <v>1</v>
      </c>
      <c r="AB149" s="273">
        <f t="shared" si="29"/>
        <v>0.01</v>
      </c>
      <c r="AD149" s="23" t="s">
        <v>2440</v>
      </c>
      <c r="AF149" s="128">
        <v>14</v>
      </c>
      <c r="AG149" s="282">
        <f t="shared" si="32"/>
        <v>0.14</v>
      </c>
    </row>
    <row r="150" hidden="1" spans="1:33">
      <c r="A150" s="323">
        <v>13.09</v>
      </c>
      <c r="B150" s="338"/>
      <c r="C150" s="324"/>
      <c r="D150" s="324"/>
      <c r="E150" s="325"/>
      <c r="F150" s="324"/>
      <c r="G150" s="324"/>
      <c r="H150" s="326"/>
      <c r="I150" s="324"/>
      <c r="L150" s="246">
        <v>67</v>
      </c>
      <c r="M150" s="248">
        <v>0</v>
      </c>
      <c r="N150" s="248">
        <v>0</v>
      </c>
      <c r="O150" s="248">
        <v>0</v>
      </c>
      <c r="P150" s="247">
        <v>15</v>
      </c>
      <c r="Q150" s="248">
        <v>0</v>
      </c>
      <c r="R150" s="247">
        <v>0</v>
      </c>
      <c r="S150" s="248">
        <v>0</v>
      </c>
      <c r="T150" s="247">
        <v>0</v>
      </c>
      <c r="U150" s="248">
        <v>0</v>
      </c>
      <c r="V150" s="248">
        <v>0</v>
      </c>
      <c r="W150" s="260">
        <f t="shared" si="30"/>
        <v>1.5</v>
      </c>
      <c r="X150" s="272">
        <f t="shared" si="31"/>
        <v>15</v>
      </c>
      <c r="Z150" s="128" t="s">
        <v>2505</v>
      </c>
      <c r="AA150" s="128">
        <f>COUNTIF(M144:V153,25)</f>
        <v>1</v>
      </c>
      <c r="AB150" s="273">
        <f t="shared" si="29"/>
        <v>0.01</v>
      </c>
      <c r="AD150" s="23" t="s">
        <v>2454</v>
      </c>
      <c r="AF150" s="128">
        <v>4</v>
      </c>
      <c r="AG150" s="282">
        <f t="shared" si="32"/>
        <v>0.04</v>
      </c>
    </row>
    <row r="151" hidden="1" spans="1:28">
      <c r="A151" s="323">
        <v>13.1</v>
      </c>
      <c r="B151" s="338"/>
      <c r="C151" s="324"/>
      <c r="D151" s="324"/>
      <c r="E151" s="325"/>
      <c r="F151" s="324"/>
      <c r="G151" s="324"/>
      <c r="H151" s="326"/>
      <c r="I151" s="324"/>
      <c r="L151" s="244">
        <v>68</v>
      </c>
      <c r="M151" s="245">
        <v>0</v>
      </c>
      <c r="N151" s="245">
        <v>0</v>
      </c>
      <c r="O151" s="255">
        <v>0</v>
      </c>
      <c r="P151" s="245">
        <v>0</v>
      </c>
      <c r="Q151" s="245">
        <v>25</v>
      </c>
      <c r="R151" s="245">
        <v>0</v>
      </c>
      <c r="S151" s="245">
        <v>0</v>
      </c>
      <c r="T151" s="245">
        <v>0</v>
      </c>
      <c r="U151" s="255">
        <v>0</v>
      </c>
      <c r="V151" s="245">
        <v>10</v>
      </c>
      <c r="W151" s="259">
        <f t="shared" si="30"/>
        <v>3.5</v>
      </c>
      <c r="X151" s="271">
        <f t="shared" si="31"/>
        <v>35</v>
      </c>
      <c r="Z151" s="128" t="s">
        <v>2492</v>
      </c>
      <c r="AA151" s="128">
        <f>COUNTIF(M144:V153,30)</f>
        <v>1</v>
      </c>
      <c r="AB151" s="273">
        <f t="shared" si="29"/>
        <v>0.01</v>
      </c>
    </row>
    <row r="152" hidden="1" spans="1:28">
      <c r="A152" s="323">
        <v>13.11</v>
      </c>
      <c r="B152" s="338"/>
      <c r="C152" s="324"/>
      <c r="D152" s="324"/>
      <c r="E152" s="325"/>
      <c r="F152" s="324"/>
      <c r="G152" s="324"/>
      <c r="H152" s="326"/>
      <c r="I152" s="324"/>
      <c r="L152" s="246">
        <v>69</v>
      </c>
      <c r="M152" s="248">
        <v>0</v>
      </c>
      <c r="N152" s="248">
        <v>0</v>
      </c>
      <c r="O152" s="248">
        <v>0</v>
      </c>
      <c r="P152" s="248">
        <v>0</v>
      </c>
      <c r="Q152" s="247">
        <v>0</v>
      </c>
      <c r="R152" s="247">
        <v>0</v>
      </c>
      <c r="S152" s="248">
        <v>0</v>
      </c>
      <c r="T152" s="247">
        <v>0</v>
      </c>
      <c r="U152" s="248">
        <v>0</v>
      </c>
      <c r="V152" s="247">
        <v>0</v>
      </c>
      <c r="W152" s="260">
        <f t="shared" si="30"/>
        <v>0</v>
      </c>
      <c r="X152" s="272">
        <f t="shared" si="31"/>
        <v>0</v>
      </c>
      <c r="Y152" s="276">
        <f>AVERAGE(M144:V153)</f>
        <v>2.4</v>
      </c>
      <c r="Z152" s="277" t="s">
        <v>2448</v>
      </c>
      <c r="AA152" s="263"/>
      <c r="AB152" s="264"/>
    </row>
    <row r="153" hidden="1" spans="1:29">
      <c r="A153" s="328">
        <v>13.12</v>
      </c>
      <c r="B153" s="339"/>
      <c r="C153" s="329"/>
      <c r="D153" s="329"/>
      <c r="E153" s="330"/>
      <c r="F153" s="329"/>
      <c r="G153" s="329"/>
      <c r="H153" s="331"/>
      <c r="I153" s="329"/>
      <c r="L153" s="300">
        <v>70</v>
      </c>
      <c r="M153" s="287">
        <v>0</v>
      </c>
      <c r="N153" s="288">
        <v>0</v>
      </c>
      <c r="O153" s="288">
        <v>0</v>
      </c>
      <c r="P153" s="288">
        <v>0</v>
      </c>
      <c r="Q153" s="301">
        <v>0</v>
      </c>
      <c r="R153" s="288">
        <v>0</v>
      </c>
      <c r="S153" s="301">
        <v>0</v>
      </c>
      <c r="T153" s="288">
        <v>0</v>
      </c>
      <c r="U153" s="288">
        <v>0</v>
      </c>
      <c r="V153" s="293">
        <v>30</v>
      </c>
      <c r="W153" s="261">
        <f t="shared" si="30"/>
        <v>3</v>
      </c>
      <c r="X153" s="294">
        <f t="shared" si="31"/>
        <v>30</v>
      </c>
      <c r="Y153" s="278">
        <f>SUM(X144:X153)</f>
        <v>240</v>
      </c>
      <c r="Z153" s="277" t="s">
        <v>2460</v>
      </c>
      <c r="AA153" s="263"/>
      <c r="AB153" s="263"/>
      <c r="AC153" s="264"/>
    </row>
    <row r="154" hidden="1" spans="2:32">
      <c r="B154" s="368"/>
      <c r="E154" s="321"/>
      <c r="G154" s="233" t="s">
        <v>2313</v>
      </c>
      <c r="H154" s="371"/>
      <c r="L154" s="246">
        <v>71</v>
      </c>
      <c r="M154" s="242">
        <v>0</v>
      </c>
      <c r="N154" s="242">
        <v>10</v>
      </c>
      <c r="O154" s="242">
        <v>0</v>
      </c>
      <c r="P154" s="242">
        <v>15</v>
      </c>
      <c r="Q154" s="257">
        <v>0</v>
      </c>
      <c r="R154" s="242">
        <v>10</v>
      </c>
      <c r="S154" s="242">
        <v>10</v>
      </c>
      <c r="T154" s="257">
        <v>0</v>
      </c>
      <c r="U154" s="243">
        <v>0</v>
      </c>
      <c r="V154" s="242">
        <v>0</v>
      </c>
      <c r="W154" s="258">
        <f t="shared" si="30"/>
        <v>4.5</v>
      </c>
      <c r="X154" s="267">
        <f t="shared" si="31"/>
        <v>45</v>
      </c>
      <c r="Z154" s="268" t="s">
        <v>2454</v>
      </c>
      <c r="AA154" s="268"/>
      <c r="AB154" s="269" t="s">
        <v>2425</v>
      </c>
      <c r="AC154" s="269"/>
      <c r="AD154" s="270" t="s">
        <v>2506</v>
      </c>
      <c r="AE154" s="270"/>
      <c r="AF154" s="23" t="s">
        <v>2427</v>
      </c>
    </row>
    <row r="155" hidden="1" spans="1:26">
      <c r="A155" s="372"/>
      <c r="B155" s="355"/>
      <c r="C155" s="333"/>
      <c r="D155" s="333"/>
      <c r="E155" s="232"/>
      <c r="F155" s="333"/>
      <c r="G155" s="333" t="s">
        <v>1931</v>
      </c>
      <c r="H155" s="370"/>
      <c r="I155" s="333"/>
      <c r="L155" s="244">
        <v>72</v>
      </c>
      <c r="M155" s="245">
        <v>0</v>
      </c>
      <c r="N155" s="245">
        <v>15</v>
      </c>
      <c r="O155" s="245">
        <v>0</v>
      </c>
      <c r="P155" s="255">
        <v>10</v>
      </c>
      <c r="Q155" s="245">
        <v>0</v>
      </c>
      <c r="R155" s="345">
        <v>0</v>
      </c>
      <c r="S155" s="255">
        <v>0</v>
      </c>
      <c r="T155" s="245">
        <v>0</v>
      </c>
      <c r="U155" s="255">
        <v>0</v>
      </c>
      <c r="V155" s="245">
        <v>0</v>
      </c>
      <c r="W155" s="259">
        <f t="shared" si="30"/>
        <v>2.5</v>
      </c>
      <c r="X155" s="271">
        <f t="shared" si="31"/>
        <v>25</v>
      </c>
      <c r="Z155" s="23" t="s">
        <v>2429</v>
      </c>
    </row>
    <row r="156" spans="12:30">
      <c r="L156" s="246">
        <v>73</v>
      </c>
      <c r="M156" s="248">
        <v>0</v>
      </c>
      <c r="N156" s="248">
        <v>0</v>
      </c>
      <c r="O156" s="248">
        <v>15</v>
      </c>
      <c r="P156" s="248">
        <v>0</v>
      </c>
      <c r="Q156" s="248">
        <v>0</v>
      </c>
      <c r="R156" s="248">
        <v>15</v>
      </c>
      <c r="S156" s="248">
        <v>0</v>
      </c>
      <c r="T156" s="247">
        <v>0</v>
      </c>
      <c r="U156" s="247">
        <v>0</v>
      </c>
      <c r="V156" s="248">
        <v>0</v>
      </c>
      <c r="W156" s="260">
        <f t="shared" si="30"/>
        <v>3</v>
      </c>
      <c r="X156" s="272">
        <f t="shared" si="31"/>
        <v>30</v>
      </c>
      <c r="Z156" s="128" t="s">
        <v>2430</v>
      </c>
      <c r="AA156" s="128">
        <f>COUNTIF(M154:V163,0)</f>
        <v>80</v>
      </c>
      <c r="AB156" s="273">
        <f t="shared" ref="AB156:AB160" si="33">(AA156/100)</f>
        <v>0.8</v>
      </c>
      <c r="AD156" s="23" t="s">
        <v>2431</v>
      </c>
    </row>
    <row r="157" spans="12:34">
      <c r="L157" s="244">
        <v>74</v>
      </c>
      <c r="M157" s="252">
        <v>0</v>
      </c>
      <c r="N157" s="255">
        <v>10</v>
      </c>
      <c r="O157" s="245">
        <v>0</v>
      </c>
      <c r="P157" s="252">
        <v>0</v>
      </c>
      <c r="Q157" s="245">
        <v>10</v>
      </c>
      <c r="R157" s="245">
        <v>0</v>
      </c>
      <c r="S157" s="245">
        <v>0</v>
      </c>
      <c r="T157" s="245">
        <v>0</v>
      </c>
      <c r="U157" s="245">
        <v>0</v>
      </c>
      <c r="V157" s="255">
        <v>0</v>
      </c>
      <c r="W157" s="259">
        <f t="shared" si="30"/>
        <v>2</v>
      </c>
      <c r="X157" s="271">
        <f t="shared" si="31"/>
        <v>20</v>
      </c>
      <c r="Z157" s="128" t="s">
        <v>2456</v>
      </c>
      <c r="AA157" s="128">
        <f>COUNTIF(M154:V163,10)</f>
        <v>9</v>
      </c>
      <c r="AB157" s="273">
        <f t="shared" si="33"/>
        <v>0.09</v>
      </c>
      <c r="AD157" s="274" t="s">
        <v>2434</v>
      </c>
      <c r="AE157" s="275"/>
      <c r="AF157" s="280" t="s">
        <v>2435</v>
      </c>
      <c r="AG157" s="275" t="s">
        <v>2436</v>
      </c>
      <c r="AH157" s="281"/>
    </row>
    <row r="158" spans="12:33">
      <c r="L158" s="246">
        <v>75</v>
      </c>
      <c r="M158" s="248">
        <v>20</v>
      </c>
      <c r="N158" s="248">
        <v>0</v>
      </c>
      <c r="O158" s="247">
        <v>0</v>
      </c>
      <c r="P158" s="248">
        <v>0</v>
      </c>
      <c r="Q158" s="248">
        <v>0</v>
      </c>
      <c r="R158" s="247">
        <v>0</v>
      </c>
      <c r="S158" s="248">
        <v>0</v>
      </c>
      <c r="T158" s="256">
        <v>0</v>
      </c>
      <c r="U158" s="248">
        <v>0</v>
      </c>
      <c r="V158" s="256">
        <v>0</v>
      </c>
      <c r="W158" s="260">
        <f t="shared" si="30"/>
        <v>2</v>
      </c>
      <c r="X158" s="272">
        <f t="shared" si="31"/>
        <v>20</v>
      </c>
      <c r="Z158" s="128" t="s">
        <v>2439</v>
      </c>
      <c r="AA158" s="128">
        <f>COUNTIF(M154:V163,15)</f>
        <v>8</v>
      </c>
      <c r="AB158" s="273">
        <f t="shared" si="33"/>
        <v>0.08</v>
      </c>
      <c r="AD158" s="23" t="s">
        <v>2438</v>
      </c>
      <c r="AF158" s="128">
        <v>9</v>
      </c>
      <c r="AG158" s="282">
        <f t="shared" ref="AG158:AG160" si="34">(AF158/100)</f>
        <v>0.09</v>
      </c>
    </row>
    <row r="159" spans="12:33">
      <c r="L159" s="244">
        <v>76</v>
      </c>
      <c r="M159" s="245">
        <v>0</v>
      </c>
      <c r="N159" s="245">
        <v>0</v>
      </c>
      <c r="O159" s="245">
        <v>0</v>
      </c>
      <c r="P159" s="245">
        <v>0</v>
      </c>
      <c r="Q159" s="245">
        <v>0</v>
      </c>
      <c r="R159" s="245">
        <v>0</v>
      </c>
      <c r="S159" s="245">
        <v>0</v>
      </c>
      <c r="T159" s="245">
        <v>15</v>
      </c>
      <c r="U159" s="255">
        <v>0</v>
      </c>
      <c r="V159" s="245">
        <v>0</v>
      </c>
      <c r="W159" s="259">
        <f t="shared" si="30"/>
        <v>1.5</v>
      </c>
      <c r="X159" s="271">
        <f t="shared" si="31"/>
        <v>15</v>
      </c>
      <c r="Z159" s="128" t="s">
        <v>2443</v>
      </c>
      <c r="AA159" s="128">
        <f>COUNTIF(M154:V163,20)</f>
        <v>2</v>
      </c>
      <c r="AB159" s="273">
        <f t="shared" si="33"/>
        <v>0.02</v>
      </c>
      <c r="AD159" s="23" t="s">
        <v>2440</v>
      </c>
      <c r="AF159" s="128">
        <v>21</v>
      </c>
      <c r="AG159" s="282">
        <f t="shared" si="34"/>
        <v>0.21</v>
      </c>
    </row>
    <row r="160" spans="12:33">
      <c r="L160" s="246">
        <v>77</v>
      </c>
      <c r="M160" s="248">
        <v>0</v>
      </c>
      <c r="N160" s="247">
        <v>0</v>
      </c>
      <c r="O160" s="248">
        <v>0</v>
      </c>
      <c r="P160" s="248">
        <v>0</v>
      </c>
      <c r="Q160" s="248">
        <v>0</v>
      </c>
      <c r="R160" s="248">
        <v>25</v>
      </c>
      <c r="S160" s="248">
        <v>20</v>
      </c>
      <c r="T160" s="248">
        <v>0</v>
      </c>
      <c r="U160" s="248">
        <v>0</v>
      </c>
      <c r="V160" s="248">
        <v>0</v>
      </c>
      <c r="W160" s="260">
        <f t="shared" si="30"/>
        <v>4.5</v>
      </c>
      <c r="X160" s="272">
        <f t="shared" si="31"/>
        <v>45</v>
      </c>
      <c r="Z160" s="128" t="s">
        <v>2505</v>
      </c>
      <c r="AA160" s="128">
        <f>COUNTIF(M154:V163,25)</f>
        <v>1</v>
      </c>
      <c r="AB160" s="273">
        <f t="shared" si="33"/>
        <v>0.01</v>
      </c>
      <c r="AD160" s="23" t="s">
        <v>2424</v>
      </c>
      <c r="AF160" s="128">
        <v>4</v>
      </c>
      <c r="AG160" s="282">
        <f t="shared" si="34"/>
        <v>0.04</v>
      </c>
    </row>
    <row r="161" spans="12:28">
      <c r="L161" s="244">
        <v>78</v>
      </c>
      <c r="M161" s="245">
        <v>15</v>
      </c>
      <c r="N161" s="255">
        <v>0</v>
      </c>
      <c r="O161" s="255">
        <v>0</v>
      </c>
      <c r="P161" s="245">
        <v>0</v>
      </c>
      <c r="Q161" s="255">
        <v>0</v>
      </c>
      <c r="R161" s="252">
        <v>0</v>
      </c>
      <c r="S161" s="245">
        <v>0</v>
      </c>
      <c r="T161" s="245">
        <v>0</v>
      </c>
      <c r="U161" s="245">
        <v>0</v>
      </c>
      <c r="V161" s="252">
        <v>15</v>
      </c>
      <c r="W161" s="259">
        <f t="shared" si="30"/>
        <v>3</v>
      </c>
      <c r="X161" s="271">
        <f t="shared" si="31"/>
        <v>30</v>
      </c>
      <c r="Z161" s="128"/>
      <c r="AA161" s="128"/>
      <c r="AB161" s="273"/>
    </row>
    <row r="162" spans="12:28">
      <c r="L162" s="246">
        <v>79</v>
      </c>
      <c r="M162" s="248">
        <v>0</v>
      </c>
      <c r="N162" s="248">
        <v>10</v>
      </c>
      <c r="O162" s="256">
        <v>0</v>
      </c>
      <c r="P162" s="247">
        <v>0</v>
      </c>
      <c r="Q162" s="248">
        <v>10</v>
      </c>
      <c r="R162" s="247">
        <v>0</v>
      </c>
      <c r="S162" s="248">
        <v>0</v>
      </c>
      <c r="T162" s="359">
        <v>0</v>
      </c>
      <c r="U162" s="248">
        <v>0</v>
      </c>
      <c r="V162" s="248">
        <v>15</v>
      </c>
      <c r="W162" s="260">
        <f t="shared" si="30"/>
        <v>3.5</v>
      </c>
      <c r="X162" s="272">
        <f t="shared" si="31"/>
        <v>35</v>
      </c>
      <c r="Y162" s="276">
        <f>AVERAGE(M154:V163)</f>
        <v>2.75</v>
      </c>
      <c r="Z162" s="277" t="s">
        <v>2448</v>
      </c>
      <c r="AA162" s="263"/>
      <c r="AB162" s="264"/>
    </row>
    <row r="163" spans="12:29">
      <c r="L163" s="300">
        <v>80</v>
      </c>
      <c r="M163" s="245">
        <v>10</v>
      </c>
      <c r="N163" s="245">
        <v>0</v>
      </c>
      <c r="O163" s="374">
        <v>0</v>
      </c>
      <c r="P163" s="255">
        <v>0</v>
      </c>
      <c r="Q163" s="255">
        <v>0</v>
      </c>
      <c r="R163" s="245">
        <v>0</v>
      </c>
      <c r="S163" s="245">
        <v>0</v>
      </c>
      <c r="T163" s="255">
        <v>0</v>
      </c>
      <c r="U163" s="245">
        <v>0</v>
      </c>
      <c r="V163" s="345">
        <v>0</v>
      </c>
      <c r="W163" s="261">
        <f t="shared" si="30"/>
        <v>1</v>
      </c>
      <c r="X163" s="271">
        <f t="shared" si="31"/>
        <v>10</v>
      </c>
      <c r="Y163" s="278">
        <f>SUM(X154:X163)</f>
        <v>275</v>
      </c>
      <c r="Z163" s="277" t="s">
        <v>2460</v>
      </c>
      <c r="AA163" s="263"/>
      <c r="AB163" s="263"/>
      <c r="AC163" s="264"/>
    </row>
    <row r="164" spans="12:32">
      <c r="L164" s="246">
        <v>81</v>
      </c>
      <c r="M164" s="242">
        <v>0</v>
      </c>
      <c r="N164" s="242">
        <v>0</v>
      </c>
      <c r="O164" s="242">
        <v>0</v>
      </c>
      <c r="P164" s="257">
        <v>0</v>
      </c>
      <c r="Q164" s="242">
        <v>15</v>
      </c>
      <c r="R164" s="242">
        <v>0</v>
      </c>
      <c r="S164" s="243">
        <v>0</v>
      </c>
      <c r="T164" s="242">
        <v>0</v>
      </c>
      <c r="U164" s="257">
        <v>0</v>
      </c>
      <c r="V164" s="242">
        <v>0</v>
      </c>
      <c r="W164" s="258">
        <f t="shared" si="30"/>
        <v>1.5</v>
      </c>
      <c r="X164" s="267">
        <f t="shared" si="31"/>
        <v>15</v>
      </c>
      <c r="Z164" s="268" t="s">
        <v>2424</v>
      </c>
      <c r="AA164" s="268"/>
      <c r="AB164" s="269" t="s">
        <v>2425</v>
      </c>
      <c r="AC164" s="269"/>
      <c r="AD164" s="270" t="s">
        <v>2426</v>
      </c>
      <c r="AE164" s="270"/>
      <c r="AF164" s="23" t="s">
        <v>2427</v>
      </c>
    </row>
    <row r="165" s="23" customFormat="1" spans="12:26">
      <c r="L165" s="244">
        <v>82</v>
      </c>
      <c r="M165" s="245">
        <v>0</v>
      </c>
      <c r="N165" s="245">
        <v>0</v>
      </c>
      <c r="O165" s="245">
        <v>0</v>
      </c>
      <c r="P165" s="245">
        <v>0</v>
      </c>
      <c r="Q165" s="245">
        <v>20</v>
      </c>
      <c r="R165" s="245">
        <v>0</v>
      </c>
      <c r="S165" s="245">
        <v>15</v>
      </c>
      <c r="T165" s="255">
        <v>0</v>
      </c>
      <c r="U165" s="345">
        <v>0</v>
      </c>
      <c r="V165" s="245">
        <v>0</v>
      </c>
      <c r="W165" s="259">
        <f t="shared" si="30"/>
        <v>3.5</v>
      </c>
      <c r="X165" s="271">
        <f t="shared" si="31"/>
        <v>35</v>
      </c>
      <c r="Z165" s="23" t="s">
        <v>2429</v>
      </c>
    </row>
    <row r="166" s="23" customFormat="1" spans="12:30">
      <c r="L166" s="246">
        <v>83</v>
      </c>
      <c r="M166" s="248">
        <v>0</v>
      </c>
      <c r="N166" s="256">
        <v>0</v>
      </c>
      <c r="O166" s="248">
        <v>0</v>
      </c>
      <c r="P166" s="248">
        <v>0</v>
      </c>
      <c r="Q166" s="248">
        <v>0</v>
      </c>
      <c r="R166" s="248">
        <v>0</v>
      </c>
      <c r="S166" s="248">
        <v>0</v>
      </c>
      <c r="T166" s="248">
        <v>0</v>
      </c>
      <c r="U166" s="375">
        <v>0</v>
      </c>
      <c r="V166" s="378">
        <v>0</v>
      </c>
      <c r="W166" s="260">
        <f t="shared" si="30"/>
        <v>0</v>
      </c>
      <c r="X166" s="272">
        <f t="shared" si="31"/>
        <v>0</v>
      </c>
      <c r="Z166" s="128" t="s">
        <v>2430</v>
      </c>
      <c r="AA166" s="128">
        <f>COUNTIF(M164:V173,0)</f>
        <v>84</v>
      </c>
      <c r="AB166" s="273">
        <f t="shared" ref="AB166:AB171" si="35">(AA166/100)</f>
        <v>0.84</v>
      </c>
      <c r="AD166" s="23" t="s">
        <v>2431</v>
      </c>
    </row>
    <row r="167" s="23" customFormat="1" spans="12:34">
      <c r="L167" s="244">
        <v>84</v>
      </c>
      <c r="M167" s="245">
        <v>0</v>
      </c>
      <c r="N167" s="245">
        <v>0</v>
      </c>
      <c r="O167" s="245">
        <v>0</v>
      </c>
      <c r="P167" s="245">
        <v>0</v>
      </c>
      <c r="Q167" s="245">
        <v>0</v>
      </c>
      <c r="R167" s="245">
        <v>0</v>
      </c>
      <c r="S167" s="245">
        <v>20</v>
      </c>
      <c r="T167" s="245">
        <v>0</v>
      </c>
      <c r="U167" s="245">
        <v>0</v>
      </c>
      <c r="V167" s="245">
        <v>0</v>
      </c>
      <c r="W167" s="259">
        <f t="shared" si="30"/>
        <v>2</v>
      </c>
      <c r="X167" s="271">
        <f t="shared" si="31"/>
        <v>20</v>
      </c>
      <c r="Z167" s="128" t="s">
        <v>2456</v>
      </c>
      <c r="AA167" s="128">
        <f>COUNTIF(M164:V173,10)</f>
        <v>4</v>
      </c>
      <c r="AB167" s="273">
        <f t="shared" si="35"/>
        <v>0.04</v>
      </c>
      <c r="AD167" s="274" t="s">
        <v>2434</v>
      </c>
      <c r="AE167" s="275"/>
      <c r="AF167" s="280" t="s">
        <v>2435</v>
      </c>
      <c r="AG167" s="275" t="s">
        <v>2436</v>
      </c>
      <c r="AH167" s="281"/>
    </row>
    <row r="168" s="23" customFormat="1" spans="12:33">
      <c r="L168" s="246">
        <v>85</v>
      </c>
      <c r="M168" s="248">
        <v>0</v>
      </c>
      <c r="N168" s="256">
        <v>0</v>
      </c>
      <c r="O168" s="248">
        <v>0</v>
      </c>
      <c r="P168" s="248">
        <v>0</v>
      </c>
      <c r="Q168" s="248">
        <v>0</v>
      </c>
      <c r="R168" s="248">
        <v>15</v>
      </c>
      <c r="S168" s="248">
        <v>0</v>
      </c>
      <c r="T168" s="248">
        <v>10</v>
      </c>
      <c r="U168" s="247">
        <v>0</v>
      </c>
      <c r="V168" s="248">
        <v>0</v>
      </c>
      <c r="W168" s="260">
        <f t="shared" si="30"/>
        <v>2.5</v>
      </c>
      <c r="X168" s="272">
        <f t="shared" si="31"/>
        <v>25</v>
      </c>
      <c r="Z168" s="128" t="s">
        <v>2439</v>
      </c>
      <c r="AA168" s="128">
        <f>COUNTIF(M164:V173,15)</f>
        <v>6</v>
      </c>
      <c r="AB168" s="273">
        <f t="shared" si="35"/>
        <v>0.06</v>
      </c>
      <c r="AD168" s="23" t="s">
        <v>2438</v>
      </c>
      <c r="AF168" s="128">
        <v>13</v>
      </c>
      <c r="AG168" s="282">
        <f t="shared" ref="AG168:AG170" si="36">(AF168/100)</f>
        <v>0.13</v>
      </c>
    </row>
    <row r="169" s="23" customFormat="1" spans="12:33">
      <c r="L169" s="244">
        <v>86</v>
      </c>
      <c r="M169" s="345">
        <v>0</v>
      </c>
      <c r="N169" s="245">
        <v>0</v>
      </c>
      <c r="O169" s="245">
        <v>15</v>
      </c>
      <c r="P169" s="345">
        <v>0</v>
      </c>
      <c r="Q169" s="255">
        <v>0</v>
      </c>
      <c r="R169" s="245">
        <v>0</v>
      </c>
      <c r="S169" s="252">
        <v>0</v>
      </c>
      <c r="T169" s="252">
        <v>0</v>
      </c>
      <c r="U169" s="245">
        <v>0</v>
      </c>
      <c r="V169" s="252">
        <v>0</v>
      </c>
      <c r="W169" s="259">
        <f t="shared" si="30"/>
        <v>1.5</v>
      </c>
      <c r="X169" s="271">
        <f t="shared" si="31"/>
        <v>15</v>
      </c>
      <c r="Z169" s="128" t="s">
        <v>2443</v>
      </c>
      <c r="AA169" s="128">
        <f>COUNTIF(M164:V173,20)</f>
        <v>5</v>
      </c>
      <c r="AB169" s="273">
        <f t="shared" si="35"/>
        <v>0.05</v>
      </c>
      <c r="AD169" s="23" t="s">
        <v>2440</v>
      </c>
      <c r="AF169" s="128">
        <v>7</v>
      </c>
      <c r="AG169" s="282">
        <f t="shared" si="36"/>
        <v>0.07</v>
      </c>
    </row>
    <row r="170" s="23" customFormat="1" spans="12:33">
      <c r="L170" s="246">
        <v>87</v>
      </c>
      <c r="M170" s="248">
        <v>20</v>
      </c>
      <c r="N170" s="248">
        <v>0</v>
      </c>
      <c r="O170" s="248">
        <v>0</v>
      </c>
      <c r="P170" s="247">
        <v>0</v>
      </c>
      <c r="Q170" s="248">
        <v>0</v>
      </c>
      <c r="R170" s="248">
        <v>0</v>
      </c>
      <c r="S170" s="248">
        <v>0</v>
      </c>
      <c r="T170" s="248">
        <v>15</v>
      </c>
      <c r="U170" s="256">
        <v>0</v>
      </c>
      <c r="V170" s="248">
        <v>0</v>
      </c>
      <c r="W170" s="260">
        <f t="shared" si="30"/>
        <v>3.5</v>
      </c>
      <c r="X170" s="272">
        <f t="shared" si="31"/>
        <v>35</v>
      </c>
      <c r="Z170" s="128" t="s">
        <v>2492</v>
      </c>
      <c r="AA170" s="128">
        <f>COUNTIF(M164:V173,30)</f>
        <v>0</v>
      </c>
      <c r="AB170" s="273">
        <f t="shared" si="35"/>
        <v>0</v>
      </c>
      <c r="AD170" s="23" t="s">
        <v>2442</v>
      </c>
      <c r="AF170" s="128">
        <v>6</v>
      </c>
      <c r="AG170" s="282">
        <f t="shared" si="36"/>
        <v>0.06</v>
      </c>
    </row>
    <row r="171" s="23" customFormat="1" spans="12:28">
      <c r="L171" s="244">
        <v>88</v>
      </c>
      <c r="M171" s="245">
        <v>0</v>
      </c>
      <c r="N171" s="245">
        <v>0</v>
      </c>
      <c r="O171" s="245">
        <v>0</v>
      </c>
      <c r="P171" s="252">
        <v>0</v>
      </c>
      <c r="Q171" s="345">
        <v>0</v>
      </c>
      <c r="R171" s="255">
        <v>20</v>
      </c>
      <c r="S171" s="245">
        <v>0</v>
      </c>
      <c r="T171" s="245">
        <v>0</v>
      </c>
      <c r="U171" s="245">
        <v>0</v>
      </c>
      <c r="V171" s="245">
        <v>15</v>
      </c>
      <c r="W171" s="259">
        <f t="shared" si="30"/>
        <v>3.5</v>
      </c>
      <c r="X171" s="271">
        <f t="shared" si="31"/>
        <v>35</v>
      </c>
      <c r="Z171" s="128" t="s">
        <v>2502</v>
      </c>
      <c r="AA171" s="128">
        <f>COUNTIF(M164:V173,35)</f>
        <v>1</v>
      </c>
      <c r="AB171" s="273">
        <f t="shared" si="35"/>
        <v>0.01</v>
      </c>
    </row>
    <row r="172" s="23" customFormat="1" spans="12:28">
      <c r="L172" s="246">
        <v>89</v>
      </c>
      <c r="M172" s="248">
        <v>0</v>
      </c>
      <c r="N172" s="256">
        <v>0</v>
      </c>
      <c r="O172" s="248">
        <v>0</v>
      </c>
      <c r="P172" s="248">
        <v>10</v>
      </c>
      <c r="Q172" s="248">
        <v>10</v>
      </c>
      <c r="R172" s="248">
        <v>35</v>
      </c>
      <c r="S172" s="248">
        <v>0</v>
      </c>
      <c r="T172" s="248">
        <v>0</v>
      </c>
      <c r="U172" s="359">
        <v>0</v>
      </c>
      <c r="V172" s="248">
        <v>0</v>
      </c>
      <c r="W172" s="260">
        <f t="shared" si="30"/>
        <v>5.5</v>
      </c>
      <c r="X172" s="272">
        <f t="shared" si="31"/>
        <v>55</v>
      </c>
      <c r="Y172" s="276">
        <f>AVERAGE(M164:V173)</f>
        <v>2.65</v>
      </c>
      <c r="Z172" s="277" t="s">
        <v>2444</v>
      </c>
      <c r="AA172" s="263"/>
      <c r="AB172" s="264"/>
    </row>
    <row r="173" s="23" customFormat="1" spans="12:29">
      <c r="L173" s="300">
        <v>90</v>
      </c>
      <c r="M173" s="245">
        <v>0</v>
      </c>
      <c r="N173" s="252">
        <v>0</v>
      </c>
      <c r="O173" s="245">
        <v>0</v>
      </c>
      <c r="P173" s="245">
        <v>20</v>
      </c>
      <c r="Q173" s="245">
        <v>10</v>
      </c>
      <c r="R173" s="245">
        <v>0</v>
      </c>
      <c r="S173" s="245">
        <v>0</v>
      </c>
      <c r="T173" s="245">
        <v>0</v>
      </c>
      <c r="U173" s="245">
        <v>0</v>
      </c>
      <c r="V173" s="245">
        <v>0</v>
      </c>
      <c r="W173" s="261">
        <f t="shared" si="30"/>
        <v>3</v>
      </c>
      <c r="X173" s="271">
        <f t="shared" si="31"/>
        <v>30</v>
      </c>
      <c r="Y173" s="278">
        <f>SUM(X164:X173)</f>
        <v>265</v>
      </c>
      <c r="Z173" s="277" t="s">
        <v>2460</v>
      </c>
      <c r="AA173" s="263"/>
      <c r="AB173" s="263"/>
      <c r="AC173" s="264"/>
    </row>
    <row r="174" s="23" customFormat="1" spans="12:31">
      <c r="L174" s="241">
        <v>91</v>
      </c>
      <c r="M174" s="242">
        <v>0</v>
      </c>
      <c r="N174" s="242">
        <v>0</v>
      </c>
      <c r="O174" s="242">
        <v>0</v>
      </c>
      <c r="P174" s="242">
        <v>0</v>
      </c>
      <c r="Q174" s="242">
        <v>25</v>
      </c>
      <c r="R174" s="242">
        <v>0</v>
      </c>
      <c r="S174" s="242">
        <v>0</v>
      </c>
      <c r="T174" s="242">
        <v>0</v>
      </c>
      <c r="U174" s="242">
        <v>0</v>
      </c>
      <c r="V174" s="243">
        <v>15</v>
      </c>
      <c r="W174" s="258">
        <f t="shared" si="30"/>
        <v>4</v>
      </c>
      <c r="X174" s="267">
        <f t="shared" si="31"/>
        <v>40</v>
      </c>
      <c r="Z174" s="268" t="s">
        <v>2424</v>
      </c>
      <c r="AA174" s="268"/>
      <c r="AB174" s="269" t="s">
        <v>2425</v>
      </c>
      <c r="AC174" s="269"/>
      <c r="AD174" s="270" t="s">
        <v>2426</v>
      </c>
      <c r="AE174" s="270"/>
    </row>
    <row r="175" s="23" customFormat="1" spans="12:26">
      <c r="L175" s="244">
        <v>92</v>
      </c>
      <c r="M175" s="245">
        <v>0</v>
      </c>
      <c r="N175" s="245">
        <v>0</v>
      </c>
      <c r="O175" s="245">
        <v>0</v>
      </c>
      <c r="P175" s="345">
        <v>0</v>
      </c>
      <c r="Q175" s="245">
        <v>0</v>
      </c>
      <c r="R175" s="245">
        <v>10</v>
      </c>
      <c r="S175" s="252">
        <v>15</v>
      </c>
      <c r="T175" s="245">
        <v>0</v>
      </c>
      <c r="U175" s="252">
        <v>0</v>
      </c>
      <c r="V175" s="245">
        <v>0</v>
      </c>
      <c r="W175" s="259">
        <f t="shared" si="30"/>
        <v>2.5</v>
      </c>
      <c r="X175" s="271">
        <f t="shared" si="31"/>
        <v>25</v>
      </c>
      <c r="Z175" s="23" t="s">
        <v>2429</v>
      </c>
    </row>
    <row r="176" s="23" customFormat="1" spans="12:30">
      <c r="L176" s="246">
        <v>93</v>
      </c>
      <c r="M176" s="256">
        <v>0</v>
      </c>
      <c r="N176" s="247">
        <v>0</v>
      </c>
      <c r="O176" s="248">
        <v>0</v>
      </c>
      <c r="P176" s="375">
        <v>0</v>
      </c>
      <c r="Q176" s="256">
        <v>0</v>
      </c>
      <c r="R176" s="248">
        <v>0</v>
      </c>
      <c r="S176" s="248">
        <v>0</v>
      </c>
      <c r="T176" s="248">
        <v>0</v>
      </c>
      <c r="U176" s="248">
        <v>0</v>
      </c>
      <c r="V176" s="256">
        <v>0</v>
      </c>
      <c r="W176" s="260">
        <f t="shared" si="30"/>
        <v>0</v>
      </c>
      <c r="X176" s="272">
        <f t="shared" si="31"/>
        <v>0</v>
      </c>
      <c r="Z176" s="128" t="s">
        <v>2430</v>
      </c>
      <c r="AA176" s="128">
        <f>COUNTIF(M174:V183,0)</f>
        <v>88</v>
      </c>
      <c r="AB176" s="273">
        <f t="shared" ref="AB176:AB180" si="37">(AA176/100)</f>
        <v>0.88</v>
      </c>
      <c r="AD176" s="23" t="s">
        <v>2431</v>
      </c>
    </row>
    <row r="177" s="23" customFormat="1" spans="12:34">
      <c r="L177" s="244">
        <v>94</v>
      </c>
      <c r="M177" s="245">
        <v>0</v>
      </c>
      <c r="N177" s="245">
        <v>0</v>
      </c>
      <c r="O177" s="345">
        <v>0</v>
      </c>
      <c r="P177" s="245">
        <v>0</v>
      </c>
      <c r="Q177" s="245">
        <v>0</v>
      </c>
      <c r="R177" s="245">
        <v>15</v>
      </c>
      <c r="S177" s="245">
        <v>0</v>
      </c>
      <c r="T177" s="245">
        <v>0</v>
      </c>
      <c r="U177" s="245">
        <v>0</v>
      </c>
      <c r="V177" s="245">
        <v>15</v>
      </c>
      <c r="W177" s="259">
        <f t="shared" si="30"/>
        <v>3</v>
      </c>
      <c r="X177" s="271">
        <f t="shared" si="31"/>
        <v>30</v>
      </c>
      <c r="Z177" s="128" t="s">
        <v>2456</v>
      </c>
      <c r="AA177" s="128">
        <f>COUNTIF(M174:V183,10)</f>
        <v>5</v>
      </c>
      <c r="AB177" s="273">
        <f t="shared" si="37"/>
        <v>0.05</v>
      </c>
      <c r="AD177" s="274" t="s">
        <v>2434</v>
      </c>
      <c r="AE177" s="275"/>
      <c r="AF177" s="280" t="s">
        <v>2435</v>
      </c>
      <c r="AG177" s="275" t="s">
        <v>2436</v>
      </c>
      <c r="AH177" s="281"/>
    </row>
    <row r="178" s="23" customFormat="1" spans="12:33">
      <c r="L178" s="246">
        <v>95</v>
      </c>
      <c r="M178" s="359">
        <v>0</v>
      </c>
      <c r="N178" s="248">
        <v>10</v>
      </c>
      <c r="O178" s="376">
        <v>0</v>
      </c>
      <c r="P178" s="359">
        <v>0</v>
      </c>
      <c r="Q178" s="256">
        <v>0</v>
      </c>
      <c r="R178" s="248">
        <v>0</v>
      </c>
      <c r="S178" s="248">
        <v>0</v>
      </c>
      <c r="T178" s="248">
        <v>0</v>
      </c>
      <c r="U178" s="248">
        <v>0</v>
      </c>
      <c r="V178" s="247">
        <v>0</v>
      </c>
      <c r="W178" s="260">
        <f t="shared" si="30"/>
        <v>1</v>
      </c>
      <c r="X178" s="272">
        <f t="shared" si="31"/>
        <v>10</v>
      </c>
      <c r="Z178" s="128" t="s">
        <v>2439</v>
      </c>
      <c r="AA178" s="128">
        <f>COUNTIF(M174:V183,15)</f>
        <v>6</v>
      </c>
      <c r="AB178" s="273">
        <f t="shared" si="37"/>
        <v>0.06</v>
      </c>
      <c r="AD178" s="23" t="s">
        <v>2438</v>
      </c>
      <c r="AF178" s="128">
        <v>10</v>
      </c>
      <c r="AG178" s="282">
        <f t="shared" ref="AG178:AG180" si="38">(AF178/100)</f>
        <v>0.1</v>
      </c>
    </row>
    <row r="179" s="23" customFormat="1" spans="12:33">
      <c r="L179" s="244">
        <v>96</v>
      </c>
      <c r="M179" s="245">
        <v>0</v>
      </c>
      <c r="N179" s="255">
        <v>0</v>
      </c>
      <c r="O179" s="345">
        <v>0</v>
      </c>
      <c r="P179" s="245">
        <v>0</v>
      </c>
      <c r="Q179" s="245">
        <v>0</v>
      </c>
      <c r="R179" s="245">
        <v>0</v>
      </c>
      <c r="S179" s="245">
        <v>0</v>
      </c>
      <c r="T179" s="245">
        <v>0</v>
      </c>
      <c r="U179" s="245">
        <v>0</v>
      </c>
      <c r="V179" s="245">
        <v>0</v>
      </c>
      <c r="W179" s="259">
        <f t="shared" si="30"/>
        <v>0</v>
      </c>
      <c r="X179" s="271">
        <f t="shared" si="31"/>
        <v>0</v>
      </c>
      <c r="Z179" s="128" t="s">
        <v>2443</v>
      </c>
      <c r="AA179" s="128">
        <f>COUNTIF(M174:V183,20)</f>
        <v>0</v>
      </c>
      <c r="AB179" s="273">
        <f t="shared" si="37"/>
        <v>0</v>
      </c>
      <c r="AD179" s="23" t="s">
        <v>2440</v>
      </c>
      <c r="AF179" s="128">
        <v>10</v>
      </c>
      <c r="AG179" s="282">
        <f t="shared" si="38"/>
        <v>0.1</v>
      </c>
    </row>
    <row r="180" s="23" customFormat="1" spans="12:33">
      <c r="L180" s="246">
        <v>97</v>
      </c>
      <c r="M180" s="248">
        <v>0</v>
      </c>
      <c r="N180" s="248">
        <v>0</v>
      </c>
      <c r="O180" s="248">
        <v>0</v>
      </c>
      <c r="P180" s="247">
        <v>0</v>
      </c>
      <c r="Q180" s="247">
        <v>0</v>
      </c>
      <c r="R180" s="248">
        <v>0</v>
      </c>
      <c r="S180" s="248">
        <v>0</v>
      </c>
      <c r="T180" s="248">
        <v>0</v>
      </c>
      <c r="U180" s="248">
        <v>0</v>
      </c>
      <c r="V180" s="248">
        <v>10</v>
      </c>
      <c r="W180" s="260">
        <f t="shared" si="30"/>
        <v>1</v>
      </c>
      <c r="X180" s="272">
        <f t="shared" si="31"/>
        <v>10</v>
      </c>
      <c r="Z180" s="128" t="s">
        <v>2505</v>
      </c>
      <c r="AA180" s="128">
        <f>COUNTIF(M174:V183,25)</f>
        <v>1</v>
      </c>
      <c r="AB180" s="273">
        <f t="shared" si="37"/>
        <v>0.01</v>
      </c>
      <c r="AD180" s="23" t="s">
        <v>2454</v>
      </c>
      <c r="AF180" s="128">
        <v>7</v>
      </c>
      <c r="AG180" s="282">
        <f t="shared" si="38"/>
        <v>0.07</v>
      </c>
    </row>
    <row r="181" spans="12:28">
      <c r="L181" s="244">
        <v>98</v>
      </c>
      <c r="M181" s="245">
        <v>0</v>
      </c>
      <c r="N181" s="245">
        <v>0</v>
      </c>
      <c r="O181" s="245">
        <v>0</v>
      </c>
      <c r="P181" s="245">
        <v>0</v>
      </c>
      <c r="Q181" s="245">
        <v>0</v>
      </c>
      <c r="R181" s="245">
        <v>0</v>
      </c>
      <c r="S181" s="245">
        <v>15</v>
      </c>
      <c r="T181" s="245">
        <v>0</v>
      </c>
      <c r="U181" s="255">
        <v>0</v>
      </c>
      <c r="V181" s="245">
        <v>0</v>
      </c>
      <c r="W181" s="259">
        <f t="shared" si="30"/>
        <v>1.5</v>
      </c>
      <c r="X181" s="271">
        <f t="shared" si="31"/>
        <v>15</v>
      </c>
      <c r="Z181" s="128"/>
      <c r="AA181" s="128"/>
      <c r="AB181" s="273"/>
    </row>
    <row r="182" spans="1:37">
      <c r="A182" s="373"/>
      <c r="L182" s="246">
        <v>99</v>
      </c>
      <c r="M182" s="256">
        <v>0</v>
      </c>
      <c r="N182" s="248">
        <v>0</v>
      </c>
      <c r="O182" s="248">
        <v>0</v>
      </c>
      <c r="P182" s="248">
        <v>0</v>
      </c>
      <c r="Q182" s="248">
        <v>0</v>
      </c>
      <c r="R182" s="248">
        <v>0</v>
      </c>
      <c r="S182" s="256">
        <v>0</v>
      </c>
      <c r="T182" s="256">
        <v>0</v>
      </c>
      <c r="U182" s="248">
        <v>15</v>
      </c>
      <c r="V182" s="248">
        <v>10</v>
      </c>
      <c r="W182" s="260">
        <f t="shared" si="30"/>
        <v>2.5</v>
      </c>
      <c r="X182" s="272">
        <f t="shared" si="31"/>
        <v>25</v>
      </c>
      <c r="Y182" s="276">
        <f>AVERAGE(M174:V183)</f>
        <v>1.65</v>
      </c>
      <c r="Z182" s="277" t="s">
        <v>2448</v>
      </c>
      <c r="AA182" s="263"/>
      <c r="AB182" s="264"/>
      <c r="AG182" s="265">
        <f>AVERAGE(M84:V183)</f>
        <v>2.66</v>
      </c>
      <c r="AH182" s="385" t="s">
        <v>2507</v>
      </c>
      <c r="AI182" s="263"/>
      <c r="AJ182" s="263"/>
      <c r="AK182" s="386"/>
    </row>
    <row r="183" ht="15" customHeight="1" spans="1:37">
      <c r="A183" s="373"/>
      <c r="L183" s="283">
        <v>100</v>
      </c>
      <c r="M183" s="284">
        <v>0</v>
      </c>
      <c r="N183" s="286">
        <v>0</v>
      </c>
      <c r="O183" s="286">
        <v>0</v>
      </c>
      <c r="P183" s="286">
        <v>0</v>
      </c>
      <c r="Q183" s="286">
        <v>10</v>
      </c>
      <c r="R183" s="285">
        <v>0</v>
      </c>
      <c r="S183" s="286">
        <v>0</v>
      </c>
      <c r="T183" s="286">
        <v>0</v>
      </c>
      <c r="U183" s="286">
        <v>0</v>
      </c>
      <c r="V183" s="379">
        <v>0</v>
      </c>
      <c r="W183" s="291">
        <f t="shared" si="30"/>
        <v>1</v>
      </c>
      <c r="X183" s="295">
        <f t="shared" si="31"/>
        <v>10</v>
      </c>
      <c r="Y183" s="380">
        <f>SUM(X174:X183)</f>
        <v>165</v>
      </c>
      <c r="Z183" s="381" t="s">
        <v>2460</v>
      </c>
      <c r="AA183" s="382"/>
      <c r="AB183" s="382"/>
      <c r="AC183" s="383"/>
      <c r="AD183" s="384"/>
      <c r="AE183" s="384"/>
      <c r="AF183" s="384"/>
      <c r="AG183" s="387">
        <f>SUM(X84:X183)</f>
        <v>2660</v>
      </c>
      <c r="AH183" s="388" t="s">
        <v>2508</v>
      </c>
      <c r="AI183" s="382"/>
      <c r="AJ183" s="382"/>
      <c r="AK183" s="389"/>
    </row>
    <row r="184" spans="1:32">
      <c r="A184" s="373"/>
      <c r="L184" s="241">
        <v>101</v>
      </c>
      <c r="M184" s="248">
        <v>20</v>
      </c>
      <c r="N184" s="256">
        <v>0</v>
      </c>
      <c r="O184" s="248">
        <v>0</v>
      </c>
      <c r="P184" s="248">
        <v>0</v>
      </c>
      <c r="Q184" s="248">
        <v>0</v>
      </c>
      <c r="R184" s="248">
        <v>0</v>
      </c>
      <c r="S184" s="359">
        <v>0</v>
      </c>
      <c r="T184" s="359">
        <v>0</v>
      </c>
      <c r="U184" s="248">
        <v>0</v>
      </c>
      <c r="V184" s="248">
        <v>0</v>
      </c>
      <c r="W184" s="260">
        <f t="shared" si="30"/>
        <v>2</v>
      </c>
      <c r="X184" s="272">
        <f t="shared" si="31"/>
        <v>20</v>
      </c>
      <c r="Z184" s="268" t="s">
        <v>2454</v>
      </c>
      <c r="AA184" s="268"/>
      <c r="AB184" s="269" t="s">
        <v>2425</v>
      </c>
      <c r="AC184" s="269"/>
      <c r="AD184" s="270" t="s">
        <v>2426</v>
      </c>
      <c r="AE184" s="270"/>
      <c r="AF184" s="23" t="s">
        <v>2427</v>
      </c>
    </row>
    <row r="185" s="23" customFormat="1" spans="1:26">
      <c r="A185" s="373"/>
      <c r="L185" s="244">
        <v>102</v>
      </c>
      <c r="M185" s="345">
        <v>0</v>
      </c>
      <c r="N185" s="255">
        <v>0</v>
      </c>
      <c r="O185" s="245">
        <v>0</v>
      </c>
      <c r="P185" s="245">
        <v>0</v>
      </c>
      <c r="Q185" s="245">
        <v>0</v>
      </c>
      <c r="R185" s="245">
        <v>0</v>
      </c>
      <c r="S185" s="345">
        <v>0</v>
      </c>
      <c r="T185" s="255">
        <v>0</v>
      </c>
      <c r="U185" s="255">
        <v>0</v>
      </c>
      <c r="V185" s="252">
        <v>0</v>
      </c>
      <c r="W185" s="259">
        <f t="shared" si="30"/>
        <v>0</v>
      </c>
      <c r="X185" s="271">
        <f t="shared" si="31"/>
        <v>0</v>
      </c>
      <c r="Z185" s="23" t="s">
        <v>2429</v>
      </c>
    </row>
    <row r="186" s="23" customFormat="1" spans="1:30">
      <c r="A186" s="373"/>
      <c r="L186" s="246">
        <v>103</v>
      </c>
      <c r="M186" s="248">
        <v>10</v>
      </c>
      <c r="N186" s="247">
        <v>0</v>
      </c>
      <c r="O186" s="248">
        <v>0</v>
      </c>
      <c r="P186" s="256">
        <v>0</v>
      </c>
      <c r="Q186" s="248">
        <v>0</v>
      </c>
      <c r="R186" s="248">
        <v>0</v>
      </c>
      <c r="S186" s="248">
        <v>10</v>
      </c>
      <c r="T186" s="248">
        <v>10</v>
      </c>
      <c r="U186" s="248">
        <v>0</v>
      </c>
      <c r="V186" s="248">
        <v>0</v>
      </c>
      <c r="W186" s="260">
        <f t="shared" si="30"/>
        <v>3</v>
      </c>
      <c r="X186" s="272">
        <f t="shared" si="31"/>
        <v>30</v>
      </c>
      <c r="Z186" s="128" t="s">
        <v>2430</v>
      </c>
      <c r="AA186" s="128">
        <f>COUNTIF(M184:V193,0)</f>
        <v>81</v>
      </c>
      <c r="AB186" s="273">
        <f t="shared" ref="AB186:AB190" si="39">(AA186/100)</f>
        <v>0.81</v>
      </c>
      <c r="AD186" s="23" t="s">
        <v>2431</v>
      </c>
    </row>
    <row r="187" s="23" customFormat="1" spans="1:34">
      <c r="A187" s="373"/>
      <c r="L187" s="244">
        <v>104</v>
      </c>
      <c r="M187" s="245">
        <v>0</v>
      </c>
      <c r="N187" s="245">
        <v>30</v>
      </c>
      <c r="O187" s="252">
        <v>20</v>
      </c>
      <c r="P187" s="245">
        <v>0</v>
      </c>
      <c r="Q187" s="245">
        <v>0</v>
      </c>
      <c r="R187" s="255">
        <v>0</v>
      </c>
      <c r="S187" s="378">
        <v>0</v>
      </c>
      <c r="T187" s="245">
        <v>0</v>
      </c>
      <c r="U187" s="245">
        <v>0</v>
      </c>
      <c r="V187" s="252">
        <v>0</v>
      </c>
      <c r="W187" s="259">
        <f t="shared" si="30"/>
        <v>5</v>
      </c>
      <c r="X187" s="271">
        <f t="shared" si="31"/>
        <v>50</v>
      </c>
      <c r="Z187" s="128" t="s">
        <v>2456</v>
      </c>
      <c r="AA187" s="128">
        <f>COUNTIF(M184:V193,10)</f>
        <v>6</v>
      </c>
      <c r="AB187" s="273">
        <f t="shared" si="39"/>
        <v>0.06</v>
      </c>
      <c r="AD187" s="274" t="s">
        <v>2434</v>
      </c>
      <c r="AE187" s="275"/>
      <c r="AF187" s="280" t="s">
        <v>2435</v>
      </c>
      <c r="AG187" s="275" t="s">
        <v>2436</v>
      </c>
      <c r="AH187" s="281"/>
    </row>
    <row r="188" s="23" customFormat="1" spans="1:33">
      <c r="A188" s="373"/>
      <c r="L188" s="246">
        <v>105</v>
      </c>
      <c r="M188" s="248">
        <v>0</v>
      </c>
      <c r="N188" s="248">
        <v>0</v>
      </c>
      <c r="O188" s="248">
        <v>0</v>
      </c>
      <c r="P188" s="248">
        <v>0</v>
      </c>
      <c r="Q188" s="248">
        <v>0</v>
      </c>
      <c r="R188" s="248">
        <v>15</v>
      </c>
      <c r="S188" s="248">
        <v>20</v>
      </c>
      <c r="T188" s="248">
        <v>0</v>
      </c>
      <c r="U188" s="378">
        <v>0</v>
      </c>
      <c r="V188" s="248">
        <v>0</v>
      </c>
      <c r="W188" s="260">
        <f t="shared" si="30"/>
        <v>3.5</v>
      </c>
      <c r="X188" s="272">
        <f t="shared" si="31"/>
        <v>35</v>
      </c>
      <c r="Z188" s="128" t="s">
        <v>2439</v>
      </c>
      <c r="AA188" s="128">
        <f>COUNTIF(M184:V193,15)</f>
        <v>5</v>
      </c>
      <c r="AB188" s="273">
        <f t="shared" si="39"/>
        <v>0.05</v>
      </c>
      <c r="AD188" s="23" t="s">
        <v>2438</v>
      </c>
      <c r="AF188" s="128">
        <v>12</v>
      </c>
      <c r="AG188" s="282">
        <f t="shared" ref="AG188:AG190" si="40">(AF188/100)</f>
        <v>0.12</v>
      </c>
    </row>
    <row r="189" s="23" customFormat="1" spans="1:33">
      <c r="A189" s="373"/>
      <c r="L189" s="244">
        <v>106</v>
      </c>
      <c r="M189" s="245">
        <v>15</v>
      </c>
      <c r="N189" s="245">
        <v>0</v>
      </c>
      <c r="O189" s="245">
        <v>0</v>
      </c>
      <c r="P189" s="245">
        <v>0</v>
      </c>
      <c r="Q189" s="245">
        <v>0</v>
      </c>
      <c r="R189" s="245">
        <v>0</v>
      </c>
      <c r="S189" s="255">
        <v>0</v>
      </c>
      <c r="T189" s="245">
        <v>0</v>
      </c>
      <c r="U189" s="255">
        <v>0</v>
      </c>
      <c r="V189" s="255">
        <v>0</v>
      </c>
      <c r="W189" s="259">
        <f t="shared" si="30"/>
        <v>1.5</v>
      </c>
      <c r="X189" s="271">
        <f t="shared" si="31"/>
        <v>15</v>
      </c>
      <c r="Z189" s="128" t="s">
        <v>2443</v>
      </c>
      <c r="AA189" s="128">
        <f>COUNTIF(M184:V193,20)</f>
        <v>7</v>
      </c>
      <c r="AB189" s="273">
        <f t="shared" si="39"/>
        <v>0.07</v>
      </c>
      <c r="AD189" s="23" t="s">
        <v>2440</v>
      </c>
      <c r="AF189" s="128">
        <v>14</v>
      </c>
      <c r="AG189" s="282">
        <f t="shared" si="40"/>
        <v>0.14</v>
      </c>
    </row>
    <row r="190" s="23" customFormat="1" spans="1:33">
      <c r="A190" s="373"/>
      <c r="L190" s="246">
        <v>107</v>
      </c>
      <c r="M190" s="248">
        <v>0</v>
      </c>
      <c r="N190" s="248">
        <v>0</v>
      </c>
      <c r="O190" s="248">
        <v>0</v>
      </c>
      <c r="P190" s="248">
        <v>0</v>
      </c>
      <c r="Q190" s="247">
        <v>0</v>
      </c>
      <c r="R190" s="359">
        <v>0</v>
      </c>
      <c r="S190" s="256">
        <v>0</v>
      </c>
      <c r="T190" s="248">
        <v>0</v>
      </c>
      <c r="U190" s="248">
        <v>0</v>
      </c>
      <c r="V190" s="248">
        <v>10</v>
      </c>
      <c r="W190" s="260">
        <f t="shared" si="30"/>
        <v>1</v>
      </c>
      <c r="X190" s="272">
        <f t="shared" si="31"/>
        <v>10</v>
      </c>
      <c r="Z190" s="128" t="s">
        <v>2492</v>
      </c>
      <c r="AA190" s="128">
        <f>COUNTIF(M184:V193,30)</f>
        <v>1</v>
      </c>
      <c r="AB190" s="273">
        <f t="shared" si="39"/>
        <v>0.01</v>
      </c>
      <c r="AD190" s="23" t="s">
        <v>2454</v>
      </c>
      <c r="AF190" s="128">
        <v>5</v>
      </c>
      <c r="AG190" s="282">
        <f t="shared" si="40"/>
        <v>0.05</v>
      </c>
    </row>
    <row r="191" s="23" customFormat="1" spans="1:28">
      <c r="A191" s="373"/>
      <c r="L191" s="244">
        <v>108</v>
      </c>
      <c r="M191" s="245">
        <v>10</v>
      </c>
      <c r="N191" s="245">
        <v>0</v>
      </c>
      <c r="O191" s="245">
        <v>0</v>
      </c>
      <c r="P191" s="245">
        <v>15</v>
      </c>
      <c r="Q191" s="245">
        <v>0</v>
      </c>
      <c r="R191" s="255">
        <v>0</v>
      </c>
      <c r="S191" s="245">
        <v>20</v>
      </c>
      <c r="T191" s="245">
        <v>0</v>
      </c>
      <c r="U191" s="245">
        <v>0</v>
      </c>
      <c r="V191" s="245">
        <v>0</v>
      </c>
      <c r="W191" s="259">
        <f t="shared" si="30"/>
        <v>4.5</v>
      </c>
      <c r="X191" s="271">
        <f t="shared" si="31"/>
        <v>45</v>
      </c>
      <c r="Z191" s="128"/>
      <c r="AA191" s="128"/>
      <c r="AB191" s="273"/>
    </row>
    <row r="192" s="23" customFormat="1" spans="1:28">
      <c r="A192" s="373"/>
      <c r="L192" s="246">
        <v>109</v>
      </c>
      <c r="M192" s="248">
        <v>0</v>
      </c>
      <c r="N192" s="256">
        <v>20</v>
      </c>
      <c r="O192" s="248">
        <v>20</v>
      </c>
      <c r="P192" s="248">
        <v>20</v>
      </c>
      <c r="Q192" s="256">
        <v>0</v>
      </c>
      <c r="R192" s="248">
        <v>0</v>
      </c>
      <c r="S192" s="256">
        <v>0</v>
      </c>
      <c r="T192" s="248">
        <v>0</v>
      </c>
      <c r="U192" s="248">
        <v>0</v>
      </c>
      <c r="V192" s="248">
        <v>0</v>
      </c>
      <c r="W192" s="260">
        <f t="shared" si="30"/>
        <v>6</v>
      </c>
      <c r="X192" s="272">
        <f t="shared" si="31"/>
        <v>60</v>
      </c>
      <c r="Y192" s="276">
        <f>AVERAGE(M184:V193)</f>
        <v>3.05</v>
      </c>
      <c r="Z192" s="277" t="s">
        <v>2448</v>
      </c>
      <c r="AA192" s="263"/>
      <c r="AB192" s="264"/>
    </row>
    <row r="193" s="23" customFormat="1" spans="1:29">
      <c r="A193" s="373"/>
      <c r="L193" s="244">
        <v>110</v>
      </c>
      <c r="M193" s="390">
        <v>10</v>
      </c>
      <c r="N193" s="288">
        <v>0</v>
      </c>
      <c r="O193" s="391">
        <v>0</v>
      </c>
      <c r="P193" s="288">
        <v>0</v>
      </c>
      <c r="Q193" s="288">
        <v>15</v>
      </c>
      <c r="R193" s="288">
        <v>0</v>
      </c>
      <c r="S193" s="288">
        <v>15</v>
      </c>
      <c r="T193" s="288">
        <v>0</v>
      </c>
      <c r="U193" s="288">
        <v>0</v>
      </c>
      <c r="V193" s="293">
        <v>0</v>
      </c>
      <c r="W193" s="261">
        <f t="shared" si="30"/>
        <v>4</v>
      </c>
      <c r="X193" s="294">
        <f t="shared" si="31"/>
        <v>40</v>
      </c>
      <c r="Y193" s="278">
        <f>SUM(X184:X193)</f>
        <v>305</v>
      </c>
      <c r="Z193" s="277" t="s">
        <v>2460</v>
      </c>
      <c r="AA193" s="263"/>
      <c r="AB193" s="263"/>
      <c r="AC193" s="264"/>
    </row>
    <row r="194" s="23" customFormat="1" spans="1:32">
      <c r="A194" s="373"/>
      <c r="L194" s="241">
        <v>111</v>
      </c>
      <c r="M194" s="378">
        <v>0</v>
      </c>
      <c r="N194" s="248">
        <v>15</v>
      </c>
      <c r="O194" s="248">
        <v>0</v>
      </c>
      <c r="P194" s="248">
        <v>0</v>
      </c>
      <c r="Q194" s="256">
        <v>20</v>
      </c>
      <c r="R194" s="248">
        <v>0</v>
      </c>
      <c r="S194" s="248">
        <v>0</v>
      </c>
      <c r="T194" s="248">
        <v>0</v>
      </c>
      <c r="U194" s="248">
        <v>0</v>
      </c>
      <c r="V194" s="248">
        <v>15</v>
      </c>
      <c r="W194" s="260">
        <f t="shared" si="30"/>
        <v>5</v>
      </c>
      <c r="X194" s="272">
        <f t="shared" si="31"/>
        <v>50</v>
      </c>
      <c r="Z194" s="268" t="s">
        <v>2454</v>
      </c>
      <c r="AA194" s="268"/>
      <c r="AB194" s="269" t="s">
        <v>2425</v>
      </c>
      <c r="AC194" s="269"/>
      <c r="AD194" s="270" t="s">
        <v>2426</v>
      </c>
      <c r="AE194" s="270"/>
      <c r="AF194" s="23" t="s">
        <v>2427</v>
      </c>
    </row>
    <row r="195" s="23" customFormat="1" spans="1:26">
      <c r="A195" s="373"/>
      <c r="L195" s="244">
        <v>112</v>
      </c>
      <c r="M195" s="245">
        <v>0</v>
      </c>
      <c r="N195" s="255">
        <v>0</v>
      </c>
      <c r="O195" s="245">
        <v>0</v>
      </c>
      <c r="P195" s="245">
        <v>0</v>
      </c>
      <c r="Q195" s="245">
        <v>20</v>
      </c>
      <c r="R195" s="245">
        <v>0</v>
      </c>
      <c r="S195" s="345">
        <v>0</v>
      </c>
      <c r="T195" s="245">
        <v>0</v>
      </c>
      <c r="U195" s="245">
        <v>0</v>
      </c>
      <c r="V195" s="245">
        <v>0</v>
      </c>
      <c r="W195" s="259">
        <f t="shared" si="30"/>
        <v>2</v>
      </c>
      <c r="X195" s="271">
        <f t="shared" si="31"/>
        <v>20</v>
      </c>
      <c r="Z195" s="23" t="s">
        <v>2429</v>
      </c>
    </row>
    <row r="196" s="23" customFormat="1" spans="1:30">
      <c r="A196" s="373"/>
      <c r="L196" s="246">
        <v>113</v>
      </c>
      <c r="M196" s="248">
        <v>0</v>
      </c>
      <c r="N196" s="248">
        <v>10</v>
      </c>
      <c r="O196" s="359">
        <v>0</v>
      </c>
      <c r="P196" s="248">
        <v>0</v>
      </c>
      <c r="Q196" s="248">
        <v>0</v>
      </c>
      <c r="R196" s="248">
        <v>0</v>
      </c>
      <c r="S196" s="248">
        <v>10</v>
      </c>
      <c r="T196" s="248">
        <v>0</v>
      </c>
      <c r="U196" s="248">
        <v>0</v>
      </c>
      <c r="V196" s="248">
        <v>15</v>
      </c>
      <c r="W196" s="260">
        <f t="shared" si="30"/>
        <v>3.5</v>
      </c>
      <c r="X196" s="272">
        <f t="shared" si="31"/>
        <v>35</v>
      </c>
      <c r="Z196" s="128" t="s">
        <v>2430</v>
      </c>
      <c r="AA196" s="128">
        <f>COUNTIF(M194:V203,0)</f>
        <v>82</v>
      </c>
      <c r="AB196" s="273">
        <f t="shared" ref="AB196:AB200" si="41">(AA196/100)</f>
        <v>0.82</v>
      </c>
      <c r="AD196" s="23" t="s">
        <v>2431</v>
      </c>
    </row>
    <row r="197" s="23" customFormat="1" spans="1:34">
      <c r="A197" s="373"/>
      <c r="L197" s="244">
        <v>114</v>
      </c>
      <c r="M197" s="245">
        <v>0</v>
      </c>
      <c r="N197" s="255">
        <v>0</v>
      </c>
      <c r="O197" s="378">
        <v>0</v>
      </c>
      <c r="P197" s="245">
        <v>0</v>
      </c>
      <c r="Q197" s="245">
        <v>0</v>
      </c>
      <c r="R197" s="255">
        <v>0</v>
      </c>
      <c r="S197" s="255">
        <v>0</v>
      </c>
      <c r="T197" s="245">
        <v>0</v>
      </c>
      <c r="U197" s="252">
        <v>0</v>
      </c>
      <c r="V197" s="245">
        <v>0</v>
      </c>
      <c r="W197" s="259">
        <f t="shared" si="30"/>
        <v>0</v>
      </c>
      <c r="X197" s="271">
        <f t="shared" si="31"/>
        <v>0</v>
      </c>
      <c r="Z197" s="128" t="s">
        <v>2456</v>
      </c>
      <c r="AA197" s="128">
        <f>COUNTIF(M194:V203,10)</f>
        <v>8</v>
      </c>
      <c r="AB197" s="273">
        <f t="shared" si="41"/>
        <v>0.08</v>
      </c>
      <c r="AD197" s="274" t="s">
        <v>2434</v>
      </c>
      <c r="AE197" s="275"/>
      <c r="AF197" s="280" t="s">
        <v>2435</v>
      </c>
      <c r="AG197" s="275" t="s">
        <v>2436</v>
      </c>
      <c r="AH197" s="281"/>
    </row>
    <row r="198" s="23" customFormat="1" spans="1:33">
      <c r="A198" s="373"/>
      <c r="L198" s="246">
        <v>115</v>
      </c>
      <c r="M198" s="247">
        <v>0</v>
      </c>
      <c r="N198" s="248">
        <v>0</v>
      </c>
      <c r="O198" s="248">
        <v>20</v>
      </c>
      <c r="P198" s="256">
        <v>10</v>
      </c>
      <c r="Q198" s="248">
        <v>30</v>
      </c>
      <c r="R198" s="248">
        <v>0</v>
      </c>
      <c r="S198" s="248">
        <v>0</v>
      </c>
      <c r="T198" s="256">
        <v>0</v>
      </c>
      <c r="U198" s="248">
        <v>0</v>
      </c>
      <c r="V198" s="248">
        <v>0</v>
      </c>
      <c r="W198" s="260">
        <f t="shared" si="30"/>
        <v>6</v>
      </c>
      <c r="X198" s="272">
        <f t="shared" si="31"/>
        <v>60</v>
      </c>
      <c r="Z198" s="128" t="s">
        <v>2439</v>
      </c>
      <c r="AA198" s="128">
        <f>COUNTIF(M194:V203,15)</f>
        <v>5</v>
      </c>
      <c r="AB198" s="273">
        <f t="shared" si="41"/>
        <v>0.05</v>
      </c>
      <c r="AD198" s="23" t="s">
        <v>2509</v>
      </c>
      <c r="AF198" s="128">
        <v>10</v>
      </c>
      <c r="AG198" s="282">
        <f t="shared" ref="AG198:AG200" si="42">(AF198/100)</f>
        <v>0.1</v>
      </c>
    </row>
    <row r="199" s="23" customFormat="1" spans="1:33">
      <c r="A199" s="373"/>
      <c r="L199" s="244">
        <v>116</v>
      </c>
      <c r="M199" s="245">
        <v>0</v>
      </c>
      <c r="N199" s="245">
        <v>0</v>
      </c>
      <c r="O199" s="255">
        <v>0</v>
      </c>
      <c r="P199" s="245">
        <v>0</v>
      </c>
      <c r="Q199" s="245">
        <v>10</v>
      </c>
      <c r="R199" s="245">
        <v>0</v>
      </c>
      <c r="S199" s="252">
        <v>0</v>
      </c>
      <c r="T199" s="245">
        <v>0</v>
      </c>
      <c r="U199" s="245">
        <v>0</v>
      </c>
      <c r="V199" s="345">
        <v>0</v>
      </c>
      <c r="W199" s="259">
        <f t="shared" si="30"/>
        <v>1</v>
      </c>
      <c r="X199" s="271">
        <f t="shared" si="31"/>
        <v>10</v>
      </c>
      <c r="Z199" s="128" t="s">
        <v>2443</v>
      </c>
      <c r="AA199" s="128">
        <f>COUNTIF(M194:V203,20)</f>
        <v>4</v>
      </c>
      <c r="AB199" s="273">
        <f t="shared" si="41"/>
        <v>0.04</v>
      </c>
      <c r="AD199" s="23" t="s">
        <v>2440</v>
      </c>
      <c r="AF199" s="128">
        <v>17</v>
      </c>
      <c r="AG199" s="282">
        <f t="shared" si="42"/>
        <v>0.17</v>
      </c>
    </row>
    <row r="200" s="23" customFormat="1" spans="1:33">
      <c r="A200" s="373"/>
      <c r="L200" s="246">
        <v>117</v>
      </c>
      <c r="M200" s="248">
        <v>0</v>
      </c>
      <c r="N200" s="256">
        <v>15</v>
      </c>
      <c r="O200" s="248">
        <v>0</v>
      </c>
      <c r="P200" s="248">
        <v>0</v>
      </c>
      <c r="Q200" s="248">
        <v>0</v>
      </c>
      <c r="R200" s="248">
        <v>0</v>
      </c>
      <c r="S200" s="248">
        <v>0</v>
      </c>
      <c r="T200" s="247">
        <v>0</v>
      </c>
      <c r="U200" s="248">
        <v>0</v>
      </c>
      <c r="V200" s="247">
        <v>10</v>
      </c>
      <c r="W200" s="260">
        <f t="shared" si="30"/>
        <v>2.5</v>
      </c>
      <c r="X200" s="272">
        <f t="shared" si="31"/>
        <v>25</v>
      </c>
      <c r="Z200" s="128" t="s">
        <v>2492</v>
      </c>
      <c r="AA200" s="128">
        <f>COUNTIF(M194:V203,30)</f>
        <v>1</v>
      </c>
      <c r="AB200" s="273">
        <f t="shared" si="41"/>
        <v>0.01</v>
      </c>
      <c r="AD200" s="23" t="s">
        <v>2454</v>
      </c>
      <c r="AF200" s="128">
        <v>5</v>
      </c>
      <c r="AG200" s="282">
        <f t="shared" si="42"/>
        <v>0.05</v>
      </c>
    </row>
    <row r="201" s="23" customFormat="1" spans="1:28">
      <c r="A201" s="373"/>
      <c r="L201" s="244">
        <v>118</v>
      </c>
      <c r="M201" s="255">
        <v>0</v>
      </c>
      <c r="N201" s="255">
        <v>0</v>
      </c>
      <c r="O201" s="245">
        <v>10</v>
      </c>
      <c r="P201" s="252">
        <v>0</v>
      </c>
      <c r="Q201" s="245">
        <v>0</v>
      </c>
      <c r="R201" s="245">
        <v>0</v>
      </c>
      <c r="S201" s="245">
        <v>20</v>
      </c>
      <c r="T201" s="245">
        <v>0</v>
      </c>
      <c r="U201" s="245">
        <v>0</v>
      </c>
      <c r="V201" s="345">
        <v>0</v>
      </c>
      <c r="W201" s="259">
        <f t="shared" si="30"/>
        <v>3</v>
      </c>
      <c r="X201" s="271">
        <f t="shared" si="31"/>
        <v>30</v>
      </c>
      <c r="Z201" s="128"/>
      <c r="AA201" s="128"/>
      <c r="AB201" s="273"/>
    </row>
    <row r="202" s="23" customFormat="1" spans="1:28">
      <c r="A202" s="373"/>
      <c r="L202" s="246">
        <v>119</v>
      </c>
      <c r="M202" s="248">
        <v>0</v>
      </c>
      <c r="N202" s="247">
        <v>0</v>
      </c>
      <c r="O202" s="248">
        <v>0</v>
      </c>
      <c r="P202" s="248">
        <v>15</v>
      </c>
      <c r="Q202" s="248">
        <v>10</v>
      </c>
      <c r="R202" s="248">
        <v>0</v>
      </c>
      <c r="S202" s="247">
        <v>0</v>
      </c>
      <c r="T202" s="256">
        <v>0</v>
      </c>
      <c r="U202" s="248">
        <v>0</v>
      </c>
      <c r="V202" s="247">
        <v>0</v>
      </c>
      <c r="W202" s="260">
        <f t="shared" si="30"/>
        <v>2.5</v>
      </c>
      <c r="X202" s="272">
        <f t="shared" si="31"/>
        <v>25</v>
      </c>
      <c r="Y202" s="276">
        <f>AVERAGE(M194:V203)</f>
        <v>2.65</v>
      </c>
      <c r="Z202" s="277" t="s">
        <v>2448</v>
      </c>
      <c r="AA202" s="263"/>
      <c r="AB202" s="264"/>
    </row>
    <row r="203" s="23" customFormat="1" spans="1:29">
      <c r="A203" s="373"/>
      <c r="L203" s="300">
        <v>120</v>
      </c>
      <c r="M203" s="287">
        <v>0</v>
      </c>
      <c r="N203" s="362">
        <v>0</v>
      </c>
      <c r="O203" s="288">
        <v>0</v>
      </c>
      <c r="P203" s="288">
        <v>0</v>
      </c>
      <c r="Q203" s="288">
        <v>0</v>
      </c>
      <c r="R203" s="292">
        <v>0</v>
      </c>
      <c r="S203" s="288">
        <v>10</v>
      </c>
      <c r="T203" s="288">
        <v>0</v>
      </c>
      <c r="U203" s="292">
        <v>0</v>
      </c>
      <c r="V203" s="293">
        <v>0</v>
      </c>
      <c r="W203" s="261">
        <f t="shared" si="30"/>
        <v>1</v>
      </c>
      <c r="X203" s="294">
        <f t="shared" si="31"/>
        <v>10</v>
      </c>
      <c r="Y203" s="278">
        <f>SUM(X194:X203)</f>
        <v>265</v>
      </c>
      <c r="Z203" s="277" t="s">
        <v>2445</v>
      </c>
      <c r="AA203" s="263"/>
      <c r="AB203" s="263"/>
      <c r="AC203" s="264"/>
    </row>
    <row r="204" s="23" customFormat="1" spans="1:32">
      <c r="A204" s="373"/>
      <c r="L204" s="246">
        <v>121</v>
      </c>
      <c r="M204" s="247">
        <v>15</v>
      </c>
      <c r="N204" s="247">
        <v>0</v>
      </c>
      <c r="O204" s="248">
        <v>10</v>
      </c>
      <c r="P204" s="248">
        <v>0</v>
      </c>
      <c r="Q204" s="248">
        <v>0</v>
      </c>
      <c r="R204" s="248">
        <v>0</v>
      </c>
      <c r="S204" s="359">
        <v>0</v>
      </c>
      <c r="T204" s="248">
        <v>0</v>
      </c>
      <c r="U204" s="247">
        <v>0</v>
      </c>
      <c r="V204" s="248">
        <v>0</v>
      </c>
      <c r="W204" s="260">
        <f t="shared" si="30"/>
        <v>2.5</v>
      </c>
      <c r="X204" s="272">
        <f t="shared" si="31"/>
        <v>25</v>
      </c>
      <c r="Z204" s="268" t="s">
        <v>2454</v>
      </c>
      <c r="AA204" s="268"/>
      <c r="AB204" s="269" t="s">
        <v>2425</v>
      </c>
      <c r="AC204" s="269"/>
      <c r="AD204" s="270" t="s">
        <v>2426</v>
      </c>
      <c r="AE204" s="270"/>
      <c r="AF204" s="23" t="s">
        <v>2427</v>
      </c>
    </row>
    <row r="205" s="23" customFormat="1" spans="1:26">
      <c r="A205" s="373"/>
      <c r="L205" s="244">
        <v>122</v>
      </c>
      <c r="M205" s="245">
        <v>0</v>
      </c>
      <c r="N205" s="245">
        <v>0</v>
      </c>
      <c r="O205" s="245">
        <v>15</v>
      </c>
      <c r="P205" s="245">
        <v>0</v>
      </c>
      <c r="Q205" s="245">
        <v>0</v>
      </c>
      <c r="R205" s="245">
        <v>0</v>
      </c>
      <c r="S205" s="245">
        <v>10</v>
      </c>
      <c r="T205" s="245">
        <v>15</v>
      </c>
      <c r="U205" s="245">
        <v>0</v>
      </c>
      <c r="V205" s="245">
        <v>0</v>
      </c>
      <c r="W205" s="259">
        <f t="shared" si="30"/>
        <v>4</v>
      </c>
      <c r="X205" s="271">
        <f t="shared" si="31"/>
        <v>40</v>
      </c>
      <c r="Z205" s="23" t="s">
        <v>2429</v>
      </c>
    </row>
    <row r="206" s="23" customFormat="1" spans="1:30">
      <c r="A206" s="373"/>
      <c r="L206" s="246">
        <v>123</v>
      </c>
      <c r="M206" s="247">
        <v>0</v>
      </c>
      <c r="N206" s="248">
        <v>15</v>
      </c>
      <c r="O206" s="248">
        <v>0</v>
      </c>
      <c r="P206" s="248">
        <v>0</v>
      </c>
      <c r="Q206" s="256">
        <v>0</v>
      </c>
      <c r="R206" s="247">
        <v>0</v>
      </c>
      <c r="S206" s="248">
        <v>0</v>
      </c>
      <c r="T206" s="248">
        <v>0</v>
      </c>
      <c r="U206" s="247">
        <v>0</v>
      </c>
      <c r="V206" s="248">
        <v>15</v>
      </c>
      <c r="W206" s="260">
        <f t="shared" si="30"/>
        <v>3</v>
      </c>
      <c r="X206" s="272">
        <f t="shared" si="31"/>
        <v>30</v>
      </c>
      <c r="Z206" s="128" t="s">
        <v>2430</v>
      </c>
      <c r="AA206" s="128">
        <f>COUNTIF(M204:V213,0)</f>
        <v>80</v>
      </c>
      <c r="AB206" s="273">
        <f t="shared" ref="AB206:AB210" si="43">(AA206/100)</f>
        <v>0.8</v>
      </c>
      <c r="AD206" s="23" t="s">
        <v>2431</v>
      </c>
    </row>
    <row r="207" s="23" customFormat="1" spans="1:34">
      <c r="A207" s="373"/>
      <c r="L207" s="244">
        <v>124</v>
      </c>
      <c r="M207" s="245">
        <v>0</v>
      </c>
      <c r="N207" s="245">
        <v>0</v>
      </c>
      <c r="O207" s="245">
        <v>0</v>
      </c>
      <c r="P207" s="245">
        <v>0</v>
      </c>
      <c r="Q207" s="255">
        <v>0</v>
      </c>
      <c r="R207" s="245">
        <v>0</v>
      </c>
      <c r="S207" s="245">
        <v>0</v>
      </c>
      <c r="T207" s="245">
        <v>0</v>
      </c>
      <c r="U207" s="245">
        <v>15</v>
      </c>
      <c r="V207" s="245">
        <v>0</v>
      </c>
      <c r="W207" s="259">
        <f t="shared" si="30"/>
        <v>1.5</v>
      </c>
      <c r="X207" s="271">
        <f t="shared" si="31"/>
        <v>15</v>
      </c>
      <c r="Z207" s="128" t="s">
        <v>2456</v>
      </c>
      <c r="AA207" s="128">
        <f>COUNTIF(M204:V213,10)</f>
        <v>5</v>
      </c>
      <c r="AB207" s="273">
        <f t="shared" si="43"/>
        <v>0.05</v>
      </c>
      <c r="AD207" s="274" t="s">
        <v>2434</v>
      </c>
      <c r="AE207" s="275"/>
      <c r="AF207" s="280" t="s">
        <v>2435</v>
      </c>
      <c r="AG207" s="275" t="s">
        <v>2436</v>
      </c>
      <c r="AH207" s="281"/>
    </row>
    <row r="208" s="23" customFormat="1" spans="1:33">
      <c r="A208" s="373"/>
      <c r="L208" s="246">
        <v>125</v>
      </c>
      <c r="M208" s="248">
        <v>0</v>
      </c>
      <c r="N208" s="256">
        <v>0</v>
      </c>
      <c r="O208" s="247">
        <v>0</v>
      </c>
      <c r="P208" s="248">
        <v>0</v>
      </c>
      <c r="Q208" s="359">
        <v>0</v>
      </c>
      <c r="R208" s="248">
        <v>15</v>
      </c>
      <c r="S208" s="256">
        <v>0</v>
      </c>
      <c r="T208" s="248">
        <v>0</v>
      </c>
      <c r="U208" s="247">
        <v>0</v>
      </c>
      <c r="V208" s="248">
        <v>0</v>
      </c>
      <c r="W208" s="260">
        <f t="shared" si="30"/>
        <v>1.5</v>
      </c>
      <c r="X208" s="272">
        <f t="shared" si="31"/>
        <v>15</v>
      </c>
      <c r="Z208" s="128" t="s">
        <v>2439</v>
      </c>
      <c r="AA208" s="128">
        <f>COUNTIF(M204:V213,15)</f>
        <v>14</v>
      </c>
      <c r="AB208" s="273">
        <f t="shared" si="43"/>
        <v>0.14</v>
      </c>
      <c r="AD208" s="23" t="s">
        <v>2438</v>
      </c>
      <c r="AF208" s="128">
        <v>7</v>
      </c>
      <c r="AG208" s="282">
        <f t="shared" ref="AG208:AG210" si="44">(AF208/100)</f>
        <v>0.07</v>
      </c>
    </row>
    <row r="209" s="23" customFormat="1" spans="1:33">
      <c r="A209" s="373"/>
      <c r="L209" s="244">
        <v>126</v>
      </c>
      <c r="M209" s="252">
        <v>0</v>
      </c>
      <c r="N209" s="345">
        <v>0</v>
      </c>
      <c r="O209" s="255">
        <v>0</v>
      </c>
      <c r="P209" s="255">
        <v>0</v>
      </c>
      <c r="Q209" s="255">
        <v>0</v>
      </c>
      <c r="R209" s="245">
        <v>15</v>
      </c>
      <c r="S209" s="245">
        <v>0</v>
      </c>
      <c r="T209" s="245">
        <v>10</v>
      </c>
      <c r="U209" s="245">
        <v>0</v>
      </c>
      <c r="V209" s="245">
        <v>0</v>
      </c>
      <c r="W209" s="259">
        <f t="shared" si="30"/>
        <v>2.5</v>
      </c>
      <c r="X209" s="271">
        <f t="shared" si="31"/>
        <v>25</v>
      </c>
      <c r="Z209" s="128" t="s">
        <v>2443</v>
      </c>
      <c r="AA209" s="128">
        <f>COUNTIF(M204:V213,20)</f>
        <v>1</v>
      </c>
      <c r="AB209" s="273">
        <f t="shared" si="43"/>
        <v>0.01</v>
      </c>
      <c r="AD209" s="23" t="s">
        <v>2440</v>
      </c>
      <c r="AF209" s="128">
        <v>15</v>
      </c>
      <c r="AG209" s="282">
        <f t="shared" si="44"/>
        <v>0.15</v>
      </c>
    </row>
    <row r="210" s="23" customFormat="1" spans="1:33">
      <c r="A210" s="373"/>
      <c r="L210" s="246">
        <v>127</v>
      </c>
      <c r="M210" s="248">
        <v>0</v>
      </c>
      <c r="N210" s="248">
        <v>0</v>
      </c>
      <c r="O210" s="256">
        <v>0</v>
      </c>
      <c r="P210" s="247">
        <v>0</v>
      </c>
      <c r="Q210" s="248">
        <v>15</v>
      </c>
      <c r="R210" s="247">
        <v>15</v>
      </c>
      <c r="S210" s="248">
        <v>0</v>
      </c>
      <c r="T210" s="248">
        <v>15</v>
      </c>
      <c r="U210" s="248">
        <v>0</v>
      </c>
      <c r="V210" s="248">
        <v>0</v>
      </c>
      <c r="W210" s="260">
        <f t="shared" si="30"/>
        <v>4.5</v>
      </c>
      <c r="X210" s="272">
        <f t="shared" si="31"/>
        <v>45</v>
      </c>
      <c r="Z210" s="128" t="s">
        <v>2505</v>
      </c>
      <c r="AA210" s="128">
        <f>COUNTIF(M204:V213,25)</f>
        <v>0</v>
      </c>
      <c r="AB210" s="273">
        <f t="shared" si="43"/>
        <v>0</v>
      </c>
      <c r="AD210" s="23" t="s">
        <v>2454</v>
      </c>
      <c r="AF210" s="128">
        <v>3</v>
      </c>
      <c r="AG210" s="282">
        <f t="shared" si="44"/>
        <v>0.03</v>
      </c>
    </row>
    <row r="211" s="23" customFormat="1" spans="1:28">
      <c r="A211" s="373"/>
      <c r="L211" s="244">
        <v>128</v>
      </c>
      <c r="M211" s="245">
        <v>0</v>
      </c>
      <c r="N211" s="245">
        <v>0</v>
      </c>
      <c r="O211" s="245">
        <v>0</v>
      </c>
      <c r="P211" s="245">
        <v>0</v>
      </c>
      <c r="Q211" s="245">
        <v>0</v>
      </c>
      <c r="R211" s="245">
        <v>0</v>
      </c>
      <c r="S211" s="245">
        <v>0</v>
      </c>
      <c r="T211" s="245">
        <v>0</v>
      </c>
      <c r="U211" s="245">
        <v>15</v>
      </c>
      <c r="V211" s="245">
        <v>0</v>
      </c>
      <c r="W211" s="259">
        <f t="shared" si="30"/>
        <v>1.5</v>
      </c>
      <c r="X211" s="271">
        <f t="shared" si="31"/>
        <v>15</v>
      </c>
      <c r="Z211" s="128"/>
      <c r="AA211" s="128"/>
      <c r="AB211" s="273"/>
    </row>
    <row r="212" s="23" customFormat="1" spans="1:28">
      <c r="A212" s="373"/>
      <c r="L212" s="246">
        <v>129</v>
      </c>
      <c r="M212" s="248">
        <v>0</v>
      </c>
      <c r="N212" s="248">
        <v>0</v>
      </c>
      <c r="O212" s="248">
        <v>0</v>
      </c>
      <c r="P212" s="248">
        <v>0</v>
      </c>
      <c r="Q212" s="256">
        <v>0</v>
      </c>
      <c r="R212" s="247">
        <v>0</v>
      </c>
      <c r="S212" s="248">
        <v>0</v>
      </c>
      <c r="T212" s="248">
        <v>10</v>
      </c>
      <c r="U212" s="248">
        <v>0</v>
      </c>
      <c r="V212" s="248">
        <v>0</v>
      </c>
      <c r="W212" s="260">
        <f t="shared" ref="W212:W228" si="45">AVERAGE(M212:V212)</f>
        <v>1</v>
      </c>
      <c r="X212" s="272">
        <f t="shared" ref="X212:X275" si="46">SUM(M212:V212)</f>
        <v>10</v>
      </c>
      <c r="Y212" s="276">
        <f>AVERAGE(M204:V213)</f>
        <v>2.8</v>
      </c>
      <c r="Z212" s="277" t="s">
        <v>2448</v>
      </c>
      <c r="AA212" s="263"/>
      <c r="AB212" s="264"/>
    </row>
    <row r="213" s="23" customFormat="1" spans="1:29">
      <c r="A213" s="373"/>
      <c r="L213" s="244">
        <v>130</v>
      </c>
      <c r="M213" s="287">
        <v>0</v>
      </c>
      <c r="N213" s="288">
        <v>20</v>
      </c>
      <c r="O213" s="288">
        <v>10</v>
      </c>
      <c r="P213" s="288">
        <v>0</v>
      </c>
      <c r="Q213" s="288">
        <v>15</v>
      </c>
      <c r="R213" s="288">
        <v>0</v>
      </c>
      <c r="S213" s="288">
        <v>0</v>
      </c>
      <c r="T213" s="288">
        <v>0</v>
      </c>
      <c r="U213" s="301">
        <v>15</v>
      </c>
      <c r="V213" s="293">
        <v>0</v>
      </c>
      <c r="W213" s="261">
        <f t="shared" si="45"/>
        <v>6</v>
      </c>
      <c r="X213" s="294">
        <f t="shared" si="46"/>
        <v>60</v>
      </c>
      <c r="Y213" s="278">
        <f>SUM(X204:X213)</f>
        <v>280</v>
      </c>
      <c r="Z213" s="277" t="s">
        <v>2510</v>
      </c>
      <c r="AA213" s="263"/>
      <c r="AB213" s="263"/>
      <c r="AC213" s="264"/>
    </row>
    <row r="214" s="23" customFormat="1" spans="1:32">
      <c r="A214" s="373"/>
      <c r="L214" s="241">
        <v>131</v>
      </c>
      <c r="M214" s="248">
        <v>0</v>
      </c>
      <c r="N214" s="247">
        <v>0</v>
      </c>
      <c r="O214" s="248">
        <v>0</v>
      </c>
      <c r="P214" s="248">
        <v>0</v>
      </c>
      <c r="Q214" s="248">
        <v>0</v>
      </c>
      <c r="R214" s="247">
        <v>0</v>
      </c>
      <c r="S214" s="248">
        <v>0</v>
      </c>
      <c r="T214" s="247">
        <v>0</v>
      </c>
      <c r="U214" s="248">
        <v>0</v>
      </c>
      <c r="V214" s="256">
        <v>0</v>
      </c>
      <c r="W214" s="260">
        <f t="shared" si="45"/>
        <v>0</v>
      </c>
      <c r="X214" s="272">
        <f t="shared" si="46"/>
        <v>0</v>
      </c>
      <c r="Z214" s="268" t="s">
        <v>2454</v>
      </c>
      <c r="AA214" s="268"/>
      <c r="AB214" s="269" t="s">
        <v>2425</v>
      </c>
      <c r="AC214" s="269"/>
      <c r="AD214" s="270" t="s">
        <v>2426</v>
      </c>
      <c r="AE214" s="270"/>
      <c r="AF214" s="23" t="s">
        <v>2427</v>
      </c>
    </row>
    <row r="215" s="23" customFormat="1" spans="1:26">
      <c r="A215" s="373"/>
      <c r="L215" s="244">
        <v>132</v>
      </c>
      <c r="M215" s="245">
        <v>0</v>
      </c>
      <c r="N215" s="245">
        <v>0</v>
      </c>
      <c r="O215" s="245">
        <v>0</v>
      </c>
      <c r="P215" s="245">
        <v>0</v>
      </c>
      <c r="Q215" s="245">
        <v>0</v>
      </c>
      <c r="R215" s="345">
        <v>0</v>
      </c>
      <c r="S215" s="245">
        <v>0</v>
      </c>
      <c r="T215" s="245">
        <v>0</v>
      </c>
      <c r="U215" s="245">
        <v>0</v>
      </c>
      <c r="V215" s="245">
        <v>0</v>
      </c>
      <c r="W215" s="259">
        <f t="shared" si="45"/>
        <v>0</v>
      </c>
      <c r="X215" s="271">
        <f t="shared" si="46"/>
        <v>0</v>
      </c>
      <c r="Z215" s="23" t="s">
        <v>2429</v>
      </c>
    </row>
    <row r="216" s="23" customFormat="1" spans="1:30">
      <c r="A216" s="373"/>
      <c r="L216" s="246">
        <v>133</v>
      </c>
      <c r="M216" s="248">
        <v>0</v>
      </c>
      <c r="N216" s="247">
        <v>0</v>
      </c>
      <c r="O216" s="248">
        <v>0</v>
      </c>
      <c r="P216" s="248">
        <v>0</v>
      </c>
      <c r="Q216" s="256">
        <v>0</v>
      </c>
      <c r="R216" s="248">
        <v>0</v>
      </c>
      <c r="S216" s="248">
        <v>10</v>
      </c>
      <c r="T216" s="248">
        <v>0</v>
      </c>
      <c r="U216" s="248">
        <v>0</v>
      </c>
      <c r="V216" s="248">
        <v>15</v>
      </c>
      <c r="W216" s="260">
        <f t="shared" si="45"/>
        <v>2.5</v>
      </c>
      <c r="X216" s="272">
        <f t="shared" si="46"/>
        <v>25</v>
      </c>
      <c r="Z216" s="128" t="s">
        <v>2430</v>
      </c>
      <c r="AA216" s="128">
        <f>COUNTIF(M214:V223,0)</f>
        <v>84</v>
      </c>
      <c r="AB216" s="273">
        <f t="shared" ref="AB216:AB220" si="47">(AA216/100)</f>
        <v>0.84</v>
      </c>
      <c r="AD216" s="23" t="s">
        <v>2431</v>
      </c>
    </row>
    <row r="217" s="23" customFormat="1" spans="1:34">
      <c r="A217" s="373"/>
      <c r="L217" s="244">
        <v>134</v>
      </c>
      <c r="M217" s="245">
        <v>0</v>
      </c>
      <c r="N217" s="345">
        <v>0</v>
      </c>
      <c r="O217" s="245">
        <v>0</v>
      </c>
      <c r="P217" s="245">
        <v>15</v>
      </c>
      <c r="Q217" s="378">
        <v>0</v>
      </c>
      <c r="R217" s="245">
        <v>0</v>
      </c>
      <c r="S217" s="255">
        <v>0</v>
      </c>
      <c r="T217" s="245">
        <v>0</v>
      </c>
      <c r="U217" s="245">
        <v>0</v>
      </c>
      <c r="V217" s="378">
        <v>0</v>
      </c>
      <c r="W217" s="259">
        <f t="shared" si="45"/>
        <v>1.5</v>
      </c>
      <c r="X217" s="271">
        <f t="shared" si="46"/>
        <v>15</v>
      </c>
      <c r="Z217" s="128" t="s">
        <v>2456</v>
      </c>
      <c r="AA217" s="128">
        <f>COUNTIF(M214:V223,10)</f>
        <v>5</v>
      </c>
      <c r="AB217" s="273">
        <f t="shared" si="47"/>
        <v>0.05</v>
      </c>
      <c r="AD217" s="274" t="s">
        <v>2434</v>
      </c>
      <c r="AE217" s="275"/>
      <c r="AF217" s="280" t="s">
        <v>2435</v>
      </c>
      <c r="AG217" s="275" t="s">
        <v>2436</v>
      </c>
      <c r="AH217" s="281"/>
    </row>
    <row r="218" s="23" customFormat="1" spans="1:33">
      <c r="A218" s="373"/>
      <c r="L218" s="246">
        <v>135</v>
      </c>
      <c r="M218" s="248">
        <v>0</v>
      </c>
      <c r="N218" s="248">
        <v>0</v>
      </c>
      <c r="O218" s="247">
        <v>0</v>
      </c>
      <c r="P218" s="248">
        <v>0</v>
      </c>
      <c r="Q218" s="247">
        <v>0</v>
      </c>
      <c r="R218" s="248">
        <v>0</v>
      </c>
      <c r="S218" s="248">
        <v>0</v>
      </c>
      <c r="T218" s="248">
        <v>0</v>
      </c>
      <c r="U218" s="247">
        <v>0</v>
      </c>
      <c r="V218" s="248">
        <v>0</v>
      </c>
      <c r="W218" s="260">
        <f t="shared" si="45"/>
        <v>0</v>
      </c>
      <c r="X218" s="272">
        <f t="shared" si="46"/>
        <v>0</v>
      </c>
      <c r="Z218" s="128" t="s">
        <v>2439</v>
      </c>
      <c r="AA218" s="128">
        <f>COUNTIF(M214:V223,15)</f>
        <v>10</v>
      </c>
      <c r="AB218" s="273">
        <f t="shared" si="47"/>
        <v>0.1</v>
      </c>
      <c r="AD218" s="23" t="s">
        <v>2509</v>
      </c>
      <c r="AF218" s="128">
        <v>8</v>
      </c>
      <c r="AG218" s="282">
        <f t="shared" ref="AG218:AG220" si="48">(AF218/100)</f>
        <v>0.08</v>
      </c>
    </row>
    <row r="219" s="23" customFormat="1" spans="1:33">
      <c r="A219" s="373"/>
      <c r="L219" s="244">
        <v>136</v>
      </c>
      <c r="M219" s="245">
        <v>0</v>
      </c>
      <c r="N219" s="255">
        <v>0</v>
      </c>
      <c r="O219" s="245">
        <v>0</v>
      </c>
      <c r="P219" s="245">
        <v>0</v>
      </c>
      <c r="Q219" s="345">
        <v>0</v>
      </c>
      <c r="R219" s="245">
        <v>0</v>
      </c>
      <c r="S219" s="245">
        <v>0</v>
      </c>
      <c r="T219" s="245">
        <v>15</v>
      </c>
      <c r="U219" s="245">
        <v>10</v>
      </c>
      <c r="V219" s="245">
        <v>0</v>
      </c>
      <c r="W219" s="259">
        <f t="shared" si="45"/>
        <v>2.5</v>
      </c>
      <c r="X219" s="271">
        <f t="shared" si="46"/>
        <v>25</v>
      </c>
      <c r="Z219" s="128" t="s">
        <v>2443</v>
      </c>
      <c r="AA219" s="128">
        <f>COUNTIF(M214:V223,20)</f>
        <v>1</v>
      </c>
      <c r="AB219" s="273">
        <f t="shared" si="47"/>
        <v>0.01</v>
      </c>
      <c r="AD219" s="23" t="s">
        <v>2440</v>
      </c>
      <c r="AF219" s="128">
        <v>16</v>
      </c>
      <c r="AG219" s="282">
        <f t="shared" si="48"/>
        <v>0.16</v>
      </c>
    </row>
    <row r="220" s="23" customFormat="1" spans="1:33">
      <c r="A220" s="373"/>
      <c r="L220" s="246">
        <v>137</v>
      </c>
      <c r="M220" s="248">
        <v>20</v>
      </c>
      <c r="N220" s="247">
        <v>0</v>
      </c>
      <c r="O220" s="248">
        <v>15</v>
      </c>
      <c r="P220" s="256">
        <v>0</v>
      </c>
      <c r="Q220" s="248">
        <v>0</v>
      </c>
      <c r="R220" s="247">
        <v>10</v>
      </c>
      <c r="S220" s="256">
        <v>10</v>
      </c>
      <c r="T220" s="248">
        <v>0</v>
      </c>
      <c r="U220" s="248">
        <v>0</v>
      </c>
      <c r="V220" s="248">
        <v>15</v>
      </c>
      <c r="W220" s="260">
        <f t="shared" si="45"/>
        <v>7</v>
      </c>
      <c r="X220" s="272">
        <f t="shared" si="46"/>
        <v>70</v>
      </c>
      <c r="Z220" s="128" t="s">
        <v>2505</v>
      </c>
      <c r="AA220" s="128">
        <f>COUNTIF(M214:V223,25)</f>
        <v>0</v>
      </c>
      <c r="AB220" s="273">
        <f t="shared" si="47"/>
        <v>0</v>
      </c>
      <c r="AD220" s="23" t="s">
        <v>2424</v>
      </c>
      <c r="AF220" s="128">
        <v>3</v>
      </c>
      <c r="AG220" s="282">
        <f t="shared" si="48"/>
        <v>0.03</v>
      </c>
    </row>
    <row r="221" s="23" customFormat="1" spans="1:28">
      <c r="A221" s="373"/>
      <c r="L221" s="244">
        <v>138</v>
      </c>
      <c r="M221" s="252">
        <v>0</v>
      </c>
      <c r="N221" s="245">
        <v>0</v>
      </c>
      <c r="O221" s="245">
        <v>0</v>
      </c>
      <c r="P221" s="245">
        <v>0</v>
      </c>
      <c r="Q221" s="255">
        <v>0</v>
      </c>
      <c r="R221" s="245">
        <v>0</v>
      </c>
      <c r="S221" s="245">
        <v>0</v>
      </c>
      <c r="T221" s="245">
        <v>15</v>
      </c>
      <c r="U221" s="245">
        <v>0</v>
      </c>
      <c r="V221" s="245">
        <v>0</v>
      </c>
      <c r="W221" s="259">
        <f t="shared" si="45"/>
        <v>1.5</v>
      </c>
      <c r="X221" s="271">
        <f t="shared" si="46"/>
        <v>15</v>
      </c>
      <c r="Z221" s="128"/>
      <c r="AA221" s="128"/>
      <c r="AB221" s="273"/>
    </row>
    <row r="222" s="23" customFormat="1" spans="1:28">
      <c r="A222" s="373"/>
      <c r="L222" s="246">
        <v>139</v>
      </c>
      <c r="M222" s="247">
        <v>0</v>
      </c>
      <c r="N222" s="248">
        <v>0</v>
      </c>
      <c r="O222" s="248">
        <v>15</v>
      </c>
      <c r="P222" s="247">
        <v>0</v>
      </c>
      <c r="Q222" s="256">
        <v>0</v>
      </c>
      <c r="R222" s="248">
        <v>0</v>
      </c>
      <c r="S222" s="248">
        <v>0</v>
      </c>
      <c r="T222" s="248">
        <v>0</v>
      </c>
      <c r="U222" s="248">
        <v>0</v>
      </c>
      <c r="V222" s="248">
        <v>10</v>
      </c>
      <c r="W222" s="260">
        <f t="shared" si="45"/>
        <v>2.5</v>
      </c>
      <c r="X222" s="272">
        <f t="shared" si="46"/>
        <v>25</v>
      </c>
      <c r="Y222" s="276">
        <f>AVERAGE(M214:V223)</f>
        <v>2.2</v>
      </c>
      <c r="Z222" s="277" t="s">
        <v>2448</v>
      </c>
      <c r="AA222" s="263"/>
      <c r="AB222" s="264"/>
    </row>
    <row r="223" s="23" customFormat="1" spans="1:29">
      <c r="A223" s="373"/>
      <c r="L223" s="300">
        <v>140</v>
      </c>
      <c r="M223" s="287">
        <v>0</v>
      </c>
      <c r="N223" s="288">
        <v>0</v>
      </c>
      <c r="O223" s="288">
        <v>0</v>
      </c>
      <c r="P223" s="288">
        <v>15</v>
      </c>
      <c r="Q223" s="288">
        <v>15</v>
      </c>
      <c r="R223" s="288">
        <v>0</v>
      </c>
      <c r="S223" s="288">
        <v>0</v>
      </c>
      <c r="T223" s="288">
        <v>0</v>
      </c>
      <c r="U223" s="288">
        <v>15</v>
      </c>
      <c r="V223" s="293">
        <v>0</v>
      </c>
      <c r="W223" s="261">
        <f t="shared" si="45"/>
        <v>4.5</v>
      </c>
      <c r="X223" s="294">
        <f t="shared" si="46"/>
        <v>45</v>
      </c>
      <c r="Y223" s="278">
        <f>SUM(X214:X223)</f>
        <v>220</v>
      </c>
      <c r="Z223" s="277" t="s">
        <v>2460</v>
      </c>
      <c r="AA223" s="263"/>
      <c r="AB223" s="263"/>
      <c r="AC223" s="264"/>
    </row>
    <row r="224" s="23" customFormat="1" spans="1:32">
      <c r="A224" s="373"/>
      <c r="L224" s="246">
        <v>141</v>
      </c>
      <c r="M224" s="248">
        <v>15</v>
      </c>
      <c r="N224" s="248">
        <v>0</v>
      </c>
      <c r="O224" s="248">
        <v>0</v>
      </c>
      <c r="P224" s="256">
        <v>0</v>
      </c>
      <c r="Q224" s="248">
        <v>20</v>
      </c>
      <c r="R224" s="247">
        <v>0</v>
      </c>
      <c r="S224" s="248">
        <v>0</v>
      </c>
      <c r="T224" s="248">
        <v>0</v>
      </c>
      <c r="U224" s="248">
        <v>0</v>
      </c>
      <c r="V224" s="247">
        <v>0</v>
      </c>
      <c r="W224" s="260">
        <f t="shared" si="45"/>
        <v>3.5</v>
      </c>
      <c r="X224" s="272">
        <f t="shared" si="46"/>
        <v>35</v>
      </c>
      <c r="Z224" s="268" t="s">
        <v>2424</v>
      </c>
      <c r="AA224" s="268"/>
      <c r="AB224" s="269" t="s">
        <v>2425</v>
      </c>
      <c r="AC224" s="269"/>
      <c r="AD224" s="270" t="s">
        <v>2426</v>
      </c>
      <c r="AE224" s="270"/>
      <c r="AF224" s="23" t="s">
        <v>2427</v>
      </c>
    </row>
    <row r="225" s="23" customFormat="1" spans="1:26">
      <c r="A225" s="373"/>
      <c r="L225" s="244">
        <v>142</v>
      </c>
      <c r="M225" s="245">
        <v>0</v>
      </c>
      <c r="N225" s="245">
        <v>0</v>
      </c>
      <c r="O225" s="245">
        <v>20</v>
      </c>
      <c r="P225" s="245">
        <v>0</v>
      </c>
      <c r="Q225" s="245">
        <v>0</v>
      </c>
      <c r="R225" s="245">
        <v>0</v>
      </c>
      <c r="S225" s="245">
        <v>0</v>
      </c>
      <c r="T225" s="245">
        <v>0</v>
      </c>
      <c r="U225" s="255">
        <v>0</v>
      </c>
      <c r="V225" s="245">
        <v>0</v>
      </c>
      <c r="W225" s="259">
        <f t="shared" si="45"/>
        <v>2</v>
      </c>
      <c r="X225" s="271">
        <f t="shared" si="46"/>
        <v>20</v>
      </c>
      <c r="Z225" s="23" t="s">
        <v>2429</v>
      </c>
    </row>
    <row r="226" s="23" customFormat="1" spans="1:30">
      <c r="A226" s="373"/>
      <c r="L226" s="246">
        <v>143</v>
      </c>
      <c r="M226" s="248">
        <v>10</v>
      </c>
      <c r="N226" s="248">
        <v>0</v>
      </c>
      <c r="O226" s="247">
        <v>15</v>
      </c>
      <c r="P226" s="248">
        <v>0</v>
      </c>
      <c r="Q226" s="248">
        <v>0</v>
      </c>
      <c r="R226" s="247">
        <v>0</v>
      </c>
      <c r="S226" s="359">
        <v>0</v>
      </c>
      <c r="T226" s="248">
        <v>0</v>
      </c>
      <c r="U226" s="256">
        <v>0</v>
      </c>
      <c r="V226" s="248">
        <v>20</v>
      </c>
      <c r="W226" s="260">
        <f t="shared" si="45"/>
        <v>4.5</v>
      </c>
      <c r="X226" s="272">
        <f t="shared" si="46"/>
        <v>45</v>
      </c>
      <c r="Z226" s="128" t="s">
        <v>2430</v>
      </c>
      <c r="AA226" s="128">
        <f>COUNTIF(M224:V233,0)</f>
        <v>39</v>
      </c>
      <c r="AB226" s="273">
        <f t="shared" ref="AB226:AB231" si="49">(AA226/100)</f>
        <v>0.39</v>
      </c>
      <c r="AD226" s="23" t="s">
        <v>2431</v>
      </c>
    </row>
    <row r="227" s="23" customFormat="1" spans="1:34">
      <c r="A227" s="373"/>
      <c r="L227" s="244">
        <v>144</v>
      </c>
      <c r="M227" s="245">
        <v>0</v>
      </c>
      <c r="N227" s="245">
        <v>0</v>
      </c>
      <c r="O227" s="245">
        <v>15</v>
      </c>
      <c r="P227" s="245">
        <v>0</v>
      </c>
      <c r="Q227" s="245">
        <v>0</v>
      </c>
      <c r="R227" s="245">
        <v>0</v>
      </c>
      <c r="S227" s="245">
        <v>15</v>
      </c>
      <c r="T227" s="245">
        <v>0</v>
      </c>
      <c r="U227" s="245">
        <v>0</v>
      </c>
      <c r="V227" s="245">
        <v>0</v>
      </c>
      <c r="W227" s="259">
        <f t="shared" si="45"/>
        <v>3</v>
      </c>
      <c r="X227" s="271">
        <f t="shared" si="46"/>
        <v>30</v>
      </c>
      <c r="Z227" s="128" t="s">
        <v>2456</v>
      </c>
      <c r="AA227" s="128">
        <f>COUNTIF(M224:V233,10)</f>
        <v>2</v>
      </c>
      <c r="AB227" s="273">
        <f t="shared" si="49"/>
        <v>0.02</v>
      </c>
      <c r="AD227" s="274" t="s">
        <v>2434</v>
      </c>
      <c r="AE227" s="275"/>
      <c r="AF227" s="280" t="s">
        <v>2435</v>
      </c>
      <c r="AG227" s="275" t="s">
        <v>2436</v>
      </c>
      <c r="AH227" s="281"/>
    </row>
    <row r="228" s="23" customFormat="1" spans="1:33">
      <c r="A228" s="373"/>
      <c r="L228" s="246">
        <v>145</v>
      </c>
      <c r="M228" s="359">
        <v>15</v>
      </c>
      <c r="N228" s="359">
        <v>0</v>
      </c>
      <c r="O228" s="247">
        <v>0</v>
      </c>
      <c r="P228" s="247">
        <v>0</v>
      </c>
      <c r="Q228" s="248">
        <v>0</v>
      </c>
      <c r="R228" s="248">
        <v>0</v>
      </c>
      <c r="S228" s="247">
        <v>0</v>
      </c>
      <c r="T228" s="248">
        <v>0</v>
      </c>
      <c r="U228" s="248">
        <v>25</v>
      </c>
      <c r="V228" s="248">
        <v>10</v>
      </c>
      <c r="W228" s="260">
        <f t="shared" si="45"/>
        <v>5</v>
      </c>
      <c r="X228" s="272">
        <f t="shared" si="46"/>
        <v>50</v>
      </c>
      <c r="Z228" s="128" t="s">
        <v>2439</v>
      </c>
      <c r="AA228" s="128">
        <f>COUNTIF(M224:V233,15)</f>
        <v>5</v>
      </c>
      <c r="AB228" s="273">
        <f t="shared" si="49"/>
        <v>0.05</v>
      </c>
      <c r="AD228" s="23" t="s">
        <v>2438</v>
      </c>
      <c r="AF228" s="128">
        <v>2</v>
      </c>
      <c r="AG228" s="282">
        <f t="shared" ref="AG228:AG230" si="50">(AF228/100)</f>
        <v>0.02</v>
      </c>
    </row>
    <row r="229" s="23" customFormat="1" spans="1:33">
      <c r="A229" s="373"/>
      <c r="L229" s="244">
        <v>146</v>
      </c>
      <c r="M229" s="245"/>
      <c r="N229" s="245"/>
      <c r="O229" s="245"/>
      <c r="P229" s="245"/>
      <c r="Q229" s="245"/>
      <c r="R229" s="245"/>
      <c r="S229" s="245"/>
      <c r="T229" s="245"/>
      <c r="U229" s="245"/>
      <c r="V229" s="245"/>
      <c r="W229" s="259" t="e">
        <v>#DIV/0!</v>
      </c>
      <c r="X229" s="271">
        <f t="shared" si="46"/>
        <v>0</v>
      </c>
      <c r="Z229" s="128" t="s">
        <v>2443</v>
      </c>
      <c r="AA229" s="128">
        <f>COUNTIF(M224:V233,20)</f>
        <v>3</v>
      </c>
      <c r="AB229" s="273">
        <f t="shared" si="49"/>
        <v>0.03</v>
      </c>
      <c r="AD229" s="23" t="s">
        <v>2440</v>
      </c>
      <c r="AF229" s="128">
        <v>8</v>
      </c>
      <c r="AG229" s="282">
        <f t="shared" si="50"/>
        <v>0.08</v>
      </c>
    </row>
    <row r="230" s="23" customFormat="1" spans="1:33">
      <c r="A230" s="373"/>
      <c r="L230" s="246">
        <v>147</v>
      </c>
      <c r="M230" s="248"/>
      <c r="N230" s="248"/>
      <c r="O230" s="248"/>
      <c r="P230" s="248"/>
      <c r="Q230" s="248"/>
      <c r="R230" s="248"/>
      <c r="S230" s="248"/>
      <c r="T230" s="248"/>
      <c r="U230" s="248"/>
      <c r="V230" s="248"/>
      <c r="W230" s="260" t="e">
        <v>#DIV/0!</v>
      </c>
      <c r="X230" s="272">
        <f t="shared" si="46"/>
        <v>0</v>
      </c>
      <c r="Z230" s="128" t="s">
        <v>2505</v>
      </c>
      <c r="AA230" s="128">
        <f>COUNTIF(M224:V233,25)</f>
        <v>1</v>
      </c>
      <c r="AB230" s="273">
        <f t="shared" si="49"/>
        <v>0.01</v>
      </c>
      <c r="AD230" s="23" t="s">
        <v>2454</v>
      </c>
      <c r="AF230" s="128">
        <v>3</v>
      </c>
      <c r="AG230" s="282">
        <f t="shared" si="50"/>
        <v>0.03</v>
      </c>
    </row>
    <row r="231" s="23" customFormat="1" spans="1:28">
      <c r="A231" s="373"/>
      <c r="L231" s="244">
        <v>148</v>
      </c>
      <c r="M231" s="245"/>
      <c r="N231" s="245"/>
      <c r="O231" s="245"/>
      <c r="P231" s="245"/>
      <c r="Q231" s="245"/>
      <c r="R231" s="245"/>
      <c r="S231" s="245"/>
      <c r="T231" s="245"/>
      <c r="U231" s="245"/>
      <c r="V231" s="245"/>
      <c r="W231" s="259" t="e">
        <v>#DIV/0!</v>
      </c>
      <c r="X231" s="271">
        <f t="shared" si="46"/>
        <v>0</v>
      </c>
      <c r="Z231" s="128" t="s">
        <v>2458</v>
      </c>
      <c r="AA231" s="128">
        <f>COUNTBLANK(M224:V233)</f>
        <v>50</v>
      </c>
      <c r="AB231" s="273">
        <f t="shared" si="49"/>
        <v>0.5</v>
      </c>
    </row>
    <row r="232" s="23" customFormat="1" spans="1:28">
      <c r="A232" s="373"/>
      <c r="L232" s="246">
        <v>149</v>
      </c>
      <c r="M232" s="248"/>
      <c r="N232" s="248"/>
      <c r="O232" s="248"/>
      <c r="P232" s="248"/>
      <c r="Q232" s="248"/>
      <c r="R232" s="248"/>
      <c r="S232" s="248"/>
      <c r="T232" s="248"/>
      <c r="U232" s="248"/>
      <c r="V232" s="248"/>
      <c r="W232" s="260" t="e">
        <v>#DIV/0!</v>
      </c>
      <c r="X232" s="272">
        <f t="shared" si="46"/>
        <v>0</v>
      </c>
      <c r="Y232" s="276">
        <f>AVERAGE(M224:V233)</f>
        <v>3.6</v>
      </c>
      <c r="Z232" s="277" t="s">
        <v>2448</v>
      </c>
      <c r="AA232" s="263"/>
      <c r="AB232" s="264"/>
    </row>
    <row r="233" s="23" customFormat="1" ht="15" customHeight="1" spans="1:29">
      <c r="A233" s="373"/>
      <c r="L233" s="283">
        <v>150</v>
      </c>
      <c r="M233" s="284"/>
      <c r="N233" s="286"/>
      <c r="O233" s="286"/>
      <c r="P233" s="286"/>
      <c r="Q233" s="286"/>
      <c r="R233" s="286"/>
      <c r="S233" s="286"/>
      <c r="T233" s="286"/>
      <c r="U233" s="286"/>
      <c r="V233" s="290"/>
      <c r="W233" s="291" t="e">
        <v>#DIV/0!</v>
      </c>
      <c r="X233" s="295">
        <f t="shared" si="46"/>
        <v>0</v>
      </c>
      <c r="Y233" s="278">
        <f>SUM(X224:X233)</f>
        <v>180</v>
      </c>
      <c r="Z233" s="277" t="s">
        <v>2445</v>
      </c>
      <c r="AA233" s="263"/>
      <c r="AB233" s="263"/>
      <c r="AC233" s="264"/>
    </row>
    <row r="234" s="23" customFormat="1" spans="1:32">
      <c r="A234" s="373"/>
      <c r="L234" s="246">
        <v>151</v>
      </c>
      <c r="M234" s="248"/>
      <c r="N234" s="248"/>
      <c r="O234" s="248"/>
      <c r="P234" s="248"/>
      <c r="Q234" s="248"/>
      <c r="R234" s="248"/>
      <c r="S234" s="248"/>
      <c r="T234" s="248"/>
      <c r="U234" s="248"/>
      <c r="V234" s="248"/>
      <c r="W234" s="260" t="e">
        <v>#DIV/0!</v>
      </c>
      <c r="X234" s="272">
        <f t="shared" si="46"/>
        <v>0</v>
      </c>
      <c r="Z234" s="268" t="s">
        <v>2454</v>
      </c>
      <c r="AA234" s="268"/>
      <c r="AB234" s="269" t="s">
        <v>2425</v>
      </c>
      <c r="AC234" s="269"/>
      <c r="AD234" s="270" t="s">
        <v>2426</v>
      </c>
      <c r="AE234" s="270"/>
      <c r="AF234" s="23" t="s">
        <v>2427</v>
      </c>
    </row>
    <row r="235" s="23" customFormat="1" spans="1:26">
      <c r="A235" s="373"/>
      <c r="L235" s="244">
        <v>152</v>
      </c>
      <c r="M235" s="245"/>
      <c r="N235" s="245"/>
      <c r="O235" s="245"/>
      <c r="P235" s="245"/>
      <c r="Q235" s="245"/>
      <c r="R235" s="245"/>
      <c r="S235" s="245"/>
      <c r="T235" s="245"/>
      <c r="U235" s="245"/>
      <c r="V235" s="245"/>
      <c r="W235" s="259" t="e">
        <v>#DIV/0!</v>
      </c>
      <c r="X235" s="271">
        <f t="shared" si="46"/>
        <v>0</v>
      </c>
      <c r="Z235" s="23" t="s">
        <v>2429</v>
      </c>
    </row>
    <row r="236" s="23" customFormat="1" spans="1:30">
      <c r="A236" s="373"/>
      <c r="L236" s="246">
        <v>153</v>
      </c>
      <c r="M236" s="248"/>
      <c r="N236" s="248"/>
      <c r="O236" s="248"/>
      <c r="P236" s="248"/>
      <c r="Q236" s="248"/>
      <c r="R236" s="248"/>
      <c r="S236" s="248"/>
      <c r="T236" s="248"/>
      <c r="U236" s="248"/>
      <c r="V236" s="248"/>
      <c r="W236" s="260" t="e">
        <v>#DIV/0!</v>
      </c>
      <c r="X236" s="272">
        <f t="shared" si="46"/>
        <v>0</v>
      </c>
      <c r="Z236" s="128" t="s">
        <v>2430</v>
      </c>
      <c r="AA236" s="128">
        <f>COUNTIF(M234:V243,0)</f>
        <v>0</v>
      </c>
      <c r="AB236" s="273">
        <f t="shared" ref="AB236:AB241" si="51">(AA236/100)</f>
        <v>0</v>
      </c>
      <c r="AD236" s="23" t="s">
        <v>2431</v>
      </c>
    </row>
    <row r="237" s="23" customFormat="1" spans="1:34">
      <c r="A237" s="373"/>
      <c r="L237" s="244">
        <v>154</v>
      </c>
      <c r="M237" s="245"/>
      <c r="N237" s="245"/>
      <c r="O237" s="245"/>
      <c r="P237" s="245"/>
      <c r="Q237" s="245"/>
      <c r="R237" s="245"/>
      <c r="S237" s="245"/>
      <c r="T237" s="245"/>
      <c r="U237" s="245"/>
      <c r="V237" s="245"/>
      <c r="W237" s="259" t="e">
        <v>#DIV/0!</v>
      </c>
      <c r="X237" s="271">
        <f t="shared" si="46"/>
        <v>0</v>
      </c>
      <c r="Z237" s="128" t="s">
        <v>2456</v>
      </c>
      <c r="AA237" s="128">
        <f>COUNTIF(M234:V243,10)</f>
        <v>0</v>
      </c>
      <c r="AB237" s="273">
        <f t="shared" si="51"/>
        <v>0</v>
      </c>
      <c r="AD237" s="274" t="s">
        <v>2434</v>
      </c>
      <c r="AE237" s="275"/>
      <c r="AF237" s="280" t="s">
        <v>2435</v>
      </c>
      <c r="AG237" s="275" t="s">
        <v>2436</v>
      </c>
      <c r="AH237" s="281"/>
    </row>
    <row r="238" s="23" customFormat="1" spans="1:33">
      <c r="A238" s="373"/>
      <c r="L238" s="246">
        <v>155</v>
      </c>
      <c r="M238" s="248"/>
      <c r="N238" s="248"/>
      <c r="O238" s="248"/>
      <c r="P238" s="248"/>
      <c r="Q238" s="248"/>
      <c r="R238" s="248"/>
      <c r="S238" s="248"/>
      <c r="T238" s="248"/>
      <c r="U238" s="248"/>
      <c r="V238" s="248"/>
      <c r="W238" s="260" t="e">
        <v>#DIV/0!</v>
      </c>
      <c r="X238" s="272">
        <f t="shared" si="46"/>
        <v>0</v>
      </c>
      <c r="Z238" s="128" t="s">
        <v>2439</v>
      </c>
      <c r="AA238" s="128">
        <f>COUNTIF(M234:V243,15)</f>
        <v>0</v>
      </c>
      <c r="AB238" s="273">
        <f t="shared" si="51"/>
        <v>0</v>
      </c>
      <c r="AD238" s="23" t="s">
        <v>2438</v>
      </c>
      <c r="AF238" s="128">
        <v>0</v>
      </c>
      <c r="AG238" s="282">
        <f t="shared" ref="AG238:AG240" si="52">(AF238/100)</f>
        <v>0</v>
      </c>
    </row>
    <row r="239" s="23" customFormat="1" spans="1:33">
      <c r="A239" s="373"/>
      <c r="L239" s="244">
        <v>156</v>
      </c>
      <c r="M239" s="245"/>
      <c r="N239" s="245"/>
      <c r="O239" s="245"/>
      <c r="P239" s="245"/>
      <c r="Q239" s="245"/>
      <c r="R239" s="245"/>
      <c r="S239" s="245"/>
      <c r="T239" s="245"/>
      <c r="U239" s="245"/>
      <c r="V239" s="245"/>
      <c r="W239" s="259" t="e">
        <v>#DIV/0!</v>
      </c>
      <c r="X239" s="271">
        <f t="shared" si="46"/>
        <v>0</v>
      </c>
      <c r="Z239" s="128" t="s">
        <v>2443</v>
      </c>
      <c r="AA239" s="128">
        <f>COUNTIF(M234:V243,20)</f>
        <v>0</v>
      </c>
      <c r="AB239" s="273">
        <f t="shared" si="51"/>
        <v>0</v>
      </c>
      <c r="AD239" s="23" t="s">
        <v>2440</v>
      </c>
      <c r="AF239" s="128">
        <v>0</v>
      </c>
      <c r="AG239" s="282">
        <f t="shared" si="52"/>
        <v>0</v>
      </c>
    </row>
    <row r="240" s="23" customFormat="1" spans="1:33">
      <c r="A240" s="373"/>
      <c r="L240" s="246">
        <v>157</v>
      </c>
      <c r="M240" s="248"/>
      <c r="N240" s="248"/>
      <c r="O240" s="248"/>
      <c r="P240" s="248"/>
      <c r="Q240" s="248"/>
      <c r="R240" s="248"/>
      <c r="S240" s="248"/>
      <c r="T240" s="248"/>
      <c r="U240" s="248"/>
      <c r="V240" s="248"/>
      <c r="W240" s="260" t="e">
        <v>#DIV/0!</v>
      </c>
      <c r="X240" s="272">
        <f t="shared" si="46"/>
        <v>0</v>
      </c>
      <c r="Z240" s="128" t="s">
        <v>2505</v>
      </c>
      <c r="AA240" s="128">
        <f>COUNTIF(M234:V243,25)</f>
        <v>0</v>
      </c>
      <c r="AB240" s="273">
        <f t="shared" si="51"/>
        <v>0</v>
      </c>
      <c r="AD240" s="23" t="s">
        <v>2454</v>
      </c>
      <c r="AF240" s="128">
        <v>0</v>
      </c>
      <c r="AG240" s="282">
        <f t="shared" si="52"/>
        <v>0</v>
      </c>
    </row>
    <row r="241" s="23" customFormat="1" spans="1:28">
      <c r="A241" s="373"/>
      <c r="L241" s="244">
        <v>158</v>
      </c>
      <c r="M241" s="245"/>
      <c r="N241" s="245"/>
      <c r="O241" s="245"/>
      <c r="P241" s="245"/>
      <c r="Q241" s="245"/>
      <c r="R241" s="245"/>
      <c r="S241" s="245"/>
      <c r="T241" s="245"/>
      <c r="U241" s="245"/>
      <c r="V241" s="245"/>
      <c r="W241" s="259" t="e">
        <v>#DIV/0!</v>
      </c>
      <c r="X241" s="271">
        <f t="shared" si="46"/>
        <v>0</v>
      </c>
      <c r="Z241" s="128" t="s">
        <v>2467</v>
      </c>
      <c r="AA241" s="128">
        <f>COUNTBLANK(M234:V243)</f>
        <v>100</v>
      </c>
      <c r="AB241" s="273">
        <f t="shared" si="51"/>
        <v>1</v>
      </c>
    </row>
    <row r="242" s="23" customFormat="1" spans="1:28">
      <c r="A242" s="373"/>
      <c r="L242" s="246">
        <v>159</v>
      </c>
      <c r="M242" s="248"/>
      <c r="N242" s="248"/>
      <c r="O242" s="248"/>
      <c r="P242" s="248"/>
      <c r="Q242" s="248"/>
      <c r="R242" s="248"/>
      <c r="S242" s="248"/>
      <c r="T242" s="248"/>
      <c r="U242" s="248"/>
      <c r="V242" s="248"/>
      <c r="W242" s="260" t="e">
        <v>#DIV/0!</v>
      </c>
      <c r="X242" s="272">
        <f t="shared" si="46"/>
        <v>0</v>
      </c>
      <c r="Y242" s="276" t="e">
        <v>#DIV/0!</v>
      </c>
      <c r="Z242" s="277" t="s">
        <v>2444</v>
      </c>
      <c r="AA242" s="263"/>
      <c r="AB242" s="264"/>
    </row>
    <row r="243" s="23" customFormat="1" spans="1:29">
      <c r="A243" s="373"/>
      <c r="L243" s="300">
        <v>160</v>
      </c>
      <c r="M243" s="287"/>
      <c r="N243" s="288"/>
      <c r="O243" s="288"/>
      <c r="P243" s="288"/>
      <c r="Q243" s="288"/>
      <c r="R243" s="288"/>
      <c r="S243" s="288"/>
      <c r="T243" s="288"/>
      <c r="U243" s="288"/>
      <c r="V243" s="293"/>
      <c r="W243" s="261" t="e">
        <v>#DIV/0!</v>
      </c>
      <c r="X243" s="294">
        <f t="shared" si="46"/>
        <v>0</v>
      </c>
      <c r="Y243" s="278">
        <f>SUM(X234:X243)</f>
        <v>0</v>
      </c>
      <c r="Z243" s="277" t="s">
        <v>2460</v>
      </c>
      <c r="AA243" s="263"/>
      <c r="AB243" s="263"/>
      <c r="AC243" s="264"/>
    </row>
    <row r="244" s="23" customFormat="1" spans="1:32">
      <c r="A244" s="373"/>
      <c r="L244" s="246">
        <v>161</v>
      </c>
      <c r="M244" s="248"/>
      <c r="N244" s="248"/>
      <c r="O244" s="248"/>
      <c r="P244" s="248"/>
      <c r="Q244" s="248"/>
      <c r="R244" s="248"/>
      <c r="S244" s="248"/>
      <c r="T244" s="248"/>
      <c r="U244" s="248"/>
      <c r="V244" s="248"/>
      <c r="W244" s="260" t="e">
        <v>#DIV/0!</v>
      </c>
      <c r="X244" s="272">
        <f t="shared" si="46"/>
        <v>0</v>
      </c>
      <c r="Z244" s="268" t="s">
        <v>2454</v>
      </c>
      <c r="AA244" s="268"/>
      <c r="AB244" s="269" t="s">
        <v>2425</v>
      </c>
      <c r="AC244" s="269"/>
      <c r="AD244" s="270" t="s">
        <v>2426</v>
      </c>
      <c r="AE244" s="270"/>
      <c r="AF244" s="23" t="s">
        <v>2427</v>
      </c>
    </row>
    <row r="245" s="23" customFormat="1" spans="1:26">
      <c r="A245" s="373"/>
      <c r="L245" s="244">
        <v>162</v>
      </c>
      <c r="M245" s="245"/>
      <c r="N245" s="245"/>
      <c r="O245" s="245"/>
      <c r="P245" s="245"/>
      <c r="Q245" s="245"/>
      <c r="R245" s="245"/>
      <c r="S245" s="245"/>
      <c r="T245" s="245"/>
      <c r="U245" s="245"/>
      <c r="V245" s="245"/>
      <c r="W245" s="259" t="e">
        <v>#DIV/0!</v>
      </c>
      <c r="X245" s="271">
        <f t="shared" si="46"/>
        <v>0</v>
      </c>
      <c r="Z245" s="23" t="s">
        <v>2429</v>
      </c>
    </row>
    <row r="246" s="23" customFormat="1" spans="1:30">
      <c r="A246" s="373"/>
      <c r="L246" s="246">
        <v>163</v>
      </c>
      <c r="M246" s="248"/>
      <c r="N246" s="248"/>
      <c r="O246" s="248"/>
      <c r="P246" s="248"/>
      <c r="Q246" s="248"/>
      <c r="R246" s="248"/>
      <c r="S246" s="248"/>
      <c r="T246" s="248"/>
      <c r="U246" s="248"/>
      <c r="V246" s="248"/>
      <c r="W246" s="260" t="e">
        <v>#DIV/0!</v>
      </c>
      <c r="X246" s="272">
        <f t="shared" si="46"/>
        <v>0</v>
      </c>
      <c r="Z246" s="128" t="s">
        <v>2430</v>
      </c>
      <c r="AA246" s="128">
        <f>COUNTIF(M244:V253,0)</f>
        <v>0</v>
      </c>
      <c r="AB246" s="273">
        <f t="shared" ref="AB246:AB251" si="53">(AA246/100)</f>
        <v>0</v>
      </c>
      <c r="AD246" s="23" t="s">
        <v>2431</v>
      </c>
    </row>
    <row r="247" s="23" customFormat="1" spans="1:34">
      <c r="A247" s="373"/>
      <c r="L247" s="244">
        <v>164</v>
      </c>
      <c r="M247" s="245"/>
      <c r="N247" s="245"/>
      <c r="O247" s="245"/>
      <c r="P247" s="245"/>
      <c r="Q247" s="245"/>
      <c r="R247" s="245"/>
      <c r="S247" s="245"/>
      <c r="T247" s="245"/>
      <c r="U247" s="245"/>
      <c r="V247" s="245"/>
      <c r="W247" s="259" t="e">
        <v>#DIV/0!</v>
      </c>
      <c r="X247" s="271">
        <f t="shared" si="46"/>
        <v>0</v>
      </c>
      <c r="Z247" s="128" t="s">
        <v>2456</v>
      </c>
      <c r="AA247" s="128">
        <f>COUNTIF(M244:V253,10)</f>
        <v>0</v>
      </c>
      <c r="AB247" s="273">
        <f t="shared" si="53"/>
        <v>0</v>
      </c>
      <c r="AD247" s="274" t="s">
        <v>2434</v>
      </c>
      <c r="AE247" s="275"/>
      <c r="AF247" s="280" t="s">
        <v>2435</v>
      </c>
      <c r="AG247" s="275" t="s">
        <v>2436</v>
      </c>
      <c r="AH247" s="281"/>
    </row>
    <row r="248" s="23" customFormat="1" spans="1:33">
      <c r="A248" s="373"/>
      <c r="L248" s="246">
        <v>165</v>
      </c>
      <c r="M248" s="248"/>
      <c r="N248" s="248"/>
      <c r="O248" s="248"/>
      <c r="P248" s="248"/>
      <c r="Q248" s="248"/>
      <c r="R248" s="248"/>
      <c r="S248" s="248"/>
      <c r="T248" s="248"/>
      <c r="U248" s="248"/>
      <c r="V248" s="248"/>
      <c r="W248" s="260" t="e">
        <v>#DIV/0!</v>
      </c>
      <c r="X248" s="272">
        <f t="shared" si="46"/>
        <v>0</v>
      </c>
      <c r="Z248" s="128" t="s">
        <v>2439</v>
      </c>
      <c r="AA248" s="128">
        <f>COUNTIF(M244:V253,15)</f>
        <v>0</v>
      </c>
      <c r="AB248" s="273">
        <f t="shared" si="53"/>
        <v>0</v>
      </c>
      <c r="AD248" s="23" t="s">
        <v>2438</v>
      </c>
      <c r="AF248" s="128">
        <v>0</v>
      </c>
      <c r="AG248" s="282">
        <f t="shared" ref="AG248:AG250" si="54">(AF248/100)</f>
        <v>0</v>
      </c>
    </row>
    <row r="249" s="23" customFormat="1" spans="1:33">
      <c r="A249" s="373"/>
      <c r="L249" s="244">
        <v>166</v>
      </c>
      <c r="M249" s="245"/>
      <c r="N249" s="245"/>
      <c r="O249" s="245"/>
      <c r="P249" s="245"/>
      <c r="Q249" s="245"/>
      <c r="R249" s="245"/>
      <c r="S249" s="245"/>
      <c r="T249" s="245"/>
      <c r="U249" s="245"/>
      <c r="V249" s="245"/>
      <c r="W249" s="259" t="e">
        <v>#DIV/0!</v>
      </c>
      <c r="X249" s="271">
        <f t="shared" si="46"/>
        <v>0</v>
      </c>
      <c r="Z249" s="128" t="s">
        <v>2443</v>
      </c>
      <c r="AA249" s="128">
        <f>COUNTIF(M244:V253,20)</f>
        <v>0</v>
      </c>
      <c r="AB249" s="273">
        <f t="shared" si="53"/>
        <v>0</v>
      </c>
      <c r="AD249" s="23" t="s">
        <v>2440</v>
      </c>
      <c r="AF249" s="128">
        <v>0</v>
      </c>
      <c r="AG249" s="282">
        <f t="shared" si="54"/>
        <v>0</v>
      </c>
    </row>
    <row r="250" s="23" customFormat="1" spans="1:33">
      <c r="A250" s="373"/>
      <c r="L250" s="246">
        <v>167</v>
      </c>
      <c r="M250" s="248"/>
      <c r="N250" s="248"/>
      <c r="O250" s="248"/>
      <c r="P250" s="248"/>
      <c r="Q250" s="248"/>
      <c r="R250" s="248"/>
      <c r="S250" s="248"/>
      <c r="T250" s="248"/>
      <c r="U250" s="248"/>
      <c r="V250" s="248"/>
      <c r="W250" s="260" t="e">
        <v>#DIV/0!</v>
      </c>
      <c r="X250" s="272">
        <f t="shared" si="46"/>
        <v>0</v>
      </c>
      <c r="Z250" s="128" t="s">
        <v>2505</v>
      </c>
      <c r="AA250" s="128">
        <f>COUNTIF(M244:V253,25)</f>
        <v>0</v>
      </c>
      <c r="AB250" s="273">
        <f t="shared" si="53"/>
        <v>0</v>
      </c>
      <c r="AD250" s="23" t="s">
        <v>2454</v>
      </c>
      <c r="AF250" s="128">
        <v>0</v>
      </c>
      <c r="AG250" s="282">
        <f t="shared" si="54"/>
        <v>0</v>
      </c>
    </row>
    <row r="251" s="23" customFormat="1" spans="1:28">
      <c r="A251" s="373"/>
      <c r="L251" s="244">
        <v>168</v>
      </c>
      <c r="M251" s="245"/>
      <c r="N251" s="245"/>
      <c r="O251" s="245"/>
      <c r="P251" s="245"/>
      <c r="Q251" s="245"/>
      <c r="R251" s="245"/>
      <c r="S251" s="245"/>
      <c r="T251" s="245"/>
      <c r="U251" s="245"/>
      <c r="V251" s="245"/>
      <c r="W251" s="259" t="e">
        <v>#DIV/0!</v>
      </c>
      <c r="X251" s="271">
        <f t="shared" si="46"/>
        <v>0</v>
      </c>
      <c r="Z251" s="128" t="s">
        <v>2467</v>
      </c>
      <c r="AA251" s="128">
        <f>COUNTBLANK(M244:V253)</f>
        <v>100</v>
      </c>
      <c r="AB251" s="273">
        <f t="shared" si="53"/>
        <v>1</v>
      </c>
    </row>
    <row r="252" s="23" customFormat="1" spans="1:28">
      <c r="A252" s="373"/>
      <c r="L252" s="246">
        <v>169</v>
      </c>
      <c r="M252" s="248"/>
      <c r="N252" s="248"/>
      <c r="O252" s="248"/>
      <c r="P252" s="248"/>
      <c r="Q252" s="248"/>
      <c r="R252" s="248"/>
      <c r="S252" s="248"/>
      <c r="T252" s="248"/>
      <c r="U252" s="248"/>
      <c r="V252" s="248"/>
      <c r="W252" s="260" t="e">
        <v>#DIV/0!</v>
      </c>
      <c r="X252" s="272">
        <f t="shared" si="46"/>
        <v>0</v>
      </c>
      <c r="Y252" s="276" t="e">
        <v>#DIV/0!</v>
      </c>
      <c r="Z252" s="277" t="s">
        <v>2448</v>
      </c>
      <c r="AA252" s="263"/>
      <c r="AB252" s="264"/>
    </row>
    <row r="253" s="23" customFormat="1" spans="1:29">
      <c r="A253" s="373"/>
      <c r="L253" s="244">
        <v>170</v>
      </c>
      <c r="M253" s="287"/>
      <c r="N253" s="288"/>
      <c r="O253" s="288"/>
      <c r="P253" s="288"/>
      <c r="Q253" s="288"/>
      <c r="R253" s="288"/>
      <c r="S253" s="288"/>
      <c r="T253" s="288"/>
      <c r="U253" s="288"/>
      <c r="V253" s="293"/>
      <c r="W253" s="261" t="e">
        <v>#DIV/0!</v>
      </c>
      <c r="X253" s="294">
        <f t="shared" si="46"/>
        <v>0</v>
      </c>
      <c r="Y253" s="278">
        <f>SUM(X244:X253)</f>
        <v>0</v>
      </c>
      <c r="Z253" s="277" t="s">
        <v>2460</v>
      </c>
      <c r="AA253" s="263"/>
      <c r="AB253" s="263"/>
      <c r="AC253" s="264"/>
    </row>
    <row r="254" s="23" customFormat="1" spans="1:32">
      <c r="A254" s="373"/>
      <c r="L254" s="241">
        <v>171</v>
      </c>
      <c r="M254" s="248"/>
      <c r="N254" s="248"/>
      <c r="O254" s="248"/>
      <c r="P254" s="248"/>
      <c r="Q254" s="248"/>
      <c r="R254" s="248"/>
      <c r="S254" s="248"/>
      <c r="T254" s="248"/>
      <c r="U254" s="248"/>
      <c r="V254" s="248"/>
      <c r="W254" s="260" t="e">
        <v>#DIV/0!</v>
      </c>
      <c r="X254" s="272">
        <f t="shared" si="46"/>
        <v>0</v>
      </c>
      <c r="Z254" s="268" t="s">
        <v>2454</v>
      </c>
      <c r="AA254" s="268"/>
      <c r="AB254" s="269" t="s">
        <v>2425</v>
      </c>
      <c r="AC254" s="269"/>
      <c r="AD254" s="270" t="s">
        <v>2426</v>
      </c>
      <c r="AE254" s="270"/>
      <c r="AF254" s="23" t="s">
        <v>2427</v>
      </c>
    </row>
    <row r="255" s="23" customFormat="1" spans="1:26">
      <c r="A255" s="373"/>
      <c r="L255" s="244">
        <v>172</v>
      </c>
      <c r="M255" s="245"/>
      <c r="N255" s="245"/>
      <c r="O255" s="245"/>
      <c r="P255" s="245"/>
      <c r="Q255" s="245"/>
      <c r="R255" s="245"/>
      <c r="S255" s="245"/>
      <c r="T255" s="245"/>
      <c r="U255" s="245"/>
      <c r="V255" s="245"/>
      <c r="W255" s="259" t="e">
        <v>#DIV/0!</v>
      </c>
      <c r="X255" s="271">
        <f t="shared" si="46"/>
        <v>0</v>
      </c>
      <c r="Z255" s="23" t="s">
        <v>2429</v>
      </c>
    </row>
    <row r="256" s="23" customFormat="1" spans="1:30">
      <c r="A256" s="373"/>
      <c r="L256" s="246">
        <v>173</v>
      </c>
      <c r="M256" s="248"/>
      <c r="N256" s="248"/>
      <c r="O256" s="248"/>
      <c r="P256" s="248"/>
      <c r="Q256" s="248"/>
      <c r="R256" s="248"/>
      <c r="S256" s="248"/>
      <c r="T256" s="248"/>
      <c r="U256" s="248"/>
      <c r="V256" s="248"/>
      <c r="W256" s="260" t="e">
        <v>#DIV/0!</v>
      </c>
      <c r="X256" s="272">
        <f t="shared" si="46"/>
        <v>0</v>
      </c>
      <c r="Z256" s="128" t="s">
        <v>2430</v>
      </c>
      <c r="AA256" s="128">
        <f>COUNTIF(M254:V263,0)</f>
        <v>0</v>
      </c>
      <c r="AB256" s="273">
        <f t="shared" ref="AB256:AB261" si="55">(AA256/100)</f>
        <v>0</v>
      </c>
      <c r="AD256" s="23" t="s">
        <v>2431</v>
      </c>
    </row>
    <row r="257" s="23" customFormat="1" spans="1:34">
      <c r="A257" s="373"/>
      <c r="L257" s="244">
        <v>174</v>
      </c>
      <c r="M257" s="245"/>
      <c r="N257" s="245"/>
      <c r="O257" s="245"/>
      <c r="P257" s="245"/>
      <c r="Q257" s="245"/>
      <c r="R257" s="245"/>
      <c r="S257" s="245"/>
      <c r="T257" s="245"/>
      <c r="U257" s="245"/>
      <c r="V257" s="245"/>
      <c r="W257" s="259" t="e">
        <v>#DIV/0!</v>
      </c>
      <c r="X257" s="271">
        <f t="shared" si="46"/>
        <v>0</v>
      </c>
      <c r="Z257" s="128" t="s">
        <v>2456</v>
      </c>
      <c r="AA257" s="128">
        <f>COUNTIF(M254:V263,10)</f>
        <v>0</v>
      </c>
      <c r="AB257" s="273">
        <f t="shared" si="55"/>
        <v>0</v>
      </c>
      <c r="AD257" s="274" t="s">
        <v>2434</v>
      </c>
      <c r="AE257" s="275"/>
      <c r="AF257" s="280" t="s">
        <v>2435</v>
      </c>
      <c r="AG257" s="275" t="s">
        <v>2436</v>
      </c>
      <c r="AH257" s="281"/>
    </row>
    <row r="258" s="23" customFormat="1" spans="1:33">
      <c r="A258" s="373"/>
      <c r="L258" s="246">
        <v>175</v>
      </c>
      <c r="M258" s="248"/>
      <c r="N258" s="248"/>
      <c r="O258" s="248"/>
      <c r="P258" s="248"/>
      <c r="Q258" s="248"/>
      <c r="R258" s="248"/>
      <c r="S258" s="248"/>
      <c r="T258" s="248"/>
      <c r="U258" s="248"/>
      <c r="V258" s="248"/>
      <c r="W258" s="260" t="e">
        <v>#DIV/0!</v>
      </c>
      <c r="X258" s="272">
        <f t="shared" si="46"/>
        <v>0</v>
      </c>
      <c r="Z258" s="128" t="s">
        <v>2439</v>
      </c>
      <c r="AA258" s="128">
        <f>COUNTIF(M254:V263,15)</f>
        <v>0</v>
      </c>
      <c r="AB258" s="273">
        <f t="shared" si="55"/>
        <v>0</v>
      </c>
      <c r="AD258" s="23" t="s">
        <v>2438</v>
      </c>
      <c r="AF258" s="128">
        <v>0</v>
      </c>
      <c r="AG258" s="282">
        <f t="shared" ref="AG258:AG260" si="56">(AF258/100)</f>
        <v>0</v>
      </c>
    </row>
    <row r="259" s="23" customFormat="1" spans="1:33">
      <c r="A259" s="373"/>
      <c r="L259" s="244">
        <v>176</v>
      </c>
      <c r="M259" s="245"/>
      <c r="N259" s="245"/>
      <c r="O259" s="245"/>
      <c r="P259" s="245"/>
      <c r="Q259" s="245"/>
      <c r="R259" s="245"/>
      <c r="S259" s="245"/>
      <c r="T259" s="245"/>
      <c r="U259" s="245"/>
      <c r="V259" s="245"/>
      <c r="W259" s="259" t="e">
        <v>#DIV/0!</v>
      </c>
      <c r="X259" s="271">
        <f t="shared" si="46"/>
        <v>0</v>
      </c>
      <c r="Z259" s="128" t="s">
        <v>2443</v>
      </c>
      <c r="AA259" s="128">
        <f>COUNTIF(M254:V263,20)</f>
        <v>0</v>
      </c>
      <c r="AB259" s="273">
        <f t="shared" si="55"/>
        <v>0</v>
      </c>
      <c r="AD259" s="23" t="s">
        <v>2440</v>
      </c>
      <c r="AF259" s="128">
        <v>0</v>
      </c>
      <c r="AG259" s="282">
        <f t="shared" si="56"/>
        <v>0</v>
      </c>
    </row>
    <row r="260" s="23" customFormat="1" spans="1:33">
      <c r="A260" s="373"/>
      <c r="L260" s="246">
        <v>177</v>
      </c>
      <c r="M260" s="248"/>
      <c r="N260" s="248"/>
      <c r="O260" s="248"/>
      <c r="P260" s="248"/>
      <c r="Q260" s="248"/>
      <c r="R260" s="248"/>
      <c r="S260" s="248"/>
      <c r="T260" s="248"/>
      <c r="U260" s="248"/>
      <c r="V260" s="248"/>
      <c r="W260" s="260" t="e">
        <v>#DIV/0!</v>
      </c>
      <c r="X260" s="272">
        <f t="shared" si="46"/>
        <v>0</v>
      </c>
      <c r="Z260" s="128" t="s">
        <v>2505</v>
      </c>
      <c r="AA260" s="128">
        <f>COUNTIF(M254:V263,25)</f>
        <v>0</v>
      </c>
      <c r="AB260" s="273">
        <f t="shared" si="55"/>
        <v>0</v>
      </c>
      <c r="AD260" s="23" t="s">
        <v>2424</v>
      </c>
      <c r="AF260" s="128">
        <v>0</v>
      </c>
      <c r="AG260" s="282">
        <f t="shared" si="56"/>
        <v>0</v>
      </c>
    </row>
    <row r="261" s="23" customFormat="1" spans="1:28">
      <c r="A261" s="373"/>
      <c r="L261" s="244">
        <v>178</v>
      </c>
      <c r="M261" s="245"/>
      <c r="N261" s="245"/>
      <c r="O261" s="245"/>
      <c r="P261" s="245"/>
      <c r="Q261" s="245"/>
      <c r="R261" s="245"/>
      <c r="S261" s="245"/>
      <c r="T261" s="245"/>
      <c r="U261" s="245"/>
      <c r="V261" s="245"/>
      <c r="W261" s="259" t="e">
        <v>#DIV/0!</v>
      </c>
      <c r="X261" s="271">
        <f t="shared" si="46"/>
        <v>0</v>
      </c>
      <c r="Z261" s="128" t="s">
        <v>2458</v>
      </c>
      <c r="AA261" s="128">
        <f>COUNTBLANK(M254:V263)</f>
        <v>100</v>
      </c>
      <c r="AB261" s="273">
        <f t="shared" si="55"/>
        <v>1</v>
      </c>
    </row>
    <row r="262" s="23" customFormat="1" spans="1:28">
      <c r="A262" s="373"/>
      <c r="L262" s="246">
        <v>179</v>
      </c>
      <c r="M262" s="248"/>
      <c r="N262" s="248"/>
      <c r="O262" s="248"/>
      <c r="P262" s="248"/>
      <c r="Q262" s="248"/>
      <c r="R262" s="248"/>
      <c r="S262" s="248"/>
      <c r="T262" s="248"/>
      <c r="U262" s="248"/>
      <c r="V262" s="248"/>
      <c r="W262" s="260" t="e">
        <v>#DIV/0!</v>
      </c>
      <c r="X262" s="272">
        <f t="shared" si="46"/>
        <v>0</v>
      </c>
      <c r="Y262" s="276" t="e">
        <v>#DIV/0!</v>
      </c>
      <c r="Z262" s="277" t="s">
        <v>2448</v>
      </c>
      <c r="AA262" s="263"/>
      <c r="AB262" s="264"/>
    </row>
    <row r="263" s="23" customFormat="1" spans="1:29">
      <c r="A263" s="373"/>
      <c r="L263" s="244">
        <v>180</v>
      </c>
      <c r="M263" s="287"/>
      <c r="N263" s="288"/>
      <c r="O263" s="288"/>
      <c r="P263" s="288"/>
      <c r="Q263" s="288"/>
      <c r="R263" s="288"/>
      <c r="S263" s="288"/>
      <c r="T263" s="288"/>
      <c r="U263" s="288"/>
      <c r="V263" s="293"/>
      <c r="W263" s="261" t="e">
        <v>#DIV/0!</v>
      </c>
      <c r="X263" s="294">
        <f t="shared" si="46"/>
        <v>0</v>
      </c>
      <c r="Y263" s="278">
        <f>SUM(X254:X263)</f>
        <v>0</v>
      </c>
      <c r="Z263" s="277" t="s">
        <v>2445</v>
      </c>
      <c r="AA263" s="263"/>
      <c r="AB263" s="263"/>
      <c r="AC263" s="264"/>
    </row>
    <row r="264" s="23" customFormat="1" spans="1:32">
      <c r="A264" s="373"/>
      <c r="L264" s="241">
        <v>181</v>
      </c>
      <c r="M264" s="248"/>
      <c r="N264" s="248"/>
      <c r="O264" s="248"/>
      <c r="P264" s="248"/>
      <c r="Q264" s="248"/>
      <c r="R264" s="248"/>
      <c r="S264" s="248"/>
      <c r="T264" s="248"/>
      <c r="U264" s="248"/>
      <c r="V264" s="248"/>
      <c r="W264" s="260" t="e">
        <v>#DIV/0!</v>
      </c>
      <c r="X264" s="272">
        <f t="shared" si="46"/>
        <v>0</v>
      </c>
      <c r="Z264" s="268" t="s">
        <v>2424</v>
      </c>
      <c r="AA264" s="268"/>
      <c r="AB264" s="269" t="s">
        <v>2425</v>
      </c>
      <c r="AC264" s="269"/>
      <c r="AD264" s="270" t="s">
        <v>2426</v>
      </c>
      <c r="AE264" s="270"/>
      <c r="AF264" s="23" t="s">
        <v>2427</v>
      </c>
    </row>
    <row r="265" s="23" customFormat="1" spans="1:26">
      <c r="A265" s="373"/>
      <c r="L265" s="244">
        <v>182</v>
      </c>
      <c r="M265" s="245"/>
      <c r="N265" s="245"/>
      <c r="O265" s="245"/>
      <c r="P265" s="245"/>
      <c r="Q265" s="245"/>
      <c r="R265" s="245"/>
      <c r="S265" s="245"/>
      <c r="T265" s="245"/>
      <c r="U265" s="245"/>
      <c r="V265" s="245"/>
      <c r="W265" s="259" t="e">
        <v>#DIV/0!</v>
      </c>
      <c r="X265" s="271">
        <f t="shared" si="46"/>
        <v>0</v>
      </c>
      <c r="Z265" s="23" t="s">
        <v>2429</v>
      </c>
    </row>
    <row r="266" s="23" customFormat="1" spans="1:30">
      <c r="A266" s="373"/>
      <c r="L266" s="246">
        <v>183</v>
      </c>
      <c r="M266" s="248"/>
      <c r="N266" s="248"/>
      <c r="O266" s="248"/>
      <c r="P266" s="248"/>
      <c r="Q266" s="248"/>
      <c r="R266" s="248"/>
      <c r="S266" s="248"/>
      <c r="T266" s="248"/>
      <c r="U266" s="248"/>
      <c r="V266" s="248"/>
      <c r="W266" s="260" t="e">
        <v>#DIV/0!</v>
      </c>
      <c r="X266" s="272">
        <f t="shared" si="46"/>
        <v>0</v>
      </c>
      <c r="Z266" s="128" t="s">
        <v>2430</v>
      </c>
      <c r="AA266" s="128">
        <f>COUNTIF(M264:V273,0)</f>
        <v>0</v>
      </c>
      <c r="AB266" s="273">
        <f t="shared" ref="AB266:AB271" si="57">(AA266/100)</f>
        <v>0</v>
      </c>
      <c r="AD266" s="23" t="s">
        <v>2431</v>
      </c>
    </row>
    <row r="267" s="23" customFormat="1" spans="1:34">
      <c r="A267" s="373"/>
      <c r="L267" s="244">
        <v>184</v>
      </c>
      <c r="M267" s="245"/>
      <c r="N267" s="245"/>
      <c r="O267" s="245"/>
      <c r="P267" s="245"/>
      <c r="Q267" s="245"/>
      <c r="R267" s="245"/>
      <c r="S267" s="245"/>
      <c r="T267" s="245"/>
      <c r="U267" s="245"/>
      <c r="V267" s="245"/>
      <c r="W267" s="259" t="e">
        <v>#DIV/0!</v>
      </c>
      <c r="X267" s="271">
        <f t="shared" si="46"/>
        <v>0</v>
      </c>
      <c r="Z267" s="128" t="s">
        <v>2456</v>
      </c>
      <c r="AA267" s="128">
        <f>COUNTIF(M264:V273,10)</f>
        <v>0</v>
      </c>
      <c r="AB267" s="273">
        <f t="shared" si="57"/>
        <v>0</v>
      </c>
      <c r="AD267" s="274" t="s">
        <v>2434</v>
      </c>
      <c r="AE267" s="275"/>
      <c r="AF267" s="280" t="s">
        <v>2435</v>
      </c>
      <c r="AG267" s="275" t="s">
        <v>2436</v>
      </c>
      <c r="AH267" s="281"/>
    </row>
    <row r="268" s="23" customFormat="1" spans="1:33">
      <c r="A268" s="373"/>
      <c r="L268" s="246">
        <v>185</v>
      </c>
      <c r="M268" s="248"/>
      <c r="N268" s="248"/>
      <c r="O268" s="248"/>
      <c r="P268" s="248"/>
      <c r="Q268" s="248"/>
      <c r="R268" s="248"/>
      <c r="S268" s="248"/>
      <c r="T268" s="248"/>
      <c r="U268" s="248"/>
      <c r="V268" s="248"/>
      <c r="W268" s="260" t="e">
        <v>#DIV/0!</v>
      </c>
      <c r="X268" s="272">
        <f t="shared" si="46"/>
        <v>0</v>
      </c>
      <c r="Z268" s="128" t="s">
        <v>2439</v>
      </c>
      <c r="AA268" s="128">
        <f>COUNTIF(M264:V273,15)</f>
        <v>0</v>
      </c>
      <c r="AB268" s="273">
        <f t="shared" si="57"/>
        <v>0</v>
      </c>
      <c r="AD268" s="23" t="s">
        <v>2438</v>
      </c>
      <c r="AF268" s="128">
        <v>0</v>
      </c>
      <c r="AG268" s="282">
        <f t="shared" ref="AG268:AG270" si="58">(AF268/100)</f>
        <v>0</v>
      </c>
    </row>
    <row r="269" s="23" customFormat="1" spans="1:33">
      <c r="A269" s="373"/>
      <c r="L269" s="244">
        <v>186</v>
      </c>
      <c r="M269" s="245"/>
      <c r="N269" s="245"/>
      <c r="O269" s="245"/>
      <c r="P269" s="245"/>
      <c r="Q269" s="245"/>
      <c r="R269" s="245"/>
      <c r="S269" s="245"/>
      <c r="T269" s="245"/>
      <c r="U269" s="245"/>
      <c r="V269" s="245"/>
      <c r="W269" s="259" t="e">
        <v>#DIV/0!</v>
      </c>
      <c r="X269" s="271">
        <f t="shared" si="46"/>
        <v>0</v>
      </c>
      <c r="Z269" s="128" t="s">
        <v>2443</v>
      </c>
      <c r="AA269" s="128">
        <f>COUNTIF(M264:V273,20)</f>
        <v>0</v>
      </c>
      <c r="AB269" s="273">
        <f t="shared" si="57"/>
        <v>0</v>
      </c>
      <c r="AD269" s="23" t="s">
        <v>2440</v>
      </c>
      <c r="AF269" s="128">
        <v>0</v>
      </c>
      <c r="AG269" s="282">
        <f t="shared" si="58"/>
        <v>0</v>
      </c>
    </row>
    <row r="270" s="23" customFormat="1" spans="1:33">
      <c r="A270" s="373"/>
      <c r="L270" s="246">
        <v>187</v>
      </c>
      <c r="M270" s="248"/>
      <c r="N270" s="248"/>
      <c r="O270" s="248"/>
      <c r="P270" s="248"/>
      <c r="Q270" s="248"/>
      <c r="R270" s="248"/>
      <c r="S270" s="248"/>
      <c r="T270" s="248"/>
      <c r="U270" s="248"/>
      <c r="V270" s="248"/>
      <c r="W270" s="260" t="e">
        <v>#DIV/0!</v>
      </c>
      <c r="X270" s="272">
        <f t="shared" si="46"/>
        <v>0</v>
      </c>
      <c r="Z270" s="128" t="s">
        <v>2505</v>
      </c>
      <c r="AA270" s="128">
        <f>COUNTIF(M264:V273,25)</f>
        <v>0</v>
      </c>
      <c r="AB270" s="273">
        <f t="shared" si="57"/>
        <v>0</v>
      </c>
      <c r="AD270" s="23" t="s">
        <v>2454</v>
      </c>
      <c r="AF270" s="128">
        <v>0</v>
      </c>
      <c r="AG270" s="282">
        <f t="shared" si="58"/>
        <v>0</v>
      </c>
    </row>
    <row r="271" s="23" customFormat="1" spans="1:28">
      <c r="A271" s="373"/>
      <c r="L271" s="244">
        <v>188</v>
      </c>
      <c r="M271" s="245"/>
      <c r="N271" s="245"/>
      <c r="O271" s="245"/>
      <c r="P271" s="245"/>
      <c r="Q271" s="245"/>
      <c r="R271" s="245"/>
      <c r="S271" s="245"/>
      <c r="T271" s="245"/>
      <c r="U271" s="245"/>
      <c r="V271" s="245"/>
      <c r="W271" s="259" t="e">
        <v>#DIV/0!</v>
      </c>
      <c r="X271" s="271">
        <f t="shared" si="46"/>
        <v>0</v>
      </c>
      <c r="Z271" s="128" t="s">
        <v>2458</v>
      </c>
      <c r="AA271" s="128">
        <f>COUNTBLANK(M264:V273)</f>
        <v>100</v>
      </c>
      <c r="AB271" s="273">
        <f t="shared" si="57"/>
        <v>1</v>
      </c>
    </row>
    <row r="272" s="23" customFormat="1" spans="1:28">
      <c r="A272" s="373"/>
      <c r="L272" s="246">
        <v>189</v>
      </c>
      <c r="M272" s="248"/>
      <c r="N272" s="248"/>
      <c r="O272" s="248"/>
      <c r="P272" s="248"/>
      <c r="Q272" s="248"/>
      <c r="R272" s="248"/>
      <c r="S272" s="248"/>
      <c r="T272" s="248"/>
      <c r="U272" s="248"/>
      <c r="V272" s="248"/>
      <c r="W272" s="260" t="e">
        <v>#DIV/0!</v>
      </c>
      <c r="X272" s="272">
        <f t="shared" si="46"/>
        <v>0</v>
      </c>
      <c r="Y272" s="276" t="e">
        <v>#DIV/0!</v>
      </c>
      <c r="Z272" s="277" t="s">
        <v>2444</v>
      </c>
      <c r="AA272" s="263"/>
      <c r="AB272" s="264"/>
    </row>
    <row r="273" s="23" customFormat="1" spans="1:29">
      <c r="A273" s="373"/>
      <c r="L273" s="244">
        <v>190</v>
      </c>
      <c r="M273" s="287"/>
      <c r="N273" s="288"/>
      <c r="O273" s="288"/>
      <c r="P273" s="288"/>
      <c r="Q273" s="288"/>
      <c r="R273" s="288"/>
      <c r="S273" s="288"/>
      <c r="T273" s="288"/>
      <c r="U273" s="288"/>
      <c r="V273" s="293"/>
      <c r="W273" s="261" t="e">
        <v>#DIV/0!</v>
      </c>
      <c r="X273" s="294">
        <f t="shared" si="46"/>
        <v>0</v>
      </c>
      <c r="Y273" s="278">
        <f>SUM(X264:X273)</f>
        <v>0</v>
      </c>
      <c r="Z273" s="277" t="s">
        <v>2460</v>
      </c>
      <c r="AA273" s="263"/>
      <c r="AB273" s="263"/>
      <c r="AC273" s="264"/>
    </row>
    <row r="274" s="23" customFormat="1" spans="1:32">
      <c r="A274" s="373"/>
      <c r="L274" s="241">
        <v>191</v>
      </c>
      <c r="M274" s="248"/>
      <c r="N274" s="248"/>
      <c r="O274" s="248"/>
      <c r="P274" s="248"/>
      <c r="Q274" s="248"/>
      <c r="R274" s="248"/>
      <c r="S274" s="248"/>
      <c r="T274" s="248"/>
      <c r="U274" s="248"/>
      <c r="V274" s="248"/>
      <c r="W274" s="260" t="e">
        <v>#DIV/0!</v>
      </c>
      <c r="X274" s="272">
        <f t="shared" si="46"/>
        <v>0</v>
      </c>
      <c r="Z274" s="268" t="s">
        <v>2454</v>
      </c>
      <c r="AA274" s="268"/>
      <c r="AB274" s="269" t="s">
        <v>2425</v>
      </c>
      <c r="AC274" s="269"/>
      <c r="AD274" s="270" t="s">
        <v>2426</v>
      </c>
      <c r="AE274" s="270"/>
      <c r="AF274" s="23" t="s">
        <v>2427</v>
      </c>
    </row>
    <row r="275" s="23" customFormat="1" spans="1:26">
      <c r="A275" s="373"/>
      <c r="L275" s="244">
        <v>192</v>
      </c>
      <c r="M275" s="245"/>
      <c r="N275" s="245"/>
      <c r="O275" s="245"/>
      <c r="P275" s="245"/>
      <c r="Q275" s="245"/>
      <c r="R275" s="245"/>
      <c r="S275" s="245"/>
      <c r="T275" s="245"/>
      <c r="U275" s="245"/>
      <c r="V275" s="245"/>
      <c r="W275" s="259" t="e">
        <v>#DIV/0!</v>
      </c>
      <c r="X275" s="271">
        <f t="shared" si="46"/>
        <v>0</v>
      </c>
      <c r="Z275" s="23" t="s">
        <v>2429</v>
      </c>
    </row>
    <row r="276" s="23" customFormat="1" spans="1:30">
      <c r="A276" s="373"/>
      <c r="L276" s="246">
        <v>193</v>
      </c>
      <c r="M276" s="248"/>
      <c r="N276" s="248"/>
      <c r="O276" s="248"/>
      <c r="P276" s="248"/>
      <c r="Q276" s="248"/>
      <c r="R276" s="248"/>
      <c r="S276" s="248"/>
      <c r="T276" s="248"/>
      <c r="U276" s="248"/>
      <c r="V276" s="248"/>
      <c r="W276" s="260" t="e">
        <v>#DIV/0!</v>
      </c>
      <c r="X276" s="272">
        <f t="shared" ref="X276:X283" si="59">SUM(M276:V276)</f>
        <v>0</v>
      </c>
      <c r="Z276" s="128" t="s">
        <v>2430</v>
      </c>
      <c r="AA276" s="128">
        <f>COUNTIF(M274:V283,0)</f>
        <v>0</v>
      </c>
      <c r="AB276" s="273">
        <f t="shared" ref="AB276:AB281" si="60">(AA276/100)</f>
        <v>0</v>
      </c>
      <c r="AD276" s="23" t="s">
        <v>2431</v>
      </c>
    </row>
    <row r="277" s="23" customFormat="1" spans="1:34">
      <c r="A277" s="373"/>
      <c r="L277" s="244">
        <v>194</v>
      </c>
      <c r="M277" s="245"/>
      <c r="N277" s="245"/>
      <c r="O277" s="245"/>
      <c r="P277" s="245"/>
      <c r="Q277" s="245"/>
      <c r="R277" s="245"/>
      <c r="S277" s="245"/>
      <c r="T277" s="245"/>
      <c r="U277" s="245"/>
      <c r="V277" s="245"/>
      <c r="W277" s="259" t="e">
        <v>#DIV/0!</v>
      </c>
      <c r="X277" s="271">
        <f t="shared" si="59"/>
        <v>0</v>
      </c>
      <c r="Z277" s="128" t="s">
        <v>2456</v>
      </c>
      <c r="AA277" s="128">
        <f>COUNTIF(M274:V283,10)</f>
        <v>0</v>
      </c>
      <c r="AB277" s="273">
        <f t="shared" si="60"/>
        <v>0</v>
      </c>
      <c r="AD277" s="274" t="s">
        <v>2434</v>
      </c>
      <c r="AE277" s="275"/>
      <c r="AF277" s="280" t="s">
        <v>2435</v>
      </c>
      <c r="AG277" s="275" t="s">
        <v>2436</v>
      </c>
      <c r="AH277" s="281"/>
    </row>
    <row r="278" s="23" customFormat="1" spans="1:33">
      <c r="A278" s="373"/>
      <c r="L278" s="246">
        <v>195</v>
      </c>
      <c r="M278" s="248"/>
      <c r="N278" s="248"/>
      <c r="O278" s="248"/>
      <c r="P278" s="248"/>
      <c r="Q278" s="248"/>
      <c r="R278" s="248"/>
      <c r="S278" s="248"/>
      <c r="T278" s="248"/>
      <c r="U278" s="248"/>
      <c r="V278" s="248"/>
      <c r="W278" s="260" t="e">
        <v>#DIV/0!</v>
      </c>
      <c r="X278" s="272">
        <f t="shared" si="59"/>
        <v>0</v>
      </c>
      <c r="Z278" s="128" t="s">
        <v>2439</v>
      </c>
      <c r="AA278" s="128">
        <f>COUNTIF(M274:V283,15)</f>
        <v>0</v>
      </c>
      <c r="AB278" s="273">
        <f t="shared" si="60"/>
        <v>0</v>
      </c>
      <c r="AD278" s="23" t="s">
        <v>2438</v>
      </c>
      <c r="AF278" s="128">
        <v>0</v>
      </c>
      <c r="AG278" s="282">
        <f t="shared" ref="AG278:AG280" si="61">(AF278/100)</f>
        <v>0</v>
      </c>
    </row>
    <row r="279" s="23" customFormat="1" spans="1:33">
      <c r="A279" s="373"/>
      <c r="L279" s="244">
        <v>196</v>
      </c>
      <c r="M279" s="245"/>
      <c r="N279" s="245"/>
      <c r="O279" s="245"/>
      <c r="P279" s="245"/>
      <c r="Q279" s="245"/>
      <c r="R279" s="245"/>
      <c r="S279" s="245"/>
      <c r="T279" s="245"/>
      <c r="U279" s="245"/>
      <c r="V279" s="245"/>
      <c r="W279" s="259" t="e">
        <v>#DIV/0!</v>
      </c>
      <c r="X279" s="271">
        <f t="shared" si="59"/>
        <v>0</v>
      </c>
      <c r="Z279" s="128" t="s">
        <v>2443</v>
      </c>
      <c r="AA279" s="128">
        <f>COUNTIF(M274:V283,20)</f>
        <v>0</v>
      </c>
      <c r="AB279" s="273">
        <f t="shared" si="60"/>
        <v>0</v>
      </c>
      <c r="AD279" s="23" t="s">
        <v>2440</v>
      </c>
      <c r="AF279" s="128">
        <v>0</v>
      </c>
      <c r="AG279" s="282">
        <f t="shared" si="61"/>
        <v>0</v>
      </c>
    </row>
    <row r="280" s="23" customFormat="1" spans="1:33">
      <c r="A280" s="373"/>
      <c r="L280" s="246">
        <v>197</v>
      </c>
      <c r="M280" s="248"/>
      <c r="N280" s="248"/>
      <c r="O280" s="248"/>
      <c r="P280" s="248"/>
      <c r="Q280" s="248"/>
      <c r="R280" s="248"/>
      <c r="S280" s="248"/>
      <c r="T280" s="248"/>
      <c r="U280" s="248"/>
      <c r="V280" s="248"/>
      <c r="W280" s="260" t="e">
        <v>#DIV/0!</v>
      </c>
      <c r="X280" s="272">
        <f t="shared" si="59"/>
        <v>0</v>
      </c>
      <c r="Z280" s="128" t="s">
        <v>2505</v>
      </c>
      <c r="AA280" s="128">
        <f>COUNTIF(M274:V283,25)</f>
        <v>0</v>
      </c>
      <c r="AB280" s="273">
        <f t="shared" si="60"/>
        <v>0</v>
      </c>
      <c r="AD280" s="23" t="s">
        <v>2424</v>
      </c>
      <c r="AF280" s="128">
        <v>0</v>
      </c>
      <c r="AG280" s="282">
        <f t="shared" si="61"/>
        <v>0</v>
      </c>
    </row>
    <row r="281" s="23" customFormat="1" spans="1:28">
      <c r="A281" s="373"/>
      <c r="L281" s="244">
        <v>198</v>
      </c>
      <c r="M281" s="245"/>
      <c r="N281" s="245"/>
      <c r="O281" s="245"/>
      <c r="P281" s="245"/>
      <c r="Q281" s="245"/>
      <c r="R281" s="245"/>
      <c r="S281" s="245"/>
      <c r="T281" s="245"/>
      <c r="U281" s="245"/>
      <c r="V281" s="245"/>
      <c r="W281" s="259" t="e">
        <v>#DIV/0!</v>
      </c>
      <c r="X281" s="271">
        <f t="shared" si="59"/>
        <v>0</v>
      </c>
      <c r="Z281" s="128" t="s">
        <v>2467</v>
      </c>
      <c r="AA281" s="128">
        <f>COUNTBLANK(M274:V283)</f>
        <v>100</v>
      </c>
      <c r="AB281" s="273">
        <f t="shared" si="60"/>
        <v>1</v>
      </c>
    </row>
    <row r="282" s="23" customFormat="1" spans="1:37">
      <c r="A282" s="373"/>
      <c r="L282" s="246">
        <v>199</v>
      </c>
      <c r="M282" s="248"/>
      <c r="N282" s="248"/>
      <c r="O282" s="248"/>
      <c r="P282" s="248"/>
      <c r="Q282" s="248"/>
      <c r="R282" s="248"/>
      <c r="S282" s="248"/>
      <c r="T282" s="248"/>
      <c r="U282" s="248"/>
      <c r="V282" s="248"/>
      <c r="W282" s="260" t="e">
        <v>#DIV/0!</v>
      </c>
      <c r="X282" s="272">
        <f t="shared" si="59"/>
        <v>0</v>
      </c>
      <c r="Y282" s="276" t="e">
        <v>#DIV/0!</v>
      </c>
      <c r="Z282" s="277" t="s">
        <v>2448</v>
      </c>
      <c r="AA282" s="263"/>
      <c r="AB282" s="264"/>
      <c r="AG282" s="265">
        <f>AVERAGE(M184:V283)</f>
        <v>2.77777777777778</v>
      </c>
      <c r="AH282" s="385" t="s">
        <v>2507</v>
      </c>
      <c r="AI282" s="263"/>
      <c r="AJ282" s="263"/>
      <c r="AK282" s="386"/>
    </row>
    <row r="283" s="23" customFormat="1" ht="15" customHeight="1" spans="1:37">
      <c r="A283" s="373"/>
      <c r="L283" s="283">
        <v>200</v>
      </c>
      <c r="M283" s="284"/>
      <c r="N283" s="286"/>
      <c r="O283" s="286"/>
      <c r="P283" s="286"/>
      <c r="Q283" s="286"/>
      <c r="R283" s="286"/>
      <c r="S283" s="286"/>
      <c r="T283" s="286"/>
      <c r="U283" s="286"/>
      <c r="V283" s="290"/>
      <c r="W283" s="291" t="e">
        <v>#DIV/0!</v>
      </c>
      <c r="X283" s="295">
        <f t="shared" si="59"/>
        <v>0</v>
      </c>
      <c r="Y283" s="380">
        <f>SUM(X274:X283)</f>
        <v>0</v>
      </c>
      <c r="Z283" s="381" t="s">
        <v>2460</v>
      </c>
      <c r="AA283" s="382"/>
      <c r="AB283" s="382"/>
      <c r="AC283" s="383"/>
      <c r="AD283" s="384"/>
      <c r="AE283" s="384"/>
      <c r="AF283" s="384"/>
      <c r="AG283" s="387">
        <f>SUM(X184:X283)</f>
        <v>1250</v>
      </c>
      <c r="AH283" s="388" t="s">
        <v>2508</v>
      </c>
      <c r="AI283" s="382"/>
      <c r="AJ283" s="382"/>
      <c r="AK283" s="389"/>
    </row>
    <row r="284" s="23" customFormat="1" spans="1:28">
      <c r="A284" s="373"/>
      <c r="T284" s="392" t="s">
        <v>2511</v>
      </c>
      <c r="U284" s="393"/>
      <c r="V284" s="394"/>
      <c r="W284" s="395">
        <f>AVERAGE(M84:V283)</f>
        <v>2.69655172413793</v>
      </c>
      <c r="X284" s="396">
        <f>SUM(X84:X283)</f>
        <v>3910</v>
      </c>
      <c r="Y284" s="397" t="s">
        <v>2512</v>
      </c>
      <c r="Z284" s="393"/>
      <c r="AA284" s="393"/>
      <c r="AB284" s="398"/>
    </row>
    <row r="285" s="23" customFormat="1" spans="1:1">
      <c r="A285" s="373"/>
    </row>
    <row r="286" spans="1:1">
      <c r="A286" s="373"/>
    </row>
    <row r="287" spans="1:12">
      <c r="A287" s="373"/>
      <c r="L287" s="23" t="s">
        <v>2513</v>
      </c>
    </row>
    <row r="288" spans="1:24">
      <c r="A288" s="373"/>
      <c r="L288" s="239" t="s">
        <v>2411</v>
      </c>
      <c r="M288" s="240" t="s">
        <v>2412</v>
      </c>
      <c r="N288" s="240" t="s">
        <v>2413</v>
      </c>
      <c r="O288" s="240" t="s">
        <v>2414</v>
      </c>
      <c r="P288" s="240" t="s">
        <v>2415</v>
      </c>
      <c r="Q288" s="240" t="s">
        <v>2416</v>
      </c>
      <c r="R288" s="240" t="s">
        <v>2417</v>
      </c>
      <c r="S288" s="240" t="s">
        <v>2418</v>
      </c>
      <c r="T288" s="240" t="s">
        <v>2419</v>
      </c>
      <c r="U288" s="240" t="s">
        <v>2420</v>
      </c>
      <c r="V288" s="240" t="s">
        <v>2421</v>
      </c>
      <c r="W288" s="239" t="s">
        <v>2422</v>
      </c>
      <c r="X288" s="266" t="s">
        <v>2423</v>
      </c>
    </row>
    <row r="289" spans="1:24">
      <c r="A289" s="373"/>
      <c r="L289" s="241">
        <v>1</v>
      </c>
      <c r="M289" s="242">
        <v>2</v>
      </c>
      <c r="N289" s="242">
        <v>6</v>
      </c>
      <c r="O289" s="242">
        <v>1</v>
      </c>
      <c r="P289" s="242">
        <v>6</v>
      </c>
      <c r="Q289" s="242">
        <v>5</v>
      </c>
      <c r="R289" s="242">
        <v>10</v>
      </c>
      <c r="S289" s="242">
        <v>5</v>
      </c>
      <c r="T289" s="242">
        <v>2</v>
      </c>
      <c r="U289" s="242">
        <v>10</v>
      </c>
      <c r="V289" s="242">
        <v>1</v>
      </c>
      <c r="W289" s="258">
        <f t="shared" ref="W289:W352" si="62">AVERAGE(M289:V289)</f>
        <v>4.8</v>
      </c>
      <c r="X289" s="267">
        <f t="shared" ref="X289:X352" si="63">SUM(M289:V289)</f>
        <v>48</v>
      </c>
    </row>
    <row r="290" spans="1:26">
      <c r="A290" s="373"/>
      <c r="L290" s="244">
        <v>2</v>
      </c>
      <c r="M290" s="245">
        <v>6</v>
      </c>
      <c r="N290" s="245">
        <v>5</v>
      </c>
      <c r="O290" s="245">
        <v>5</v>
      </c>
      <c r="P290" s="245">
        <v>10</v>
      </c>
      <c r="Q290" s="245">
        <v>5</v>
      </c>
      <c r="R290" s="245">
        <v>1</v>
      </c>
      <c r="S290" s="245">
        <v>1</v>
      </c>
      <c r="T290" s="245">
        <v>6</v>
      </c>
      <c r="U290" s="245">
        <v>5</v>
      </c>
      <c r="V290" s="245">
        <v>6</v>
      </c>
      <c r="W290" s="259">
        <f t="shared" si="62"/>
        <v>5</v>
      </c>
      <c r="X290" s="271">
        <f t="shared" si="63"/>
        <v>50</v>
      </c>
      <c r="Z290" s="23" t="s">
        <v>2429</v>
      </c>
    </row>
    <row r="291" spans="1:28">
      <c r="A291" s="373"/>
      <c r="L291" s="246">
        <v>3</v>
      </c>
      <c r="M291" s="248">
        <v>10</v>
      </c>
      <c r="N291" s="248">
        <v>5</v>
      </c>
      <c r="O291" s="248">
        <v>5</v>
      </c>
      <c r="P291" s="248">
        <v>1</v>
      </c>
      <c r="Q291" s="248">
        <v>6</v>
      </c>
      <c r="R291" s="248">
        <v>5</v>
      </c>
      <c r="S291" s="248">
        <v>5</v>
      </c>
      <c r="T291" s="248">
        <v>5</v>
      </c>
      <c r="U291" s="248">
        <v>5</v>
      </c>
      <c r="V291" s="248">
        <v>10</v>
      </c>
      <c r="W291" s="260">
        <f t="shared" si="62"/>
        <v>5.7</v>
      </c>
      <c r="X291" s="272">
        <f t="shared" si="63"/>
        <v>57</v>
      </c>
      <c r="Z291" s="128" t="s">
        <v>2466</v>
      </c>
      <c r="AA291" s="128">
        <f>COUNTIF(M289:V298,1)</f>
        <v>27</v>
      </c>
      <c r="AB291" s="273">
        <f t="shared" ref="AB291:AB295" si="64">(AA291/100)</f>
        <v>0.27</v>
      </c>
    </row>
    <row r="292" spans="1:28">
      <c r="A292" s="373"/>
      <c r="L292" s="244">
        <v>4</v>
      </c>
      <c r="M292" s="245">
        <v>10</v>
      </c>
      <c r="N292" s="245">
        <v>6</v>
      </c>
      <c r="O292" s="245">
        <v>5</v>
      </c>
      <c r="P292" s="245">
        <v>5</v>
      </c>
      <c r="Q292" s="245">
        <v>6</v>
      </c>
      <c r="R292" s="245">
        <v>2</v>
      </c>
      <c r="S292" s="245">
        <v>6</v>
      </c>
      <c r="T292" s="245">
        <v>1</v>
      </c>
      <c r="U292" s="245">
        <v>1</v>
      </c>
      <c r="V292" s="245">
        <v>5</v>
      </c>
      <c r="W292" s="259">
        <f t="shared" si="62"/>
        <v>4.7</v>
      </c>
      <c r="X292" s="271">
        <f t="shared" si="63"/>
        <v>47</v>
      </c>
      <c r="Z292" s="128" t="s">
        <v>2457</v>
      </c>
      <c r="AA292" s="128">
        <f>COUNTIF(M289:V298,2)</f>
        <v>4</v>
      </c>
      <c r="AB292" s="273">
        <f t="shared" si="64"/>
        <v>0.04</v>
      </c>
    </row>
    <row r="293" spans="1:28">
      <c r="A293" s="373"/>
      <c r="L293" s="246">
        <v>5</v>
      </c>
      <c r="M293" s="248">
        <v>1</v>
      </c>
      <c r="N293" s="248">
        <v>1</v>
      </c>
      <c r="O293" s="248">
        <v>10</v>
      </c>
      <c r="P293" s="248">
        <v>1</v>
      </c>
      <c r="Q293" s="248">
        <v>6</v>
      </c>
      <c r="R293" s="248">
        <v>1</v>
      </c>
      <c r="S293" s="248">
        <v>5</v>
      </c>
      <c r="T293" s="248">
        <v>5</v>
      </c>
      <c r="U293" s="248">
        <v>6</v>
      </c>
      <c r="V293" s="248">
        <v>6</v>
      </c>
      <c r="W293" s="260">
        <f t="shared" si="62"/>
        <v>4.2</v>
      </c>
      <c r="X293" s="272">
        <f t="shared" si="63"/>
        <v>42</v>
      </c>
      <c r="Z293" s="128" t="s">
        <v>2437</v>
      </c>
      <c r="AA293" s="128">
        <f>COUNTIF(M289:V298,5)</f>
        <v>35</v>
      </c>
      <c r="AB293" s="273">
        <f t="shared" si="64"/>
        <v>0.35</v>
      </c>
    </row>
    <row r="294" spans="1:28">
      <c r="A294" s="373"/>
      <c r="L294" s="244">
        <v>6</v>
      </c>
      <c r="M294" s="245">
        <v>1</v>
      </c>
      <c r="N294" s="245">
        <v>1</v>
      </c>
      <c r="O294" s="245">
        <v>10</v>
      </c>
      <c r="P294" s="245">
        <v>10</v>
      </c>
      <c r="Q294" s="245">
        <v>1</v>
      </c>
      <c r="R294" s="245">
        <v>5</v>
      </c>
      <c r="S294" s="245">
        <v>5</v>
      </c>
      <c r="T294" s="245">
        <v>6</v>
      </c>
      <c r="U294" s="245">
        <v>5</v>
      </c>
      <c r="V294" s="245">
        <v>5</v>
      </c>
      <c r="W294" s="259">
        <f t="shared" si="62"/>
        <v>4.9</v>
      </c>
      <c r="X294" s="271">
        <f t="shared" si="63"/>
        <v>49</v>
      </c>
      <c r="Z294" s="128" t="s">
        <v>2472</v>
      </c>
      <c r="AA294" s="128">
        <f>COUNTIF(M289:V298,6)</f>
        <v>22</v>
      </c>
      <c r="AB294" s="273">
        <f t="shared" si="64"/>
        <v>0.22</v>
      </c>
    </row>
    <row r="295" spans="1:28">
      <c r="A295" s="373"/>
      <c r="L295" s="246">
        <v>7</v>
      </c>
      <c r="M295" s="248">
        <v>1</v>
      </c>
      <c r="N295" s="248">
        <v>1</v>
      </c>
      <c r="O295" s="248">
        <v>6</v>
      </c>
      <c r="P295" s="248">
        <v>1</v>
      </c>
      <c r="Q295" s="248">
        <v>6</v>
      </c>
      <c r="R295" s="248">
        <v>5</v>
      </c>
      <c r="S295" s="248">
        <v>1</v>
      </c>
      <c r="T295" s="248">
        <v>6</v>
      </c>
      <c r="U295" s="248">
        <v>5</v>
      </c>
      <c r="V295" s="248">
        <v>1</v>
      </c>
      <c r="W295" s="260">
        <f t="shared" si="62"/>
        <v>3.3</v>
      </c>
      <c r="X295" s="272">
        <f t="shared" si="63"/>
        <v>33</v>
      </c>
      <c r="Z295" s="128" t="s">
        <v>2456</v>
      </c>
      <c r="AA295" s="128">
        <f>COUNTIF(M289:V298,10)</f>
        <v>12</v>
      </c>
      <c r="AB295" s="273">
        <f t="shared" si="64"/>
        <v>0.12</v>
      </c>
    </row>
    <row r="296" spans="1:24">
      <c r="A296" s="373"/>
      <c r="L296" s="244">
        <v>8</v>
      </c>
      <c r="M296" s="245">
        <v>1</v>
      </c>
      <c r="N296" s="245">
        <v>6</v>
      </c>
      <c r="O296" s="245">
        <v>5</v>
      </c>
      <c r="P296" s="245">
        <v>5</v>
      </c>
      <c r="Q296" s="245">
        <v>1</v>
      </c>
      <c r="R296" s="245">
        <v>10</v>
      </c>
      <c r="S296" s="245">
        <v>1</v>
      </c>
      <c r="T296" s="245">
        <v>5</v>
      </c>
      <c r="U296" s="245">
        <v>5</v>
      </c>
      <c r="V296" s="245">
        <v>6</v>
      </c>
      <c r="W296" s="259">
        <f t="shared" si="62"/>
        <v>4.5</v>
      </c>
      <c r="X296" s="271">
        <f t="shared" si="63"/>
        <v>45</v>
      </c>
    </row>
    <row r="297" spans="1:28">
      <c r="A297" s="373"/>
      <c r="L297" s="246">
        <v>9</v>
      </c>
      <c r="M297" s="248">
        <v>5</v>
      </c>
      <c r="N297" s="248">
        <v>5</v>
      </c>
      <c r="O297" s="248">
        <v>1</v>
      </c>
      <c r="P297" s="248">
        <v>10</v>
      </c>
      <c r="Q297" s="248">
        <v>5</v>
      </c>
      <c r="R297" s="248">
        <v>1</v>
      </c>
      <c r="S297" s="248">
        <v>5</v>
      </c>
      <c r="T297" s="248">
        <v>6</v>
      </c>
      <c r="U297" s="248">
        <v>1</v>
      </c>
      <c r="V297" s="248">
        <v>5</v>
      </c>
      <c r="W297" s="260">
        <f t="shared" si="62"/>
        <v>4.4</v>
      </c>
      <c r="X297" s="272">
        <f t="shared" si="63"/>
        <v>44</v>
      </c>
      <c r="Y297" s="276">
        <f>AVERAGE(M289:V298)</f>
        <v>4.62</v>
      </c>
      <c r="Z297" s="277" t="s">
        <v>2448</v>
      </c>
      <c r="AA297" s="263"/>
      <c r="AB297" s="264"/>
    </row>
    <row r="298" spans="1:29">
      <c r="A298" s="373"/>
      <c r="L298" s="300">
        <v>10</v>
      </c>
      <c r="M298" s="287">
        <v>6</v>
      </c>
      <c r="N298" s="288">
        <v>1</v>
      </c>
      <c r="O298" s="288">
        <v>10</v>
      </c>
      <c r="P298" s="288">
        <v>5</v>
      </c>
      <c r="Q298" s="288">
        <v>5</v>
      </c>
      <c r="R298" s="288">
        <v>2</v>
      </c>
      <c r="S298" s="288">
        <v>1</v>
      </c>
      <c r="T298" s="288">
        <v>6</v>
      </c>
      <c r="U298" s="288">
        <v>6</v>
      </c>
      <c r="V298" s="293">
        <v>5</v>
      </c>
      <c r="W298" s="261">
        <f t="shared" si="62"/>
        <v>4.7</v>
      </c>
      <c r="X298" s="294">
        <f t="shared" si="63"/>
        <v>47</v>
      </c>
      <c r="Y298" s="278">
        <f>SUM(X289:X298)</f>
        <v>462</v>
      </c>
      <c r="Z298" s="277" t="s">
        <v>2460</v>
      </c>
      <c r="AA298" s="263"/>
      <c r="AB298" s="263"/>
      <c r="AC298" s="264"/>
    </row>
    <row r="299" spans="1:24">
      <c r="A299" s="373"/>
      <c r="L299" s="241">
        <v>11</v>
      </c>
      <c r="M299" s="248">
        <v>2</v>
      </c>
      <c r="N299" s="248">
        <v>5</v>
      </c>
      <c r="O299" s="248">
        <v>1</v>
      </c>
      <c r="P299" s="248">
        <v>10</v>
      </c>
      <c r="Q299" s="248">
        <v>5</v>
      </c>
      <c r="R299" s="248">
        <v>5</v>
      </c>
      <c r="S299" s="248">
        <v>1</v>
      </c>
      <c r="T299" s="248">
        <v>5</v>
      </c>
      <c r="U299" s="248">
        <v>5</v>
      </c>
      <c r="V299" s="248">
        <v>1</v>
      </c>
      <c r="W299" s="260">
        <f t="shared" si="62"/>
        <v>4</v>
      </c>
      <c r="X299" s="272">
        <f t="shared" si="63"/>
        <v>40</v>
      </c>
    </row>
    <row r="300" spans="1:26">
      <c r="A300" s="373"/>
      <c r="L300" s="244">
        <v>12</v>
      </c>
      <c r="M300" s="245">
        <v>5</v>
      </c>
      <c r="N300" s="245">
        <v>6</v>
      </c>
      <c r="O300" s="245">
        <v>5</v>
      </c>
      <c r="P300" s="245">
        <v>1</v>
      </c>
      <c r="Q300" s="245">
        <v>10</v>
      </c>
      <c r="R300" s="245">
        <v>5</v>
      </c>
      <c r="S300" s="245">
        <v>10</v>
      </c>
      <c r="T300" s="245">
        <v>1</v>
      </c>
      <c r="U300" s="245">
        <v>5</v>
      </c>
      <c r="V300" s="245">
        <v>10</v>
      </c>
      <c r="W300" s="259">
        <f t="shared" si="62"/>
        <v>5.8</v>
      </c>
      <c r="X300" s="271">
        <f t="shared" si="63"/>
        <v>58</v>
      </c>
      <c r="Z300" s="23" t="s">
        <v>2429</v>
      </c>
    </row>
    <row r="301" spans="1:28">
      <c r="A301" s="373"/>
      <c r="L301" s="246">
        <v>13</v>
      </c>
      <c r="M301" s="248">
        <v>5</v>
      </c>
      <c r="N301" s="248">
        <v>5</v>
      </c>
      <c r="O301" s="248">
        <v>2</v>
      </c>
      <c r="P301" s="248">
        <v>1</v>
      </c>
      <c r="Q301" s="248">
        <v>5</v>
      </c>
      <c r="R301" s="248">
        <v>1</v>
      </c>
      <c r="S301" s="248">
        <v>1</v>
      </c>
      <c r="T301" s="248">
        <v>5</v>
      </c>
      <c r="U301" s="248">
        <v>10</v>
      </c>
      <c r="V301" s="248">
        <v>1</v>
      </c>
      <c r="W301" s="260">
        <f t="shared" si="62"/>
        <v>3.6</v>
      </c>
      <c r="X301" s="272">
        <f t="shared" si="63"/>
        <v>36</v>
      </c>
      <c r="Z301" s="128" t="s">
        <v>2466</v>
      </c>
      <c r="AA301" s="128">
        <f>COUNTIF(M299:V308,1)</f>
        <v>23</v>
      </c>
      <c r="AB301" s="273">
        <f t="shared" ref="AB301:AB305" si="65">(AA301/100)</f>
        <v>0.23</v>
      </c>
    </row>
    <row r="302" spans="1:28">
      <c r="A302" s="373"/>
      <c r="L302" s="244">
        <v>14</v>
      </c>
      <c r="M302" s="245">
        <v>6</v>
      </c>
      <c r="N302" s="245">
        <v>10</v>
      </c>
      <c r="O302" s="245">
        <v>1</v>
      </c>
      <c r="P302" s="245">
        <v>1</v>
      </c>
      <c r="Q302" s="245">
        <v>10</v>
      </c>
      <c r="R302" s="245">
        <v>5</v>
      </c>
      <c r="S302" s="245">
        <v>6</v>
      </c>
      <c r="T302" s="245">
        <v>6</v>
      </c>
      <c r="U302" s="245">
        <v>10</v>
      </c>
      <c r="V302" s="245">
        <v>2</v>
      </c>
      <c r="W302" s="259">
        <f t="shared" si="62"/>
        <v>5.7</v>
      </c>
      <c r="X302" s="271">
        <f t="shared" si="63"/>
        <v>57</v>
      </c>
      <c r="Z302" s="128" t="s">
        <v>2457</v>
      </c>
      <c r="AA302" s="128">
        <f>COUNTIF(M299:V308,2)</f>
        <v>4</v>
      </c>
      <c r="AB302" s="273">
        <f t="shared" si="65"/>
        <v>0.04</v>
      </c>
    </row>
    <row r="303" spans="1:28">
      <c r="A303" s="373"/>
      <c r="L303" s="246">
        <v>15</v>
      </c>
      <c r="M303" s="248">
        <v>5</v>
      </c>
      <c r="N303" s="248">
        <v>2</v>
      </c>
      <c r="O303" s="248">
        <v>10</v>
      </c>
      <c r="P303" s="248">
        <v>10</v>
      </c>
      <c r="Q303" s="248">
        <v>6</v>
      </c>
      <c r="R303" s="248">
        <v>5</v>
      </c>
      <c r="S303" s="248">
        <v>5</v>
      </c>
      <c r="T303" s="248">
        <v>1</v>
      </c>
      <c r="U303" s="248">
        <v>5</v>
      </c>
      <c r="V303" s="248">
        <v>1</v>
      </c>
      <c r="W303" s="260">
        <f t="shared" si="62"/>
        <v>5</v>
      </c>
      <c r="X303" s="272">
        <f t="shared" si="63"/>
        <v>50</v>
      </c>
      <c r="Z303" s="128" t="s">
        <v>2437</v>
      </c>
      <c r="AA303" s="128">
        <f>COUNTIF(M299:V308,5)</f>
        <v>39</v>
      </c>
      <c r="AB303" s="273">
        <f t="shared" si="65"/>
        <v>0.39</v>
      </c>
    </row>
    <row r="304" spans="1:28">
      <c r="A304" s="373"/>
      <c r="L304" s="244">
        <v>16</v>
      </c>
      <c r="M304" s="245">
        <v>5</v>
      </c>
      <c r="N304" s="245">
        <v>6</v>
      </c>
      <c r="O304" s="245">
        <v>6</v>
      </c>
      <c r="P304" s="245">
        <v>6</v>
      </c>
      <c r="Q304" s="245">
        <v>5</v>
      </c>
      <c r="R304" s="245">
        <v>1</v>
      </c>
      <c r="S304" s="245">
        <v>6</v>
      </c>
      <c r="T304" s="245">
        <v>5</v>
      </c>
      <c r="U304" s="245">
        <v>1</v>
      </c>
      <c r="V304" s="245">
        <v>6</v>
      </c>
      <c r="W304" s="259">
        <f t="shared" si="62"/>
        <v>4.7</v>
      </c>
      <c r="X304" s="271">
        <f t="shared" si="63"/>
        <v>47</v>
      </c>
      <c r="Z304" s="128" t="s">
        <v>2472</v>
      </c>
      <c r="AA304" s="128">
        <f>COUNTIF(M299:V308,6)</f>
        <v>21</v>
      </c>
      <c r="AB304" s="273">
        <f t="shared" si="65"/>
        <v>0.21</v>
      </c>
    </row>
    <row r="305" spans="1:28">
      <c r="A305" s="373"/>
      <c r="L305" s="246">
        <v>17</v>
      </c>
      <c r="M305" s="248">
        <v>1</v>
      </c>
      <c r="N305" s="248">
        <v>5</v>
      </c>
      <c r="O305" s="248">
        <v>6</v>
      </c>
      <c r="P305" s="248">
        <v>5</v>
      </c>
      <c r="Q305" s="248">
        <v>5</v>
      </c>
      <c r="R305" s="248">
        <v>6</v>
      </c>
      <c r="S305" s="248">
        <v>6</v>
      </c>
      <c r="T305" s="248">
        <v>1</v>
      </c>
      <c r="U305" s="248">
        <v>6</v>
      </c>
      <c r="V305" s="248">
        <v>10</v>
      </c>
      <c r="W305" s="260">
        <f t="shared" si="62"/>
        <v>5.1</v>
      </c>
      <c r="X305" s="272">
        <f t="shared" si="63"/>
        <v>51</v>
      </c>
      <c r="Z305" s="128" t="s">
        <v>2456</v>
      </c>
      <c r="AA305" s="128">
        <f>COUNTIF(M299:V308,10)</f>
        <v>13</v>
      </c>
      <c r="AB305" s="273">
        <f t="shared" si="65"/>
        <v>0.13</v>
      </c>
    </row>
    <row r="306" spans="1:24">
      <c r="A306" s="373"/>
      <c r="L306" s="244">
        <v>18</v>
      </c>
      <c r="M306" s="245">
        <v>5</v>
      </c>
      <c r="N306" s="245">
        <v>5</v>
      </c>
      <c r="O306" s="245">
        <v>1</v>
      </c>
      <c r="P306" s="245">
        <v>6</v>
      </c>
      <c r="Q306" s="245">
        <v>5</v>
      </c>
      <c r="R306" s="245">
        <v>10</v>
      </c>
      <c r="S306" s="245">
        <v>6</v>
      </c>
      <c r="T306" s="245">
        <v>5</v>
      </c>
      <c r="U306" s="245">
        <v>5</v>
      </c>
      <c r="V306" s="245">
        <v>5</v>
      </c>
      <c r="W306" s="259">
        <f t="shared" si="62"/>
        <v>5.3</v>
      </c>
      <c r="X306" s="271">
        <f t="shared" si="63"/>
        <v>53</v>
      </c>
    </row>
    <row r="307" spans="1:28">
      <c r="A307" s="373"/>
      <c r="L307" s="246">
        <v>19</v>
      </c>
      <c r="M307" s="248">
        <v>5</v>
      </c>
      <c r="N307" s="248">
        <v>5</v>
      </c>
      <c r="O307" s="248">
        <v>10</v>
      </c>
      <c r="P307" s="248">
        <v>6</v>
      </c>
      <c r="Q307" s="248">
        <v>1</v>
      </c>
      <c r="R307" s="248">
        <v>6</v>
      </c>
      <c r="S307" s="248">
        <v>5</v>
      </c>
      <c r="T307" s="248">
        <v>6</v>
      </c>
      <c r="U307" s="248">
        <v>1</v>
      </c>
      <c r="V307" s="248">
        <v>5</v>
      </c>
      <c r="W307" s="260">
        <f t="shared" si="62"/>
        <v>5</v>
      </c>
      <c r="X307" s="272">
        <f t="shared" si="63"/>
        <v>50</v>
      </c>
      <c r="Y307" s="276">
        <f>AVERAGE(M299:V308)</f>
        <v>4.82</v>
      </c>
      <c r="Z307" s="277" t="s">
        <v>2448</v>
      </c>
      <c r="AA307" s="263"/>
      <c r="AB307" s="264"/>
    </row>
    <row r="308" spans="1:29">
      <c r="A308" s="373"/>
      <c r="L308" s="244">
        <v>20</v>
      </c>
      <c r="M308" s="287">
        <v>5</v>
      </c>
      <c r="N308" s="288">
        <v>1</v>
      </c>
      <c r="O308" s="288">
        <v>5</v>
      </c>
      <c r="P308" s="288">
        <v>5</v>
      </c>
      <c r="Q308" s="288">
        <v>6</v>
      </c>
      <c r="R308" s="288">
        <v>1</v>
      </c>
      <c r="S308" s="288">
        <v>1</v>
      </c>
      <c r="T308" s="288">
        <v>6</v>
      </c>
      <c r="U308" s="288">
        <v>5</v>
      </c>
      <c r="V308" s="293">
        <v>5</v>
      </c>
      <c r="W308" s="261">
        <f t="shared" si="62"/>
        <v>4</v>
      </c>
      <c r="X308" s="294">
        <f t="shared" si="63"/>
        <v>40</v>
      </c>
      <c r="Y308" s="278">
        <f>SUM(X299:X308)</f>
        <v>482</v>
      </c>
      <c r="Z308" s="277" t="s">
        <v>2445</v>
      </c>
      <c r="AA308" s="263"/>
      <c r="AB308" s="263"/>
      <c r="AC308" s="264"/>
    </row>
    <row r="309" spans="1:24">
      <c r="A309" s="373"/>
      <c r="L309" s="241">
        <v>21</v>
      </c>
      <c r="M309" s="248">
        <v>1</v>
      </c>
      <c r="N309" s="248">
        <v>1</v>
      </c>
      <c r="O309" s="248">
        <v>6</v>
      </c>
      <c r="P309" s="248">
        <v>1</v>
      </c>
      <c r="Q309" s="248">
        <v>1</v>
      </c>
      <c r="R309" s="248">
        <v>2</v>
      </c>
      <c r="S309" s="248">
        <v>1</v>
      </c>
      <c r="T309" s="248">
        <v>5</v>
      </c>
      <c r="U309" s="248">
        <v>5</v>
      </c>
      <c r="V309" s="248">
        <v>6</v>
      </c>
      <c r="W309" s="260">
        <f t="shared" si="62"/>
        <v>2.9</v>
      </c>
      <c r="X309" s="272">
        <f t="shared" si="63"/>
        <v>29</v>
      </c>
    </row>
    <row r="310" spans="1:26">
      <c r="A310" s="373"/>
      <c r="L310" s="244">
        <v>22</v>
      </c>
      <c r="M310" s="245">
        <v>5</v>
      </c>
      <c r="N310" s="245">
        <v>1</v>
      </c>
      <c r="O310" s="245">
        <v>6</v>
      </c>
      <c r="P310" s="245">
        <v>6</v>
      </c>
      <c r="Q310" s="245">
        <v>1</v>
      </c>
      <c r="R310" s="245">
        <v>5</v>
      </c>
      <c r="S310" s="245">
        <v>6</v>
      </c>
      <c r="T310" s="245">
        <v>5</v>
      </c>
      <c r="U310" s="245">
        <v>5</v>
      </c>
      <c r="V310" s="245">
        <v>10</v>
      </c>
      <c r="W310" s="259">
        <f t="shared" si="62"/>
        <v>5</v>
      </c>
      <c r="X310" s="271">
        <f t="shared" si="63"/>
        <v>50</v>
      </c>
      <c r="Z310" s="23" t="s">
        <v>2429</v>
      </c>
    </row>
    <row r="311" spans="1:28">
      <c r="A311" s="373"/>
      <c r="L311" s="246">
        <v>23</v>
      </c>
      <c r="M311" s="248">
        <v>1</v>
      </c>
      <c r="N311" s="248">
        <v>5</v>
      </c>
      <c r="O311" s="248">
        <v>5</v>
      </c>
      <c r="P311" s="248">
        <v>5</v>
      </c>
      <c r="Q311" s="248">
        <v>5</v>
      </c>
      <c r="R311" s="248">
        <v>5</v>
      </c>
      <c r="S311" s="248">
        <v>6</v>
      </c>
      <c r="T311" s="248">
        <v>5</v>
      </c>
      <c r="U311" s="248">
        <v>6</v>
      </c>
      <c r="V311" s="248">
        <v>5</v>
      </c>
      <c r="W311" s="260">
        <f t="shared" si="62"/>
        <v>4.8</v>
      </c>
      <c r="X311" s="272">
        <f t="shared" si="63"/>
        <v>48</v>
      </c>
      <c r="Z311" s="128" t="s">
        <v>2466</v>
      </c>
      <c r="AA311" s="128">
        <f>COUNTIF(M309:V318,1)</f>
        <v>28</v>
      </c>
      <c r="AB311" s="273">
        <f t="shared" ref="AB311:AB315" si="66">(AA311/100)</f>
        <v>0.28</v>
      </c>
    </row>
    <row r="312" spans="1:28">
      <c r="A312" s="373"/>
      <c r="L312" s="244">
        <v>24</v>
      </c>
      <c r="M312" s="245">
        <v>2</v>
      </c>
      <c r="N312" s="245">
        <v>6</v>
      </c>
      <c r="O312" s="245">
        <v>1</v>
      </c>
      <c r="P312" s="245">
        <v>6</v>
      </c>
      <c r="Q312" s="245">
        <v>1</v>
      </c>
      <c r="R312" s="245">
        <v>5</v>
      </c>
      <c r="S312" s="245">
        <v>5</v>
      </c>
      <c r="T312" s="245">
        <v>5</v>
      </c>
      <c r="U312" s="245">
        <v>5</v>
      </c>
      <c r="V312" s="245">
        <v>5</v>
      </c>
      <c r="W312" s="259">
        <f t="shared" si="62"/>
        <v>4.1</v>
      </c>
      <c r="X312" s="271">
        <f t="shared" si="63"/>
        <v>41</v>
      </c>
      <c r="Z312" s="128" t="s">
        <v>2457</v>
      </c>
      <c r="AA312" s="128">
        <f>COUNTIF(M309:V318,2)</f>
        <v>7</v>
      </c>
      <c r="AB312" s="273">
        <f t="shared" si="66"/>
        <v>0.07</v>
      </c>
    </row>
    <row r="313" spans="1:28">
      <c r="A313" s="373"/>
      <c r="L313" s="246">
        <v>25</v>
      </c>
      <c r="M313" s="248">
        <v>10</v>
      </c>
      <c r="N313" s="248">
        <v>1</v>
      </c>
      <c r="O313" s="248">
        <v>5</v>
      </c>
      <c r="P313" s="248">
        <v>6</v>
      </c>
      <c r="Q313" s="248">
        <v>1</v>
      </c>
      <c r="R313" s="248">
        <v>5</v>
      </c>
      <c r="S313" s="248">
        <v>1</v>
      </c>
      <c r="T313" s="248">
        <v>5</v>
      </c>
      <c r="U313" s="248">
        <v>6</v>
      </c>
      <c r="V313" s="248">
        <v>10</v>
      </c>
      <c r="W313" s="260">
        <f t="shared" si="62"/>
        <v>5</v>
      </c>
      <c r="X313" s="272">
        <f t="shared" si="63"/>
        <v>50</v>
      </c>
      <c r="Z313" s="128" t="s">
        <v>2437</v>
      </c>
      <c r="AA313" s="128">
        <f>COUNTIF(M309:V318,5)</f>
        <v>44</v>
      </c>
      <c r="AB313" s="273">
        <f t="shared" si="66"/>
        <v>0.44</v>
      </c>
    </row>
    <row r="314" spans="1:28">
      <c r="A314" s="373"/>
      <c r="L314" s="244">
        <v>26</v>
      </c>
      <c r="M314" s="245">
        <v>5</v>
      </c>
      <c r="N314" s="245">
        <v>5</v>
      </c>
      <c r="O314" s="245">
        <v>5</v>
      </c>
      <c r="P314" s="245">
        <v>10</v>
      </c>
      <c r="Q314" s="245">
        <v>1</v>
      </c>
      <c r="R314" s="245">
        <v>1</v>
      </c>
      <c r="S314" s="245">
        <v>1</v>
      </c>
      <c r="T314" s="245">
        <v>1</v>
      </c>
      <c r="U314" s="245">
        <v>5</v>
      </c>
      <c r="V314" s="245">
        <v>5</v>
      </c>
      <c r="W314" s="259">
        <f t="shared" si="62"/>
        <v>3.9</v>
      </c>
      <c r="X314" s="271">
        <f t="shared" si="63"/>
        <v>39</v>
      </c>
      <c r="Z314" s="128" t="s">
        <v>2472</v>
      </c>
      <c r="AA314" s="128">
        <f>COUNTIF(M309:V318,6)</f>
        <v>13</v>
      </c>
      <c r="AB314" s="273">
        <f t="shared" si="66"/>
        <v>0.13</v>
      </c>
    </row>
    <row r="315" spans="1:28">
      <c r="A315" s="373"/>
      <c r="L315" s="246">
        <v>27</v>
      </c>
      <c r="M315" s="248">
        <v>5</v>
      </c>
      <c r="N315" s="248">
        <v>10</v>
      </c>
      <c r="O315" s="248">
        <v>10</v>
      </c>
      <c r="P315" s="248">
        <v>10</v>
      </c>
      <c r="Q315" s="248">
        <v>5</v>
      </c>
      <c r="R315" s="248">
        <v>1</v>
      </c>
      <c r="S315" s="248">
        <v>1</v>
      </c>
      <c r="T315" s="248">
        <v>5</v>
      </c>
      <c r="U315" s="248">
        <v>1</v>
      </c>
      <c r="V315" s="248">
        <v>1</v>
      </c>
      <c r="W315" s="260">
        <f t="shared" si="62"/>
        <v>4.9</v>
      </c>
      <c r="X315" s="272">
        <f t="shared" si="63"/>
        <v>49</v>
      </c>
      <c r="Z315" s="128" t="s">
        <v>2456</v>
      </c>
      <c r="AA315" s="128">
        <f>COUNTIF(M309:V318,10)</f>
        <v>8</v>
      </c>
      <c r="AB315" s="273">
        <f t="shared" si="66"/>
        <v>0.08</v>
      </c>
    </row>
    <row r="316" spans="1:28">
      <c r="A316" s="373"/>
      <c r="L316" s="244">
        <v>28</v>
      </c>
      <c r="M316" s="245">
        <v>1</v>
      </c>
      <c r="N316" s="245">
        <v>5</v>
      </c>
      <c r="O316" s="245">
        <v>1</v>
      </c>
      <c r="P316" s="245">
        <v>5</v>
      </c>
      <c r="Q316" s="245">
        <v>2</v>
      </c>
      <c r="R316" s="245">
        <v>5</v>
      </c>
      <c r="S316" s="245">
        <v>1</v>
      </c>
      <c r="T316" s="245">
        <v>5</v>
      </c>
      <c r="U316" s="245">
        <v>10</v>
      </c>
      <c r="V316" s="245">
        <v>5</v>
      </c>
      <c r="W316" s="259">
        <f t="shared" si="62"/>
        <v>4</v>
      </c>
      <c r="X316" s="271">
        <f t="shared" si="63"/>
        <v>40</v>
      </c>
      <c r="Z316" s="128"/>
      <c r="AA316" s="128"/>
      <c r="AB316" s="273"/>
    </row>
    <row r="317" spans="1:28">
      <c r="A317" s="373"/>
      <c r="L317" s="246">
        <v>29</v>
      </c>
      <c r="M317" s="248">
        <v>6</v>
      </c>
      <c r="N317" s="248">
        <v>5</v>
      </c>
      <c r="O317" s="248">
        <v>2</v>
      </c>
      <c r="P317" s="248">
        <v>5</v>
      </c>
      <c r="Q317" s="248">
        <v>5</v>
      </c>
      <c r="R317" s="248">
        <v>2</v>
      </c>
      <c r="S317" s="248">
        <v>5</v>
      </c>
      <c r="T317" s="248">
        <v>2</v>
      </c>
      <c r="U317" s="248">
        <v>5</v>
      </c>
      <c r="V317" s="248">
        <v>1</v>
      </c>
      <c r="W317" s="260">
        <f t="shared" si="62"/>
        <v>3.8</v>
      </c>
      <c r="X317" s="272">
        <f t="shared" si="63"/>
        <v>38</v>
      </c>
      <c r="Y317" s="276">
        <f>AVERAGE(M309:V318)</f>
        <v>4.2</v>
      </c>
      <c r="Z317" s="277" t="s">
        <v>2448</v>
      </c>
      <c r="AA317" s="263"/>
      <c r="AB317" s="264"/>
    </row>
    <row r="318" spans="1:29">
      <c r="A318" s="373"/>
      <c r="L318" s="300">
        <v>30</v>
      </c>
      <c r="M318" s="288">
        <v>5</v>
      </c>
      <c r="N318" s="288">
        <v>1</v>
      </c>
      <c r="O318" s="288">
        <v>5</v>
      </c>
      <c r="P318" s="288">
        <v>6</v>
      </c>
      <c r="Q318" s="288">
        <v>5</v>
      </c>
      <c r="R318" s="288">
        <v>1</v>
      </c>
      <c r="S318" s="288">
        <v>5</v>
      </c>
      <c r="T318" s="288">
        <v>1</v>
      </c>
      <c r="U318" s="288">
        <v>2</v>
      </c>
      <c r="V318" s="288">
        <v>5</v>
      </c>
      <c r="W318" s="261">
        <f t="shared" si="62"/>
        <v>3.6</v>
      </c>
      <c r="X318" s="294">
        <f t="shared" si="63"/>
        <v>36</v>
      </c>
      <c r="Y318" s="278">
        <f>SUM(X309:X318)</f>
        <v>420</v>
      </c>
      <c r="Z318" s="277" t="s">
        <v>2445</v>
      </c>
      <c r="AA318" s="263"/>
      <c r="AB318" s="263"/>
      <c r="AC318" s="264"/>
    </row>
    <row r="319" spans="1:32">
      <c r="A319" s="373"/>
      <c r="L319" s="246">
        <v>31</v>
      </c>
      <c r="M319" s="248">
        <v>5</v>
      </c>
      <c r="N319" s="248">
        <v>5</v>
      </c>
      <c r="O319" s="248">
        <v>6</v>
      </c>
      <c r="P319" s="248">
        <v>6</v>
      </c>
      <c r="Q319" s="248">
        <v>6</v>
      </c>
      <c r="R319" s="248">
        <v>5</v>
      </c>
      <c r="S319" s="248">
        <v>5</v>
      </c>
      <c r="T319" s="248">
        <v>1</v>
      </c>
      <c r="U319" s="248">
        <v>1</v>
      </c>
      <c r="V319" s="248">
        <v>1</v>
      </c>
      <c r="W319" s="260">
        <f t="shared" si="62"/>
        <v>4.1</v>
      </c>
      <c r="X319" s="272">
        <f t="shared" si="63"/>
        <v>41</v>
      </c>
      <c r="Z319" s="367" t="s">
        <v>2454</v>
      </c>
      <c r="AA319" s="367"/>
      <c r="AB319" s="269" t="s">
        <v>2440</v>
      </c>
      <c r="AC319" s="269"/>
      <c r="AD319" s="399" t="s">
        <v>2514</v>
      </c>
      <c r="AE319" s="399"/>
      <c r="AF319" s="23" t="s">
        <v>2515</v>
      </c>
    </row>
    <row r="320" spans="1:30">
      <c r="A320" s="373"/>
      <c r="L320" s="244">
        <v>32</v>
      </c>
      <c r="M320" s="245">
        <v>5</v>
      </c>
      <c r="N320" s="245">
        <v>5</v>
      </c>
      <c r="O320" s="245">
        <v>1</v>
      </c>
      <c r="P320" s="245">
        <v>5</v>
      </c>
      <c r="Q320" s="245">
        <v>6</v>
      </c>
      <c r="R320" s="245">
        <v>1</v>
      </c>
      <c r="S320" s="245">
        <v>5</v>
      </c>
      <c r="T320" s="245">
        <v>6</v>
      </c>
      <c r="U320" s="245">
        <v>1</v>
      </c>
      <c r="V320" s="245">
        <v>1</v>
      </c>
      <c r="W320" s="259">
        <f t="shared" si="62"/>
        <v>3.6</v>
      </c>
      <c r="X320" s="271">
        <f t="shared" si="63"/>
        <v>36</v>
      </c>
      <c r="Z320" s="23" t="s">
        <v>2429</v>
      </c>
      <c r="AD320" s="23" t="s">
        <v>2427</v>
      </c>
    </row>
    <row r="321" spans="1:30">
      <c r="A321" s="373"/>
      <c r="L321" s="246">
        <v>33</v>
      </c>
      <c r="M321" s="248">
        <v>1</v>
      </c>
      <c r="N321" s="248">
        <v>6</v>
      </c>
      <c r="O321" s="248">
        <v>1</v>
      </c>
      <c r="P321" s="248">
        <v>1</v>
      </c>
      <c r="Q321" s="248">
        <v>5</v>
      </c>
      <c r="R321" s="248">
        <v>1</v>
      </c>
      <c r="S321" s="248">
        <v>5</v>
      </c>
      <c r="T321" s="248">
        <v>10</v>
      </c>
      <c r="U321" s="248">
        <v>6</v>
      </c>
      <c r="V321" s="248">
        <v>5</v>
      </c>
      <c r="W321" s="260">
        <f t="shared" si="62"/>
        <v>4.1</v>
      </c>
      <c r="X321" s="272">
        <f t="shared" si="63"/>
        <v>41</v>
      </c>
      <c r="Z321" s="128" t="s">
        <v>2466</v>
      </c>
      <c r="AA321" s="128">
        <f>COUNTIF(M319:V328,1)</f>
        <v>36</v>
      </c>
      <c r="AB321" s="273">
        <f t="shared" ref="AB321:AB325" si="67">(AA321/100)</f>
        <v>0.36</v>
      </c>
      <c r="AD321" s="23" t="s">
        <v>2431</v>
      </c>
    </row>
    <row r="322" spans="1:34">
      <c r="A322" s="373"/>
      <c r="L322" s="244">
        <v>34</v>
      </c>
      <c r="M322" s="245">
        <v>6</v>
      </c>
      <c r="N322" s="245">
        <v>1</v>
      </c>
      <c r="O322" s="245">
        <v>1</v>
      </c>
      <c r="P322" s="245">
        <v>10</v>
      </c>
      <c r="Q322" s="245">
        <v>2</v>
      </c>
      <c r="R322" s="245">
        <v>6</v>
      </c>
      <c r="S322" s="245">
        <v>6</v>
      </c>
      <c r="T322" s="245">
        <v>10</v>
      </c>
      <c r="U322" s="245">
        <v>5</v>
      </c>
      <c r="V322" s="245">
        <v>6</v>
      </c>
      <c r="W322" s="259">
        <f t="shared" si="62"/>
        <v>5.3</v>
      </c>
      <c r="X322" s="271">
        <f t="shared" si="63"/>
        <v>53</v>
      </c>
      <c r="Z322" s="128" t="s">
        <v>2457</v>
      </c>
      <c r="AA322" s="128">
        <f>COUNTIF(M319:V328,2)</f>
        <v>2</v>
      </c>
      <c r="AB322" s="273">
        <f t="shared" si="67"/>
        <v>0.02</v>
      </c>
      <c r="AD322" s="274" t="s">
        <v>2434</v>
      </c>
      <c r="AE322" s="275"/>
      <c r="AF322" s="280" t="s">
        <v>2435</v>
      </c>
      <c r="AG322" s="275" t="s">
        <v>2436</v>
      </c>
      <c r="AH322" s="281"/>
    </row>
    <row r="323" spans="1:33">
      <c r="A323" s="373"/>
      <c r="L323" s="246">
        <v>35</v>
      </c>
      <c r="M323" s="248">
        <v>1</v>
      </c>
      <c r="N323" s="248">
        <v>5</v>
      </c>
      <c r="O323" s="248">
        <v>1</v>
      </c>
      <c r="P323" s="248">
        <v>1</v>
      </c>
      <c r="Q323" s="248">
        <v>1</v>
      </c>
      <c r="R323" s="248">
        <v>5</v>
      </c>
      <c r="S323" s="248">
        <v>5</v>
      </c>
      <c r="T323" s="248">
        <v>1</v>
      </c>
      <c r="U323" s="248">
        <v>10</v>
      </c>
      <c r="V323" s="248">
        <v>5</v>
      </c>
      <c r="W323" s="260">
        <f t="shared" si="62"/>
        <v>3.5</v>
      </c>
      <c r="X323" s="272">
        <f t="shared" si="63"/>
        <v>35</v>
      </c>
      <c r="Z323" s="128" t="s">
        <v>2437</v>
      </c>
      <c r="AA323" s="128">
        <f>COUNTIF(M319:V328,5)</f>
        <v>36</v>
      </c>
      <c r="AB323" s="273">
        <f t="shared" si="67"/>
        <v>0.36</v>
      </c>
      <c r="AD323" s="23" t="s">
        <v>2509</v>
      </c>
      <c r="AF323" s="128">
        <v>0</v>
      </c>
      <c r="AG323" s="282">
        <f t="shared" ref="AG323:AG325" si="68">(AF323/100)</f>
        <v>0</v>
      </c>
    </row>
    <row r="324" spans="1:33">
      <c r="A324" s="373"/>
      <c r="L324" s="244">
        <v>36</v>
      </c>
      <c r="M324" s="245">
        <v>1</v>
      </c>
      <c r="N324" s="245">
        <v>10</v>
      </c>
      <c r="O324" s="245">
        <v>6</v>
      </c>
      <c r="P324" s="245">
        <v>5</v>
      </c>
      <c r="Q324" s="245">
        <v>5</v>
      </c>
      <c r="R324" s="245">
        <v>5</v>
      </c>
      <c r="S324" s="245">
        <v>6</v>
      </c>
      <c r="T324" s="245">
        <v>1</v>
      </c>
      <c r="U324" s="245">
        <v>1</v>
      </c>
      <c r="V324" s="245">
        <v>5</v>
      </c>
      <c r="W324" s="259">
        <f t="shared" si="62"/>
        <v>4.5</v>
      </c>
      <c r="X324" s="271">
        <f t="shared" si="63"/>
        <v>45</v>
      </c>
      <c r="Z324" s="128" t="s">
        <v>2472</v>
      </c>
      <c r="AA324" s="128">
        <f>COUNTIF(M319:V328,6)</f>
        <v>20</v>
      </c>
      <c r="AB324" s="273">
        <f t="shared" si="67"/>
        <v>0.2</v>
      </c>
      <c r="AD324" s="23" t="s">
        <v>2440</v>
      </c>
      <c r="AF324" s="128">
        <v>0</v>
      </c>
      <c r="AG324" s="282">
        <f t="shared" si="68"/>
        <v>0</v>
      </c>
    </row>
    <row r="325" spans="1:33">
      <c r="A325" s="373"/>
      <c r="L325" s="246">
        <v>37</v>
      </c>
      <c r="M325" s="248">
        <v>5</v>
      </c>
      <c r="N325" s="248">
        <v>6</v>
      </c>
      <c r="O325" s="248">
        <v>1</v>
      </c>
      <c r="P325" s="248">
        <v>10</v>
      </c>
      <c r="Q325" s="248">
        <v>2</v>
      </c>
      <c r="R325" s="248">
        <v>6</v>
      </c>
      <c r="S325" s="248">
        <v>5</v>
      </c>
      <c r="T325" s="248">
        <v>5</v>
      </c>
      <c r="U325" s="248">
        <v>5</v>
      </c>
      <c r="V325" s="248">
        <v>6</v>
      </c>
      <c r="W325" s="260">
        <f t="shared" si="62"/>
        <v>5.1</v>
      </c>
      <c r="X325" s="272">
        <f t="shared" si="63"/>
        <v>51</v>
      </c>
      <c r="Z325" s="128" t="s">
        <v>2456</v>
      </c>
      <c r="AA325" s="128">
        <f>COUNTIF(M319:V328,10)</f>
        <v>6</v>
      </c>
      <c r="AB325" s="273">
        <f t="shared" si="67"/>
        <v>0.06</v>
      </c>
      <c r="AD325" s="23" t="s">
        <v>2424</v>
      </c>
      <c r="AF325" s="128">
        <v>0</v>
      </c>
      <c r="AG325" s="282">
        <f t="shared" si="68"/>
        <v>0</v>
      </c>
    </row>
    <row r="326" spans="1:28">
      <c r="A326" s="373"/>
      <c r="L326" s="244">
        <v>38</v>
      </c>
      <c r="M326" s="245">
        <v>1</v>
      </c>
      <c r="N326" s="245">
        <v>1</v>
      </c>
      <c r="O326" s="245">
        <v>1</v>
      </c>
      <c r="P326" s="245">
        <v>5</v>
      </c>
      <c r="Q326" s="245">
        <v>5</v>
      </c>
      <c r="R326" s="245">
        <v>1</v>
      </c>
      <c r="S326" s="245">
        <v>6</v>
      </c>
      <c r="T326" s="245">
        <v>1</v>
      </c>
      <c r="U326" s="245">
        <v>1</v>
      </c>
      <c r="V326" s="245">
        <v>6</v>
      </c>
      <c r="W326" s="259">
        <f t="shared" si="62"/>
        <v>2.8</v>
      </c>
      <c r="X326" s="271">
        <f t="shared" si="63"/>
        <v>28</v>
      </c>
      <c r="Z326" s="128"/>
      <c r="AA326" s="128"/>
      <c r="AB326" s="273"/>
    </row>
    <row r="327" spans="1:28">
      <c r="A327" s="373"/>
      <c r="L327" s="246">
        <v>39</v>
      </c>
      <c r="M327" s="248">
        <v>5</v>
      </c>
      <c r="N327" s="248">
        <v>1</v>
      </c>
      <c r="O327" s="248">
        <v>1</v>
      </c>
      <c r="P327" s="248">
        <v>1</v>
      </c>
      <c r="Q327" s="248">
        <v>6</v>
      </c>
      <c r="R327" s="248">
        <v>5</v>
      </c>
      <c r="S327" s="248">
        <v>1</v>
      </c>
      <c r="T327" s="248">
        <v>5</v>
      </c>
      <c r="U327" s="248">
        <v>5</v>
      </c>
      <c r="V327" s="248">
        <v>1</v>
      </c>
      <c r="W327" s="260">
        <f t="shared" si="62"/>
        <v>3.1</v>
      </c>
      <c r="X327" s="272">
        <f t="shared" si="63"/>
        <v>31</v>
      </c>
      <c r="Y327" s="276">
        <f>AVERAGE(M319:V328)</f>
        <v>4</v>
      </c>
      <c r="Z327" s="277" t="s">
        <v>2448</v>
      </c>
      <c r="AA327" s="263"/>
      <c r="AB327" s="264"/>
    </row>
    <row r="328" spans="1:29">
      <c r="A328" s="373"/>
      <c r="L328" s="244">
        <v>40</v>
      </c>
      <c r="M328" s="287">
        <v>1</v>
      </c>
      <c r="N328" s="288">
        <v>5</v>
      </c>
      <c r="O328" s="288">
        <v>6</v>
      </c>
      <c r="P328" s="288">
        <v>1</v>
      </c>
      <c r="Q328" s="288">
        <v>5</v>
      </c>
      <c r="R328" s="288">
        <v>5</v>
      </c>
      <c r="S328" s="288">
        <v>5</v>
      </c>
      <c r="T328" s="288">
        <v>5</v>
      </c>
      <c r="U328" s="288">
        <v>1</v>
      </c>
      <c r="V328" s="293">
        <v>5</v>
      </c>
      <c r="W328" s="261">
        <f t="shared" si="62"/>
        <v>3.9</v>
      </c>
      <c r="X328" s="294">
        <f t="shared" si="63"/>
        <v>39</v>
      </c>
      <c r="Y328" s="278">
        <f>SUM(X319:X328)</f>
        <v>400</v>
      </c>
      <c r="Z328" s="277" t="s">
        <v>2460</v>
      </c>
      <c r="AA328" s="263"/>
      <c r="AB328" s="263"/>
      <c r="AC328" s="264"/>
    </row>
    <row r="329" spans="1:32">
      <c r="A329" s="373"/>
      <c r="L329" s="241">
        <v>41</v>
      </c>
      <c r="M329" s="248">
        <v>1</v>
      </c>
      <c r="N329" s="248">
        <v>5</v>
      </c>
      <c r="O329" s="248">
        <v>2</v>
      </c>
      <c r="P329" s="248">
        <v>2</v>
      </c>
      <c r="Q329" s="248">
        <v>6</v>
      </c>
      <c r="R329" s="248">
        <v>5</v>
      </c>
      <c r="S329" s="248">
        <v>1</v>
      </c>
      <c r="T329" s="248">
        <v>5</v>
      </c>
      <c r="U329" s="248">
        <v>6</v>
      </c>
      <c r="V329" s="248">
        <v>1</v>
      </c>
      <c r="W329" s="260">
        <f t="shared" si="62"/>
        <v>3.4</v>
      </c>
      <c r="X329" s="272">
        <f t="shared" si="63"/>
        <v>34</v>
      </c>
      <c r="Z329" s="268" t="s">
        <v>2424</v>
      </c>
      <c r="AA329" s="268"/>
      <c r="AB329" s="269" t="s">
        <v>2425</v>
      </c>
      <c r="AC329" s="269"/>
      <c r="AD329" s="270" t="s">
        <v>2426</v>
      </c>
      <c r="AE329" s="270"/>
      <c r="AF329" s="23" t="s">
        <v>2427</v>
      </c>
    </row>
    <row r="330" spans="1:26">
      <c r="A330" s="373"/>
      <c r="L330" s="244">
        <v>42</v>
      </c>
      <c r="M330" s="245">
        <v>1</v>
      </c>
      <c r="N330" s="245">
        <v>1</v>
      </c>
      <c r="O330" s="245">
        <v>1</v>
      </c>
      <c r="P330" s="245">
        <v>5</v>
      </c>
      <c r="Q330" s="245">
        <v>2</v>
      </c>
      <c r="R330" s="245">
        <v>6</v>
      </c>
      <c r="S330" s="245">
        <v>1</v>
      </c>
      <c r="T330" s="245">
        <v>1</v>
      </c>
      <c r="U330" s="245">
        <v>6</v>
      </c>
      <c r="V330" s="245">
        <v>1</v>
      </c>
      <c r="W330" s="259">
        <f t="shared" si="62"/>
        <v>2.5</v>
      </c>
      <c r="X330" s="271">
        <f t="shared" si="63"/>
        <v>25</v>
      </c>
      <c r="Z330" s="23" t="s">
        <v>2429</v>
      </c>
    </row>
    <row r="331" spans="1:30">
      <c r="A331" s="373"/>
      <c r="L331" s="246">
        <v>43</v>
      </c>
      <c r="M331" s="248">
        <v>1</v>
      </c>
      <c r="N331" s="248">
        <v>5</v>
      </c>
      <c r="O331" s="248">
        <v>6</v>
      </c>
      <c r="P331" s="248">
        <v>5</v>
      </c>
      <c r="Q331" s="248">
        <v>6</v>
      </c>
      <c r="R331" s="248">
        <v>2</v>
      </c>
      <c r="S331" s="248">
        <v>10</v>
      </c>
      <c r="T331" s="248">
        <v>5</v>
      </c>
      <c r="U331" s="248">
        <v>5</v>
      </c>
      <c r="V331" s="248">
        <v>5</v>
      </c>
      <c r="W331" s="260">
        <f t="shared" si="62"/>
        <v>5</v>
      </c>
      <c r="X331" s="272">
        <f t="shared" si="63"/>
        <v>50</v>
      </c>
      <c r="Z331" s="128" t="s">
        <v>2466</v>
      </c>
      <c r="AA331" s="128">
        <f>COUNTIF(M329:V338,1)</f>
        <v>39</v>
      </c>
      <c r="AB331" s="273">
        <f t="shared" ref="AB331:AB335" si="69">(AA331/100)</f>
        <v>0.39</v>
      </c>
      <c r="AD331" s="23" t="s">
        <v>2431</v>
      </c>
    </row>
    <row r="332" spans="1:34">
      <c r="A332" s="373"/>
      <c r="L332" s="244">
        <v>44</v>
      </c>
      <c r="M332" s="245">
        <v>1</v>
      </c>
      <c r="N332" s="245">
        <v>6</v>
      </c>
      <c r="O332" s="245">
        <v>1</v>
      </c>
      <c r="P332" s="245">
        <v>2</v>
      </c>
      <c r="Q332" s="245">
        <v>6</v>
      </c>
      <c r="R332" s="245">
        <v>6</v>
      </c>
      <c r="S332" s="245">
        <v>5</v>
      </c>
      <c r="T332" s="245">
        <v>2</v>
      </c>
      <c r="U332" s="245">
        <v>6</v>
      </c>
      <c r="V332" s="245">
        <v>5</v>
      </c>
      <c r="W332" s="259">
        <f t="shared" si="62"/>
        <v>4</v>
      </c>
      <c r="X332" s="271">
        <f t="shared" si="63"/>
        <v>40</v>
      </c>
      <c r="Z332" s="128" t="s">
        <v>2457</v>
      </c>
      <c r="AA332" s="128">
        <f>COUNTIF(M329:V338,2)</f>
        <v>10</v>
      </c>
      <c r="AB332" s="273">
        <f t="shared" si="69"/>
        <v>0.1</v>
      </c>
      <c r="AD332" s="274" t="s">
        <v>2434</v>
      </c>
      <c r="AE332" s="275"/>
      <c r="AF332" s="280" t="s">
        <v>2435</v>
      </c>
      <c r="AG332" s="275" t="s">
        <v>2436</v>
      </c>
      <c r="AH332" s="281"/>
    </row>
    <row r="333" spans="1:33">
      <c r="A333" s="373"/>
      <c r="L333" s="246">
        <v>45</v>
      </c>
      <c r="M333" s="248">
        <v>10</v>
      </c>
      <c r="N333" s="248">
        <v>6</v>
      </c>
      <c r="O333" s="248">
        <v>1</v>
      </c>
      <c r="P333" s="248">
        <v>5</v>
      </c>
      <c r="Q333" s="248">
        <v>5</v>
      </c>
      <c r="R333" s="248">
        <v>6</v>
      </c>
      <c r="S333" s="248">
        <v>5</v>
      </c>
      <c r="T333" s="248">
        <v>1</v>
      </c>
      <c r="U333" s="248">
        <v>6</v>
      </c>
      <c r="V333" s="248">
        <v>5</v>
      </c>
      <c r="W333" s="260">
        <f t="shared" si="62"/>
        <v>5</v>
      </c>
      <c r="X333" s="272">
        <f t="shared" si="63"/>
        <v>50</v>
      </c>
      <c r="Z333" s="128" t="s">
        <v>2437</v>
      </c>
      <c r="AA333" s="128">
        <f>COUNTIF(M329:V338,5)</f>
        <v>25</v>
      </c>
      <c r="AB333" s="273">
        <f t="shared" si="69"/>
        <v>0.25</v>
      </c>
      <c r="AD333" s="23" t="s">
        <v>2438</v>
      </c>
      <c r="AF333" s="128">
        <v>0</v>
      </c>
      <c r="AG333" s="282">
        <f t="shared" ref="AG333:AG335" si="70">(AF333/100)</f>
        <v>0</v>
      </c>
    </row>
    <row r="334" spans="1:33">
      <c r="A334" s="373"/>
      <c r="L334" s="244">
        <v>46</v>
      </c>
      <c r="M334" s="245">
        <v>1</v>
      </c>
      <c r="N334" s="245">
        <v>5</v>
      </c>
      <c r="O334" s="245">
        <v>2</v>
      </c>
      <c r="P334" s="245">
        <v>5</v>
      </c>
      <c r="Q334" s="245">
        <v>5</v>
      </c>
      <c r="R334" s="245">
        <v>1</v>
      </c>
      <c r="S334" s="245">
        <v>1</v>
      </c>
      <c r="T334" s="245">
        <v>1</v>
      </c>
      <c r="U334" s="245">
        <v>6</v>
      </c>
      <c r="V334" s="245">
        <v>1</v>
      </c>
      <c r="W334" s="259">
        <f t="shared" si="62"/>
        <v>2.8</v>
      </c>
      <c r="X334" s="271">
        <f t="shared" si="63"/>
        <v>28</v>
      </c>
      <c r="Z334" s="128" t="s">
        <v>2472</v>
      </c>
      <c r="AA334" s="128">
        <f>COUNTIF(M329:V338,6)</f>
        <v>19</v>
      </c>
      <c r="AB334" s="273">
        <f t="shared" si="69"/>
        <v>0.19</v>
      </c>
      <c r="AD334" s="23" t="s">
        <v>2440</v>
      </c>
      <c r="AF334" s="128">
        <v>0</v>
      </c>
      <c r="AG334" s="282">
        <f t="shared" si="70"/>
        <v>0</v>
      </c>
    </row>
    <row r="335" spans="1:33">
      <c r="A335" s="373"/>
      <c r="L335" s="246">
        <v>47</v>
      </c>
      <c r="M335" s="248">
        <v>6</v>
      </c>
      <c r="N335" s="248">
        <v>1</v>
      </c>
      <c r="O335" s="248">
        <v>10</v>
      </c>
      <c r="P335" s="248">
        <v>10</v>
      </c>
      <c r="Q335" s="248">
        <v>1</v>
      </c>
      <c r="R335" s="248">
        <v>6</v>
      </c>
      <c r="S335" s="248">
        <v>1</v>
      </c>
      <c r="T335" s="248">
        <v>5</v>
      </c>
      <c r="U335" s="248">
        <v>1</v>
      </c>
      <c r="V335" s="248">
        <v>10</v>
      </c>
      <c r="W335" s="260">
        <f t="shared" si="62"/>
        <v>5.1</v>
      </c>
      <c r="X335" s="272">
        <f t="shared" si="63"/>
        <v>51</v>
      </c>
      <c r="Z335" s="128" t="s">
        <v>2456</v>
      </c>
      <c r="AA335" s="128">
        <f>COUNTIF(M329:V338,10)</f>
        <v>7</v>
      </c>
      <c r="AB335" s="273">
        <f t="shared" si="69"/>
        <v>0.07</v>
      </c>
      <c r="AD335" s="23" t="s">
        <v>2442</v>
      </c>
      <c r="AF335" s="128">
        <v>0</v>
      </c>
      <c r="AG335" s="282">
        <f t="shared" si="70"/>
        <v>0</v>
      </c>
    </row>
    <row r="336" spans="1:28">
      <c r="A336" s="373"/>
      <c r="L336" s="244">
        <v>48</v>
      </c>
      <c r="M336" s="245">
        <v>6</v>
      </c>
      <c r="N336" s="245">
        <v>1</v>
      </c>
      <c r="O336" s="245">
        <v>1</v>
      </c>
      <c r="P336" s="245">
        <v>1</v>
      </c>
      <c r="Q336" s="245">
        <v>2</v>
      </c>
      <c r="R336" s="245">
        <v>1</v>
      </c>
      <c r="S336" s="245">
        <v>1</v>
      </c>
      <c r="T336" s="245">
        <v>5</v>
      </c>
      <c r="U336" s="245">
        <v>5</v>
      </c>
      <c r="V336" s="245">
        <v>1</v>
      </c>
      <c r="W336" s="259">
        <f t="shared" si="62"/>
        <v>2.4</v>
      </c>
      <c r="X336" s="271">
        <f t="shared" si="63"/>
        <v>24</v>
      </c>
      <c r="Z336" s="128"/>
      <c r="AA336" s="128"/>
      <c r="AB336" s="273"/>
    </row>
    <row r="337" spans="1:28">
      <c r="A337" s="373"/>
      <c r="L337" s="246">
        <v>49</v>
      </c>
      <c r="M337" s="248">
        <v>1</v>
      </c>
      <c r="N337" s="248">
        <v>5</v>
      </c>
      <c r="O337" s="248">
        <v>10</v>
      </c>
      <c r="P337" s="248">
        <v>5</v>
      </c>
      <c r="Q337" s="248">
        <v>1</v>
      </c>
      <c r="R337" s="248">
        <v>1</v>
      </c>
      <c r="S337" s="248">
        <v>2</v>
      </c>
      <c r="T337" s="248">
        <v>1</v>
      </c>
      <c r="U337" s="248">
        <v>6</v>
      </c>
      <c r="V337" s="248">
        <v>1</v>
      </c>
      <c r="W337" s="260">
        <f t="shared" si="62"/>
        <v>3.3</v>
      </c>
      <c r="X337" s="272">
        <f t="shared" si="63"/>
        <v>33</v>
      </c>
      <c r="Y337" s="276">
        <f>AVERAGE(M329:V338)</f>
        <v>3.68</v>
      </c>
      <c r="Z337" s="277" t="s">
        <v>2448</v>
      </c>
      <c r="AA337" s="263"/>
      <c r="AB337" s="264"/>
    </row>
    <row r="338" ht="15" customHeight="1" spans="1:29">
      <c r="A338" s="373"/>
      <c r="L338" s="283">
        <v>50</v>
      </c>
      <c r="M338" s="286">
        <v>10</v>
      </c>
      <c r="N338" s="286">
        <v>1</v>
      </c>
      <c r="O338" s="286">
        <v>5</v>
      </c>
      <c r="P338" s="286">
        <v>5</v>
      </c>
      <c r="Q338" s="286">
        <v>6</v>
      </c>
      <c r="R338" s="286">
        <v>1</v>
      </c>
      <c r="S338" s="286">
        <v>1</v>
      </c>
      <c r="T338" s="286">
        <v>2</v>
      </c>
      <c r="U338" s="286">
        <v>1</v>
      </c>
      <c r="V338" s="286">
        <v>1</v>
      </c>
      <c r="W338" s="291">
        <f t="shared" si="62"/>
        <v>3.3</v>
      </c>
      <c r="X338" s="295">
        <f t="shared" si="63"/>
        <v>33</v>
      </c>
      <c r="Y338" s="278">
        <f>SUM(X329:X338)</f>
        <v>368</v>
      </c>
      <c r="Z338" s="277" t="s">
        <v>2460</v>
      </c>
      <c r="AA338" s="263"/>
      <c r="AB338" s="263"/>
      <c r="AC338" s="264"/>
    </row>
    <row r="339" spans="1:32">
      <c r="A339" s="373"/>
      <c r="L339" s="246">
        <v>51</v>
      </c>
      <c r="M339" s="248">
        <v>2</v>
      </c>
      <c r="N339" s="248">
        <v>6</v>
      </c>
      <c r="O339" s="248">
        <v>6</v>
      </c>
      <c r="P339" s="248">
        <v>1</v>
      </c>
      <c r="Q339" s="248">
        <v>1</v>
      </c>
      <c r="R339" s="248">
        <v>1</v>
      </c>
      <c r="S339" s="248">
        <v>5</v>
      </c>
      <c r="T339" s="248">
        <v>5</v>
      </c>
      <c r="U339" s="248">
        <v>6</v>
      </c>
      <c r="V339" s="248">
        <v>1</v>
      </c>
      <c r="W339" s="260">
        <f t="shared" si="62"/>
        <v>3.4</v>
      </c>
      <c r="X339" s="272">
        <f t="shared" si="63"/>
        <v>34</v>
      </c>
      <c r="Z339" s="268" t="s">
        <v>2454</v>
      </c>
      <c r="AA339" s="268"/>
      <c r="AB339" s="269" t="s">
        <v>2425</v>
      </c>
      <c r="AC339" s="269"/>
      <c r="AD339" s="270" t="s">
        <v>2426</v>
      </c>
      <c r="AE339" s="270"/>
      <c r="AF339" s="23" t="s">
        <v>2427</v>
      </c>
    </row>
    <row r="340" spans="1:26">
      <c r="A340" s="373"/>
      <c r="L340" s="244">
        <v>52</v>
      </c>
      <c r="M340" s="245">
        <v>1</v>
      </c>
      <c r="N340" s="245">
        <v>5</v>
      </c>
      <c r="O340" s="245">
        <v>5</v>
      </c>
      <c r="P340" s="245">
        <v>2</v>
      </c>
      <c r="Q340" s="245">
        <v>5</v>
      </c>
      <c r="R340" s="245">
        <v>5</v>
      </c>
      <c r="S340" s="245">
        <v>1</v>
      </c>
      <c r="T340" s="245">
        <v>6</v>
      </c>
      <c r="U340" s="245">
        <v>2</v>
      </c>
      <c r="V340" s="245">
        <v>5</v>
      </c>
      <c r="W340" s="259">
        <f t="shared" si="62"/>
        <v>3.7</v>
      </c>
      <c r="X340" s="271">
        <f t="shared" si="63"/>
        <v>37</v>
      </c>
      <c r="Z340" s="23" t="s">
        <v>2429</v>
      </c>
    </row>
    <row r="341" spans="1:30">
      <c r="A341" s="373"/>
      <c r="L341" s="246">
        <v>53</v>
      </c>
      <c r="M341" s="248">
        <v>2</v>
      </c>
      <c r="N341" s="248">
        <v>5</v>
      </c>
      <c r="O341" s="248">
        <v>1</v>
      </c>
      <c r="P341" s="248">
        <v>6</v>
      </c>
      <c r="Q341" s="248">
        <v>5</v>
      </c>
      <c r="R341" s="248">
        <v>1</v>
      </c>
      <c r="S341" s="248">
        <v>6</v>
      </c>
      <c r="T341" s="248">
        <v>2</v>
      </c>
      <c r="U341" s="248">
        <v>10</v>
      </c>
      <c r="V341" s="248">
        <v>2</v>
      </c>
      <c r="W341" s="260">
        <f t="shared" si="62"/>
        <v>4</v>
      </c>
      <c r="X341" s="272">
        <f t="shared" si="63"/>
        <v>40</v>
      </c>
      <c r="Z341" s="128" t="s">
        <v>2466</v>
      </c>
      <c r="AA341" s="128">
        <f>COUNTIF(M339:V348,1)</f>
        <v>33</v>
      </c>
      <c r="AB341" s="273">
        <f t="shared" ref="AB341:AB345" si="71">(AA341/100)</f>
        <v>0.33</v>
      </c>
      <c r="AD341" s="23" t="s">
        <v>2431</v>
      </c>
    </row>
    <row r="342" spans="1:34">
      <c r="A342" s="373"/>
      <c r="L342" s="244">
        <v>54</v>
      </c>
      <c r="M342" s="245">
        <v>1</v>
      </c>
      <c r="N342" s="245">
        <v>5</v>
      </c>
      <c r="O342" s="245">
        <v>1</v>
      </c>
      <c r="P342" s="245">
        <v>5</v>
      </c>
      <c r="Q342" s="245">
        <v>6</v>
      </c>
      <c r="R342" s="245">
        <v>1</v>
      </c>
      <c r="S342" s="245">
        <v>5</v>
      </c>
      <c r="T342" s="245">
        <v>6</v>
      </c>
      <c r="U342" s="245">
        <v>5</v>
      </c>
      <c r="V342" s="245">
        <v>1</v>
      </c>
      <c r="W342" s="259">
        <f t="shared" si="62"/>
        <v>3.6</v>
      </c>
      <c r="X342" s="271">
        <f t="shared" si="63"/>
        <v>36</v>
      </c>
      <c r="Z342" s="128" t="s">
        <v>2457</v>
      </c>
      <c r="AA342" s="128">
        <f>COUNTIF(M339:V348,2)</f>
        <v>10</v>
      </c>
      <c r="AB342" s="273">
        <f t="shared" si="71"/>
        <v>0.1</v>
      </c>
      <c r="AD342" s="274" t="s">
        <v>2434</v>
      </c>
      <c r="AE342" s="275"/>
      <c r="AF342" s="280" t="s">
        <v>2435</v>
      </c>
      <c r="AG342" s="275" t="s">
        <v>2436</v>
      </c>
      <c r="AH342" s="281"/>
    </row>
    <row r="343" spans="1:33">
      <c r="A343" s="373"/>
      <c r="L343" s="246">
        <v>55</v>
      </c>
      <c r="M343" s="248">
        <v>1</v>
      </c>
      <c r="N343" s="248">
        <v>1</v>
      </c>
      <c r="O343" s="248">
        <v>2</v>
      </c>
      <c r="P343" s="248">
        <v>6</v>
      </c>
      <c r="Q343" s="248">
        <v>6</v>
      </c>
      <c r="R343" s="248">
        <v>5</v>
      </c>
      <c r="S343" s="248">
        <v>2</v>
      </c>
      <c r="T343" s="248">
        <v>5</v>
      </c>
      <c r="U343" s="248">
        <v>1</v>
      </c>
      <c r="V343" s="248">
        <v>10</v>
      </c>
      <c r="W343" s="260">
        <f t="shared" si="62"/>
        <v>3.9</v>
      </c>
      <c r="X343" s="272">
        <f t="shared" si="63"/>
        <v>39</v>
      </c>
      <c r="Z343" s="128" t="s">
        <v>2437</v>
      </c>
      <c r="AA343" s="128">
        <f>COUNTIF(M339:V348,5)</f>
        <v>30</v>
      </c>
      <c r="AB343" s="273">
        <f t="shared" si="71"/>
        <v>0.3</v>
      </c>
      <c r="AD343" s="23" t="s">
        <v>2438</v>
      </c>
      <c r="AF343" s="128">
        <v>0</v>
      </c>
      <c r="AG343" s="282">
        <f t="shared" ref="AG343:AG345" si="72">(AF343/100)</f>
        <v>0</v>
      </c>
    </row>
    <row r="344" spans="1:33">
      <c r="A344" s="373"/>
      <c r="L344" s="244">
        <v>56</v>
      </c>
      <c r="M344" s="245">
        <v>6</v>
      </c>
      <c r="N344" s="245">
        <v>5</v>
      </c>
      <c r="O344" s="245">
        <v>1</v>
      </c>
      <c r="P344" s="245">
        <v>1</v>
      </c>
      <c r="Q344" s="245">
        <v>5</v>
      </c>
      <c r="R344" s="245">
        <v>10</v>
      </c>
      <c r="S344" s="245">
        <v>2</v>
      </c>
      <c r="T344" s="245">
        <v>1</v>
      </c>
      <c r="U344" s="245">
        <v>1</v>
      </c>
      <c r="V344" s="245">
        <v>1</v>
      </c>
      <c r="W344" s="259">
        <f t="shared" si="62"/>
        <v>3.3</v>
      </c>
      <c r="X344" s="271">
        <f t="shared" si="63"/>
        <v>33</v>
      </c>
      <c r="Z344" s="128" t="s">
        <v>2472</v>
      </c>
      <c r="AA344" s="128">
        <f>COUNTIF(M339:V348,6)</f>
        <v>18</v>
      </c>
      <c r="AB344" s="273">
        <f t="shared" si="71"/>
        <v>0.18</v>
      </c>
      <c r="AD344" s="23" t="s">
        <v>2440</v>
      </c>
      <c r="AF344" s="128">
        <v>0</v>
      </c>
      <c r="AG344" s="282">
        <f t="shared" si="72"/>
        <v>0</v>
      </c>
    </row>
    <row r="345" spans="1:33">
      <c r="A345" s="373"/>
      <c r="L345" s="246">
        <v>57</v>
      </c>
      <c r="M345" s="248">
        <v>2</v>
      </c>
      <c r="N345" s="248">
        <v>1</v>
      </c>
      <c r="O345" s="248">
        <v>5</v>
      </c>
      <c r="P345" s="248">
        <v>6</v>
      </c>
      <c r="Q345" s="248">
        <v>1</v>
      </c>
      <c r="R345" s="248">
        <v>6</v>
      </c>
      <c r="S345" s="248">
        <v>1</v>
      </c>
      <c r="T345" s="248">
        <v>5</v>
      </c>
      <c r="U345" s="248">
        <v>6</v>
      </c>
      <c r="V345" s="248">
        <v>1</v>
      </c>
      <c r="W345" s="260">
        <f t="shared" si="62"/>
        <v>3.4</v>
      </c>
      <c r="X345" s="272">
        <f t="shared" si="63"/>
        <v>34</v>
      </c>
      <c r="Z345" s="128" t="s">
        <v>2456</v>
      </c>
      <c r="AA345" s="128">
        <f>COUNTIF(M339:V348,10)</f>
        <v>9</v>
      </c>
      <c r="AB345" s="273">
        <f t="shared" si="71"/>
        <v>0.09</v>
      </c>
      <c r="AD345" s="23" t="s">
        <v>2424</v>
      </c>
      <c r="AF345" s="128">
        <v>0</v>
      </c>
      <c r="AG345" s="282">
        <f t="shared" si="72"/>
        <v>0</v>
      </c>
    </row>
    <row r="346" spans="1:28">
      <c r="A346" s="373"/>
      <c r="L346" s="244">
        <v>58</v>
      </c>
      <c r="M346" s="245">
        <v>1</v>
      </c>
      <c r="N346" s="245">
        <v>5</v>
      </c>
      <c r="O346" s="245">
        <v>1</v>
      </c>
      <c r="P346" s="245">
        <v>10</v>
      </c>
      <c r="Q346" s="245">
        <v>10</v>
      </c>
      <c r="R346" s="245">
        <v>6</v>
      </c>
      <c r="S346" s="245">
        <v>5</v>
      </c>
      <c r="T346" s="245">
        <v>10</v>
      </c>
      <c r="U346" s="245">
        <v>1</v>
      </c>
      <c r="V346" s="245">
        <v>5</v>
      </c>
      <c r="W346" s="259">
        <f t="shared" si="62"/>
        <v>5.4</v>
      </c>
      <c r="X346" s="271">
        <f t="shared" si="63"/>
        <v>54</v>
      </c>
      <c r="Z346" s="128"/>
      <c r="AA346" s="128"/>
      <c r="AB346" s="273"/>
    </row>
    <row r="347" spans="1:28">
      <c r="A347" s="373"/>
      <c r="L347" s="246">
        <v>59</v>
      </c>
      <c r="M347" s="248">
        <v>10</v>
      </c>
      <c r="N347" s="248">
        <v>5</v>
      </c>
      <c r="O347" s="248">
        <v>5</v>
      </c>
      <c r="P347" s="248">
        <v>5</v>
      </c>
      <c r="Q347" s="248">
        <v>1</v>
      </c>
      <c r="R347" s="248">
        <v>6</v>
      </c>
      <c r="S347" s="248">
        <v>1</v>
      </c>
      <c r="T347" s="248">
        <v>6</v>
      </c>
      <c r="U347" s="248">
        <v>1</v>
      </c>
      <c r="V347" s="248">
        <v>5</v>
      </c>
      <c r="W347" s="260">
        <f t="shared" si="62"/>
        <v>4.5</v>
      </c>
      <c r="X347" s="272">
        <f t="shared" si="63"/>
        <v>45</v>
      </c>
      <c r="Y347" s="276">
        <f>AVERAGE(M339:V348)</f>
        <v>4.01</v>
      </c>
      <c r="Z347" s="277" t="s">
        <v>2448</v>
      </c>
      <c r="AA347" s="263"/>
      <c r="AB347" s="264"/>
    </row>
    <row r="348" spans="1:29">
      <c r="A348" s="373"/>
      <c r="L348" s="244">
        <v>60</v>
      </c>
      <c r="M348" s="287">
        <v>6</v>
      </c>
      <c r="N348" s="288">
        <v>5</v>
      </c>
      <c r="O348" s="288">
        <v>10</v>
      </c>
      <c r="P348" s="288">
        <v>5</v>
      </c>
      <c r="Q348" s="288">
        <v>1</v>
      </c>
      <c r="R348" s="288">
        <v>1</v>
      </c>
      <c r="S348" s="288">
        <v>1</v>
      </c>
      <c r="T348" s="288">
        <v>5</v>
      </c>
      <c r="U348" s="288">
        <v>5</v>
      </c>
      <c r="V348" s="293">
        <v>10</v>
      </c>
      <c r="W348" s="261">
        <f t="shared" si="62"/>
        <v>4.9</v>
      </c>
      <c r="X348" s="294">
        <f t="shared" si="63"/>
        <v>49</v>
      </c>
      <c r="Y348" s="278">
        <f>SUM(X339:X348)</f>
        <v>401</v>
      </c>
      <c r="Z348" s="277" t="s">
        <v>2516</v>
      </c>
      <c r="AA348" s="263"/>
      <c r="AB348" s="263"/>
      <c r="AC348" s="264"/>
    </row>
    <row r="349" spans="1:32">
      <c r="A349" s="373"/>
      <c r="L349" s="241">
        <v>61</v>
      </c>
      <c r="M349" s="248">
        <v>5</v>
      </c>
      <c r="N349" s="248">
        <v>6</v>
      </c>
      <c r="O349" s="248">
        <v>6</v>
      </c>
      <c r="P349" s="248">
        <v>5</v>
      </c>
      <c r="Q349" s="248">
        <v>5</v>
      </c>
      <c r="R349" s="248">
        <v>5</v>
      </c>
      <c r="S349" s="248">
        <v>2</v>
      </c>
      <c r="T349" s="248">
        <v>5</v>
      </c>
      <c r="U349" s="248">
        <v>6</v>
      </c>
      <c r="V349" s="248">
        <v>5</v>
      </c>
      <c r="W349" s="260">
        <f t="shared" si="62"/>
        <v>5</v>
      </c>
      <c r="X349" s="272">
        <f t="shared" si="63"/>
        <v>50</v>
      </c>
      <c r="Z349" s="268" t="s">
        <v>2424</v>
      </c>
      <c r="AA349" s="268"/>
      <c r="AB349" s="269" t="s">
        <v>2425</v>
      </c>
      <c r="AC349" s="269"/>
      <c r="AD349" s="270" t="s">
        <v>2426</v>
      </c>
      <c r="AE349" s="270"/>
      <c r="AF349" s="23" t="s">
        <v>2427</v>
      </c>
    </row>
    <row r="350" spans="1:26">
      <c r="A350" s="373"/>
      <c r="L350" s="244">
        <v>62</v>
      </c>
      <c r="M350" s="245">
        <v>1</v>
      </c>
      <c r="N350" s="245">
        <v>1</v>
      </c>
      <c r="O350" s="245">
        <v>1</v>
      </c>
      <c r="P350" s="245">
        <v>1</v>
      </c>
      <c r="Q350" s="245">
        <v>6</v>
      </c>
      <c r="R350" s="245">
        <v>5</v>
      </c>
      <c r="S350" s="245">
        <v>5</v>
      </c>
      <c r="T350" s="245">
        <v>2</v>
      </c>
      <c r="U350" s="245">
        <v>5</v>
      </c>
      <c r="V350" s="245">
        <v>5</v>
      </c>
      <c r="W350" s="259">
        <f t="shared" si="62"/>
        <v>3.2</v>
      </c>
      <c r="X350" s="271">
        <f t="shared" si="63"/>
        <v>32</v>
      </c>
      <c r="Z350" s="23" t="s">
        <v>2429</v>
      </c>
    </row>
    <row r="351" spans="1:30">
      <c r="A351" s="373"/>
      <c r="L351" s="246">
        <v>63</v>
      </c>
      <c r="M351" s="248">
        <v>1</v>
      </c>
      <c r="N351" s="248">
        <v>10</v>
      </c>
      <c r="O351" s="248">
        <v>6</v>
      </c>
      <c r="P351" s="248">
        <v>2</v>
      </c>
      <c r="Q351" s="248">
        <v>5</v>
      </c>
      <c r="R351" s="248">
        <v>6</v>
      </c>
      <c r="S351" s="248">
        <v>6</v>
      </c>
      <c r="T351" s="248">
        <v>1</v>
      </c>
      <c r="U351" s="248">
        <v>1</v>
      </c>
      <c r="V351" s="248">
        <v>6</v>
      </c>
      <c r="W351" s="260">
        <f t="shared" si="62"/>
        <v>4.4</v>
      </c>
      <c r="X351" s="272">
        <f t="shared" si="63"/>
        <v>44</v>
      </c>
      <c r="Z351" s="128" t="s">
        <v>2466</v>
      </c>
      <c r="AA351" s="128">
        <f>COUNTIF(M349:V358,1)</f>
        <v>26</v>
      </c>
      <c r="AB351" s="273">
        <f t="shared" ref="AB351:AB355" si="73">(AA351/100)</f>
        <v>0.26</v>
      </c>
      <c r="AD351" s="23" t="s">
        <v>2431</v>
      </c>
    </row>
    <row r="352" spans="1:34">
      <c r="A352" s="373"/>
      <c r="L352" s="244">
        <v>64</v>
      </c>
      <c r="M352" s="245">
        <v>10</v>
      </c>
      <c r="N352" s="245">
        <v>5</v>
      </c>
      <c r="O352" s="245">
        <v>5</v>
      </c>
      <c r="P352" s="245">
        <v>10</v>
      </c>
      <c r="Q352" s="245">
        <v>10</v>
      </c>
      <c r="R352" s="245">
        <v>5</v>
      </c>
      <c r="S352" s="245">
        <v>5</v>
      </c>
      <c r="T352" s="245">
        <v>5</v>
      </c>
      <c r="U352" s="245">
        <v>5</v>
      </c>
      <c r="V352" s="245">
        <v>10</v>
      </c>
      <c r="W352" s="259">
        <f t="shared" si="62"/>
        <v>7</v>
      </c>
      <c r="X352" s="271">
        <f t="shared" si="63"/>
        <v>70</v>
      </c>
      <c r="Z352" s="128" t="s">
        <v>2457</v>
      </c>
      <c r="AA352" s="128">
        <f>COUNTIF(M349:V358,2)</f>
        <v>9</v>
      </c>
      <c r="AB352" s="273">
        <f t="shared" si="73"/>
        <v>0.09</v>
      </c>
      <c r="AD352" s="274" t="s">
        <v>2434</v>
      </c>
      <c r="AE352" s="275"/>
      <c r="AF352" s="280" t="s">
        <v>2435</v>
      </c>
      <c r="AG352" s="275" t="s">
        <v>2436</v>
      </c>
      <c r="AH352" s="281"/>
    </row>
    <row r="353" spans="1:33">
      <c r="A353" s="373"/>
      <c r="L353" s="246">
        <v>65</v>
      </c>
      <c r="M353" s="248">
        <v>2</v>
      </c>
      <c r="N353" s="248">
        <v>5</v>
      </c>
      <c r="O353" s="248">
        <v>6</v>
      </c>
      <c r="P353" s="248">
        <v>1</v>
      </c>
      <c r="Q353" s="248">
        <v>5</v>
      </c>
      <c r="R353" s="248">
        <v>1</v>
      </c>
      <c r="S353" s="248">
        <v>1</v>
      </c>
      <c r="T353" s="248">
        <v>1</v>
      </c>
      <c r="U353" s="248">
        <v>6</v>
      </c>
      <c r="V353" s="248">
        <v>5</v>
      </c>
      <c r="W353" s="260">
        <f t="shared" ref="W353:W388" si="74">AVERAGE(M353:V353)</f>
        <v>3.3</v>
      </c>
      <c r="X353" s="272">
        <f t="shared" ref="X353:X416" si="75">SUM(M353:V353)</f>
        <v>33</v>
      </c>
      <c r="Z353" s="128" t="s">
        <v>2437</v>
      </c>
      <c r="AA353" s="128">
        <f>COUNTIF(M349:V358,5)</f>
        <v>36</v>
      </c>
      <c r="AB353" s="273">
        <f t="shared" si="73"/>
        <v>0.36</v>
      </c>
      <c r="AD353" s="23" t="s">
        <v>2438</v>
      </c>
      <c r="AF353" s="128">
        <v>0</v>
      </c>
      <c r="AG353" s="282">
        <f t="shared" ref="AG353:AG355" si="76">(AF353/100)</f>
        <v>0</v>
      </c>
    </row>
    <row r="354" spans="1:33">
      <c r="A354" s="373"/>
      <c r="L354" s="244">
        <v>66</v>
      </c>
      <c r="M354" s="245">
        <v>10</v>
      </c>
      <c r="N354" s="245">
        <v>6</v>
      </c>
      <c r="O354" s="245">
        <v>5</v>
      </c>
      <c r="P354" s="245">
        <v>6</v>
      </c>
      <c r="Q354" s="245">
        <v>5</v>
      </c>
      <c r="R354" s="245">
        <v>1</v>
      </c>
      <c r="S354" s="245">
        <v>1</v>
      </c>
      <c r="T354" s="245">
        <v>5</v>
      </c>
      <c r="U354" s="245">
        <v>1</v>
      </c>
      <c r="V354" s="245">
        <v>1</v>
      </c>
      <c r="W354" s="259">
        <f t="shared" si="74"/>
        <v>4.1</v>
      </c>
      <c r="X354" s="271">
        <f t="shared" si="75"/>
        <v>41</v>
      </c>
      <c r="Z354" s="128" t="s">
        <v>2472</v>
      </c>
      <c r="AA354" s="128">
        <f>COUNTIF(M349:V358,6)</f>
        <v>19</v>
      </c>
      <c r="AB354" s="273">
        <f t="shared" si="73"/>
        <v>0.19</v>
      </c>
      <c r="AD354" s="23" t="s">
        <v>2440</v>
      </c>
      <c r="AF354" s="128">
        <v>0</v>
      </c>
      <c r="AG354" s="282">
        <f t="shared" si="76"/>
        <v>0</v>
      </c>
    </row>
    <row r="355" spans="1:33">
      <c r="A355" s="373"/>
      <c r="L355" s="246">
        <v>67</v>
      </c>
      <c r="M355" s="248">
        <v>5</v>
      </c>
      <c r="N355" s="248">
        <v>5</v>
      </c>
      <c r="O355" s="248">
        <v>5</v>
      </c>
      <c r="P355" s="248">
        <v>5</v>
      </c>
      <c r="Q355" s="248">
        <v>10</v>
      </c>
      <c r="R355" s="248">
        <v>6</v>
      </c>
      <c r="S355" s="248">
        <v>2</v>
      </c>
      <c r="T355" s="248">
        <v>1</v>
      </c>
      <c r="U355" s="248">
        <v>5</v>
      </c>
      <c r="V355" s="248">
        <v>5</v>
      </c>
      <c r="W355" s="260">
        <f t="shared" si="74"/>
        <v>4.9</v>
      </c>
      <c r="X355" s="272">
        <f t="shared" si="75"/>
        <v>49</v>
      </c>
      <c r="Z355" s="128" t="s">
        <v>2456</v>
      </c>
      <c r="AA355" s="128">
        <f>COUNTIF(M349:V358,10)</f>
        <v>10</v>
      </c>
      <c r="AB355" s="273">
        <f t="shared" si="73"/>
        <v>0.1</v>
      </c>
      <c r="AD355" s="23" t="s">
        <v>2442</v>
      </c>
      <c r="AF355" s="128">
        <v>0</v>
      </c>
      <c r="AG355" s="282">
        <f t="shared" si="76"/>
        <v>0</v>
      </c>
    </row>
    <row r="356" spans="1:28">
      <c r="A356" s="373"/>
      <c r="L356" s="244">
        <v>68</v>
      </c>
      <c r="M356" s="245">
        <v>6</v>
      </c>
      <c r="N356" s="245">
        <v>6</v>
      </c>
      <c r="O356" s="245">
        <v>5</v>
      </c>
      <c r="P356" s="245">
        <v>1</v>
      </c>
      <c r="Q356" s="245">
        <v>1</v>
      </c>
      <c r="R356" s="245">
        <v>2</v>
      </c>
      <c r="S356" s="245">
        <v>1</v>
      </c>
      <c r="T356" s="245">
        <v>2</v>
      </c>
      <c r="U356" s="245">
        <v>6</v>
      </c>
      <c r="V356" s="245">
        <v>5</v>
      </c>
      <c r="W356" s="259">
        <f t="shared" si="74"/>
        <v>3.5</v>
      </c>
      <c r="X356" s="271">
        <f t="shared" si="75"/>
        <v>35</v>
      </c>
      <c r="Z356" s="128"/>
      <c r="AA356" s="128"/>
      <c r="AB356" s="273"/>
    </row>
    <row r="357" spans="1:28">
      <c r="A357" s="373"/>
      <c r="L357" s="246">
        <v>69</v>
      </c>
      <c r="M357" s="248">
        <v>1</v>
      </c>
      <c r="N357" s="248">
        <v>1</v>
      </c>
      <c r="O357" s="248">
        <v>10</v>
      </c>
      <c r="P357" s="248">
        <v>5</v>
      </c>
      <c r="Q357" s="248">
        <v>5</v>
      </c>
      <c r="R357" s="248">
        <v>5</v>
      </c>
      <c r="S357" s="248">
        <v>6</v>
      </c>
      <c r="T357" s="248">
        <v>1</v>
      </c>
      <c r="U357" s="248">
        <v>10</v>
      </c>
      <c r="V357" s="248">
        <v>2</v>
      </c>
      <c r="W357" s="260">
        <f t="shared" si="74"/>
        <v>4.6</v>
      </c>
      <c r="X357" s="272">
        <f t="shared" si="75"/>
        <v>46</v>
      </c>
      <c r="Y357" s="276">
        <f>AVERAGE(M349:V358)</f>
        <v>4.38</v>
      </c>
      <c r="Z357" s="277" t="s">
        <v>2448</v>
      </c>
      <c r="AA357" s="263"/>
      <c r="AB357" s="264"/>
    </row>
    <row r="358" spans="1:29">
      <c r="A358" s="373"/>
      <c r="L358" s="244">
        <v>70</v>
      </c>
      <c r="M358" s="288">
        <v>1</v>
      </c>
      <c r="N358" s="288">
        <v>6</v>
      </c>
      <c r="O358" s="288">
        <v>1</v>
      </c>
      <c r="P358" s="288">
        <v>2</v>
      </c>
      <c r="Q358" s="288">
        <v>6</v>
      </c>
      <c r="R358" s="288">
        <v>5</v>
      </c>
      <c r="S358" s="288">
        <v>10</v>
      </c>
      <c r="T358" s="288">
        <v>1</v>
      </c>
      <c r="U358" s="288">
        <v>1</v>
      </c>
      <c r="V358" s="288">
        <v>5</v>
      </c>
      <c r="W358" s="261">
        <f t="shared" si="74"/>
        <v>3.8</v>
      </c>
      <c r="X358" s="294">
        <f t="shared" si="75"/>
        <v>38</v>
      </c>
      <c r="Y358" s="278">
        <f>SUM(X349:X358)</f>
        <v>438</v>
      </c>
      <c r="Z358" s="277" t="s">
        <v>2460</v>
      </c>
      <c r="AA358" s="263"/>
      <c r="AB358" s="263"/>
      <c r="AC358" s="264"/>
    </row>
    <row r="359" spans="1:32">
      <c r="A359" s="373"/>
      <c r="L359" s="241">
        <v>71</v>
      </c>
      <c r="M359" s="248">
        <v>2</v>
      </c>
      <c r="N359" s="248">
        <v>6</v>
      </c>
      <c r="O359" s="248">
        <v>5</v>
      </c>
      <c r="P359" s="248">
        <v>6</v>
      </c>
      <c r="Q359" s="248">
        <v>2</v>
      </c>
      <c r="R359" s="248">
        <v>5</v>
      </c>
      <c r="S359" s="248">
        <v>5</v>
      </c>
      <c r="T359" s="248">
        <v>5</v>
      </c>
      <c r="U359" s="248">
        <v>5</v>
      </c>
      <c r="V359" s="248">
        <v>1</v>
      </c>
      <c r="W359" s="260">
        <f t="shared" si="74"/>
        <v>4.2</v>
      </c>
      <c r="X359" s="272">
        <f t="shared" si="75"/>
        <v>42</v>
      </c>
      <c r="Z359" s="268" t="s">
        <v>2454</v>
      </c>
      <c r="AA359" s="268"/>
      <c r="AB359" s="269" t="s">
        <v>2425</v>
      </c>
      <c r="AC359" s="269"/>
      <c r="AD359" s="270" t="s">
        <v>2426</v>
      </c>
      <c r="AE359" s="270"/>
      <c r="AF359" s="23" t="s">
        <v>2427</v>
      </c>
    </row>
    <row r="360" spans="1:26">
      <c r="A360" s="373"/>
      <c r="L360" s="244">
        <v>72</v>
      </c>
      <c r="M360" s="245">
        <v>1</v>
      </c>
      <c r="N360" s="245">
        <v>10</v>
      </c>
      <c r="O360" s="245">
        <v>1</v>
      </c>
      <c r="P360" s="245">
        <v>1</v>
      </c>
      <c r="Q360" s="245">
        <v>1</v>
      </c>
      <c r="R360" s="245">
        <v>2</v>
      </c>
      <c r="S360" s="245">
        <v>1</v>
      </c>
      <c r="T360" s="245">
        <v>5</v>
      </c>
      <c r="U360" s="245">
        <v>2</v>
      </c>
      <c r="V360" s="245">
        <v>1</v>
      </c>
      <c r="W360" s="259">
        <f t="shared" si="74"/>
        <v>2.5</v>
      </c>
      <c r="X360" s="271">
        <f t="shared" si="75"/>
        <v>25</v>
      </c>
      <c r="Z360" s="23" t="s">
        <v>2429</v>
      </c>
    </row>
    <row r="361" spans="1:30">
      <c r="A361" s="373"/>
      <c r="L361" s="246">
        <v>73</v>
      </c>
      <c r="M361" s="248">
        <v>1</v>
      </c>
      <c r="N361" s="248">
        <v>5</v>
      </c>
      <c r="O361" s="248">
        <v>1</v>
      </c>
      <c r="P361" s="248">
        <v>5</v>
      </c>
      <c r="Q361" s="248">
        <v>5</v>
      </c>
      <c r="R361" s="248">
        <v>1</v>
      </c>
      <c r="S361" s="248">
        <v>6</v>
      </c>
      <c r="T361" s="248">
        <v>1</v>
      </c>
      <c r="U361" s="248">
        <v>2</v>
      </c>
      <c r="V361" s="248">
        <v>6</v>
      </c>
      <c r="W361" s="260">
        <f t="shared" si="74"/>
        <v>3.3</v>
      </c>
      <c r="X361" s="272">
        <f t="shared" si="75"/>
        <v>33</v>
      </c>
      <c r="Z361" s="128" t="s">
        <v>2466</v>
      </c>
      <c r="AA361" s="128">
        <f>COUNTIF(M359:V368,1)</f>
        <v>35</v>
      </c>
      <c r="AB361" s="273">
        <f t="shared" ref="AB361:AB365" si="77">(AA361/100)</f>
        <v>0.35</v>
      </c>
      <c r="AD361" s="23" t="s">
        <v>2431</v>
      </c>
    </row>
    <row r="362" spans="1:34">
      <c r="A362" s="373"/>
      <c r="L362" s="244">
        <v>74</v>
      </c>
      <c r="M362" s="245">
        <v>2</v>
      </c>
      <c r="N362" s="245">
        <v>5</v>
      </c>
      <c r="O362" s="245">
        <v>6</v>
      </c>
      <c r="P362" s="245">
        <v>1</v>
      </c>
      <c r="Q362" s="245">
        <v>1</v>
      </c>
      <c r="R362" s="245">
        <v>1</v>
      </c>
      <c r="S362" s="245">
        <v>1</v>
      </c>
      <c r="T362" s="245">
        <v>6</v>
      </c>
      <c r="U362" s="245">
        <v>6</v>
      </c>
      <c r="V362" s="245">
        <v>5</v>
      </c>
      <c r="W362" s="259">
        <f t="shared" si="74"/>
        <v>3.4</v>
      </c>
      <c r="X362" s="271">
        <f t="shared" si="75"/>
        <v>34</v>
      </c>
      <c r="Z362" s="128" t="s">
        <v>2457</v>
      </c>
      <c r="AA362" s="128">
        <f>COUNTIF(M359:V368,2)</f>
        <v>12</v>
      </c>
      <c r="AB362" s="273">
        <f t="shared" si="77"/>
        <v>0.12</v>
      </c>
      <c r="AD362" s="274" t="s">
        <v>2434</v>
      </c>
      <c r="AE362" s="275"/>
      <c r="AF362" s="280" t="s">
        <v>2435</v>
      </c>
      <c r="AG362" s="275" t="s">
        <v>2436</v>
      </c>
      <c r="AH362" s="281"/>
    </row>
    <row r="363" spans="1:33">
      <c r="A363" s="373"/>
      <c r="L363" s="246">
        <v>75</v>
      </c>
      <c r="M363" s="248">
        <v>1</v>
      </c>
      <c r="N363" s="248">
        <v>2</v>
      </c>
      <c r="O363" s="248">
        <v>1</v>
      </c>
      <c r="P363" s="248">
        <v>5</v>
      </c>
      <c r="Q363" s="248">
        <v>1</v>
      </c>
      <c r="R363" s="248">
        <v>6</v>
      </c>
      <c r="S363" s="248">
        <v>2</v>
      </c>
      <c r="T363" s="248">
        <v>1</v>
      </c>
      <c r="U363" s="248">
        <v>1</v>
      </c>
      <c r="V363" s="248">
        <v>6</v>
      </c>
      <c r="W363" s="260">
        <f t="shared" si="74"/>
        <v>2.6</v>
      </c>
      <c r="X363" s="272">
        <f t="shared" si="75"/>
        <v>26</v>
      </c>
      <c r="Z363" s="128" t="s">
        <v>2437</v>
      </c>
      <c r="AA363" s="128">
        <f>COUNTIF(M359:V368,5)</f>
        <v>29</v>
      </c>
      <c r="AB363" s="273">
        <f t="shared" si="77"/>
        <v>0.29</v>
      </c>
      <c r="AD363" s="23" t="s">
        <v>2438</v>
      </c>
      <c r="AF363" s="128">
        <v>0</v>
      </c>
      <c r="AG363" s="282">
        <f t="shared" ref="AG363:AG365" si="78">(AF363/100)</f>
        <v>0</v>
      </c>
    </row>
    <row r="364" spans="1:33">
      <c r="A364" s="373"/>
      <c r="L364" s="244">
        <v>76</v>
      </c>
      <c r="M364" s="245">
        <v>10</v>
      </c>
      <c r="N364" s="245">
        <v>6</v>
      </c>
      <c r="O364" s="245">
        <v>10</v>
      </c>
      <c r="P364" s="245">
        <v>2</v>
      </c>
      <c r="Q364" s="245">
        <v>1</v>
      </c>
      <c r="R364" s="245">
        <v>1</v>
      </c>
      <c r="S364" s="245">
        <v>1</v>
      </c>
      <c r="T364" s="245">
        <v>1</v>
      </c>
      <c r="U364" s="245">
        <v>5</v>
      </c>
      <c r="V364" s="245">
        <v>1</v>
      </c>
      <c r="W364" s="259">
        <f t="shared" si="74"/>
        <v>3.8</v>
      </c>
      <c r="X364" s="271">
        <f t="shared" si="75"/>
        <v>38</v>
      </c>
      <c r="Z364" s="128" t="s">
        <v>2472</v>
      </c>
      <c r="AA364" s="128">
        <f>COUNTIF(M359:V368,6)</f>
        <v>17</v>
      </c>
      <c r="AB364" s="273">
        <f t="shared" si="77"/>
        <v>0.17</v>
      </c>
      <c r="AD364" s="23" t="s">
        <v>2440</v>
      </c>
      <c r="AF364" s="128">
        <v>0</v>
      </c>
      <c r="AG364" s="282">
        <f t="shared" si="78"/>
        <v>0</v>
      </c>
    </row>
    <row r="365" spans="1:33">
      <c r="A365" s="373"/>
      <c r="L365" s="246">
        <v>77</v>
      </c>
      <c r="M365" s="248">
        <v>5</v>
      </c>
      <c r="N365" s="248">
        <v>1</v>
      </c>
      <c r="O365" s="248">
        <v>2</v>
      </c>
      <c r="P365" s="248">
        <v>5</v>
      </c>
      <c r="Q365" s="248">
        <v>1</v>
      </c>
      <c r="R365" s="248">
        <v>5</v>
      </c>
      <c r="S365" s="248">
        <v>6</v>
      </c>
      <c r="T365" s="248">
        <v>6</v>
      </c>
      <c r="U365" s="248">
        <v>1</v>
      </c>
      <c r="V365" s="248">
        <v>5</v>
      </c>
      <c r="W365" s="260">
        <f t="shared" si="74"/>
        <v>3.7</v>
      </c>
      <c r="X365" s="272">
        <f t="shared" si="75"/>
        <v>37</v>
      </c>
      <c r="Z365" s="128" t="s">
        <v>2456</v>
      </c>
      <c r="AA365" s="128">
        <f>COUNTIF(M359:V368,10)</f>
        <v>7</v>
      </c>
      <c r="AB365" s="273">
        <f t="shared" si="77"/>
        <v>0.07</v>
      </c>
      <c r="AD365" s="23" t="s">
        <v>2424</v>
      </c>
      <c r="AF365" s="128">
        <v>0</v>
      </c>
      <c r="AG365" s="282">
        <f t="shared" si="78"/>
        <v>0</v>
      </c>
    </row>
    <row r="366" spans="12:28">
      <c r="L366" s="244">
        <v>78</v>
      </c>
      <c r="M366" s="245">
        <v>1</v>
      </c>
      <c r="N366" s="245">
        <v>10</v>
      </c>
      <c r="O366" s="245">
        <v>6</v>
      </c>
      <c r="P366" s="245">
        <v>5</v>
      </c>
      <c r="Q366" s="245">
        <v>5</v>
      </c>
      <c r="R366" s="245">
        <v>5</v>
      </c>
      <c r="S366" s="245">
        <v>5</v>
      </c>
      <c r="T366" s="245">
        <v>5</v>
      </c>
      <c r="U366" s="245">
        <v>10</v>
      </c>
      <c r="V366" s="245">
        <v>6</v>
      </c>
      <c r="W366" s="259">
        <f t="shared" si="74"/>
        <v>5.8</v>
      </c>
      <c r="X366" s="271">
        <f t="shared" si="75"/>
        <v>58</v>
      </c>
      <c r="Z366" s="128"/>
      <c r="AA366" s="128"/>
      <c r="AB366" s="273"/>
    </row>
    <row r="367" spans="12:28">
      <c r="L367" s="246">
        <v>79</v>
      </c>
      <c r="M367" s="248">
        <v>5</v>
      </c>
      <c r="N367" s="248">
        <v>10</v>
      </c>
      <c r="O367" s="248">
        <v>1</v>
      </c>
      <c r="P367" s="248">
        <v>1</v>
      </c>
      <c r="Q367" s="248">
        <v>5</v>
      </c>
      <c r="R367" s="248">
        <v>5</v>
      </c>
      <c r="S367" s="248">
        <v>6</v>
      </c>
      <c r="T367" s="248">
        <v>2</v>
      </c>
      <c r="U367" s="248">
        <v>5</v>
      </c>
      <c r="V367" s="248">
        <v>6</v>
      </c>
      <c r="W367" s="260">
        <f t="shared" si="74"/>
        <v>4.6</v>
      </c>
      <c r="X367" s="272">
        <f t="shared" si="75"/>
        <v>46</v>
      </c>
      <c r="Y367" s="276">
        <f>AVERAGE(M359:V368)</f>
        <v>3.76</v>
      </c>
      <c r="Z367" s="277" t="s">
        <v>2448</v>
      </c>
      <c r="AA367" s="263"/>
      <c r="AB367" s="264"/>
    </row>
    <row r="368" spans="12:29">
      <c r="L368" s="244">
        <v>80</v>
      </c>
      <c r="M368" s="287">
        <v>5</v>
      </c>
      <c r="N368" s="288">
        <v>5</v>
      </c>
      <c r="O368" s="288">
        <v>10</v>
      </c>
      <c r="P368" s="288">
        <v>1</v>
      </c>
      <c r="Q368" s="288">
        <v>5</v>
      </c>
      <c r="R368" s="288">
        <v>1</v>
      </c>
      <c r="S368" s="288">
        <v>2</v>
      </c>
      <c r="T368" s="288">
        <v>1</v>
      </c>
      <c r="U368" s="288">
        <v>1</v>
      </c>
      <c r="V368" s="293">
        <v>6</v>
      </c>
      <c r="W368" s="261">
        <f t="shared" si="74"/>
        <v>3.7</v>
      </c>
      <c r="X368" s="294">
        <f t="shared" si="75"/>
        <v>37</v>
      </c>
      <c r="Y368" s="278">
        <f>SUM(X359:X368)</f>
        <v>376</v>
      </c>
      <c r="Z368" s="277" t="s">
        <v>2516</v>
      </c>
      <c r="AA368" s="263"/>
      <c r="AB368" s="263"/>
      <c r="AC368" s="264"/>
    </row>
    <row r="369" spans="12:32">
      <c r="L369" s="241">
        <v>81</v>
      </c>
      <c r="M369" s="248">
        <v>1</v>
      </c>
      <c r="N369" s="248">
        <v>1</v>
      </c>
      <c r="O369" s="248">
        <v>5</v>
      </c>
      <c r="P369" s="248">
        <v>1</v>
      </c>
      <c r="Q369" s="248">
        <v>10</v>
      </c>
      <c r="R369" s="248">
        <v>10</v>
      </c>
      <c r="S369" s="248">
        <v>5</v>
      </c>
      <c r="T369" s="248">
        <v>1</v>
      </c>
      <c r="U369" s="248">
        <v>5</v>
      </c>
      <c r="V369" s="248">
        <v>1</v>
      </c>
      <c r="W369" s="260">
        <f t="shared" si="74"/>
        <v>4</v>
      </c>
      <c r="X369" s="272">
        <f t="shared" si="75"/>
        <v>40</v>
      </c>
      <c r="Z369" s="268" t="s">
        <v>2424</v>
      </c>
      <c r="AA369" s="268"/>
      <c r="AB369" s="269" t="s">
        <v>2425</v>
      </c>
      <c r="AC369" s="269"/>
      <c r="AD369" s="270" t="s">
        <v>2426</v>
      </c>
      <c r="AE369" s="270"/>
      <c r="AF369" s="23" t="s">
        <v>2427</v>
      </c>
    </row>
    <row r="370" spans="12:26">
      <c r="L370" s="244">
        <v>82</v>
      </c>
      <c r="M370" s="245">
        <v>5</v>
      </c>
      <c r="N370" s="245">
        <v>1</v>
      </c>
      <c r="O370" s="245">
        <v>5</v>
      </c>
      <c r="P370" s="245">
        <v>1</v>
      </c>
      <c r="Q370" s="245">
        <v>6</v>
      </c>
      <c r="R370" s="245">
        <v>1</v>
      </c>
      <c r="S370" s="245">
        <v>1</v>
      </c>
      <c r="T370" s="245">
        <v>5</v>
      </c>
      <c r="U370" s="245">
        <v>5</v>
      </c>
      <c r="V370" s="245">
        <v>5</v>
      </c>
      <c r="W370" s="259">
        <f t="shared" si="74"/>
        <v>3.5</v>
      </c>
      <c r="X370" s="271">
        <f t="shared" si="75"/>
        <v>35</v>
      </c>
      <c r="Z370" s="23" t="s">
        <v>2429</v>
      </c>
    </row>
    <row r="371" spans="12:30">
      <c r="L371" s="246">
        <v>83</v>
      </c>
      <c r="M371" s="248">
        <v>1</v>
      </c>
      <c r="N371" s="248">
        <v>1</v>
      </c>
      <c r="O371" s="248">
        <v>1</v>
      </c>
      <c r="P371" s="248">
        <v>6</v>
      </c>
      <c r="Q371" s="248">
        <v>1</v>
      </c>
      <c r="R371" s="248">
        <v>2</v>
      </c>
      <c r="S371" s="248">
        <v>6</v>
      </c>
      <c r="T371" s="248">
        <v>5</v>
      </c>
      <c r="U371" s="248">
        <v>5</v>
      </c>
      <c r="V371" s="248">
        <v>1</v>
      </c>
      <c r="W371" s="260">
        <f t="shared" si="74"/>
        <v>2.9</v>
      </c>
      <c r="X371" s="272">
        <f t="shared" si="75"/>
        <v>29</v>
      </c>
      <c r="Z371" s="128" t="s">
        <v>2466</v>
      </c>
      <c r="AA371" s="128">
        <f>COUNTIF(M369:V378,1)</f>
        <v>39</v>
      </c>
      <c r="AB371" s="273">
        <f t="shared" ref="AB371:AB375" si="79">(AA371/100)</f>
        <v>0.39</v>
      </c>
      <c r="AD371" s="23" t="s">
        <v>2431</v>
      </c>
    </row>
    <row r="372" spans="12:34">
      <c r="L372" s="244">
        <v>84</v>
      </c>
      <c r="M372" s="245">
        <v>6</v>
      </c>
      <c r="N372" s="245">
        <v>5</v>
      </c>
      <c r="O372" s="245">
        <v>6</v>
      </c>
      <c r="P372" s="245">
        <v>6</v>
      </c>
      <c r="Q372" s="245">
        <v>5</v>
      </c>
      <c r="R372" s="245">
        <v>2</v>
      </c>
      <c r="S372" s="245">
        <v>1</v>
      </c>
      <c r="T372" s="245">
        <v>1</v>
      </c>
      <c r="U372" s="245">
        <v>10</v>
      </c>
      <c r="V372" s="245">
        <v>1</v>
      </c>
      <c r="W372" s="259">
        <f t="shared" si="74"/>
        <v>4.3</v>
      </c>
      <c r="X372" s="271">
        <f t="shared" si="75"/>
        <v>43</v>
      </c>
      <c r="Z372" s="128" t="s">
        <v>2457</v>
      </c>
      <c r="AA372" s="128">
        <f>COUNTIF(M369:V378,2)</f>
        <v>10</v>
      </c>
      <c r="AB372" s="273">
        <f t="shared" si="79"/>
        <v>0.1</v>
      </c>
      <c r="AD372" s="274" t="s">
        <v>2434</v>
      </c>
      <c r="AE372" s="275"/>
      <c r="AF372" s="280" t="s">
        <v>2435</v>
      </c>
      <c r="AG372" s="275" t="s">
        <v>2436</v>
      </c>
      <c r="AH372" s="281"/>
    </row>
    <row r="373" spans="12:33">
      <c r="L373" s="246">
        <v>85</v>
      </c>
      <c r="M373" s="248">
        <v>5</v>
      </c>
      <c r="N373" s="248">
        <v>5</v>
      </c>
      <c r="O373" s="248">
        <v>1</v>
      </c>
      <c r="P373" s="248">
        <v>5</v>
      </c>
      <c r="Q373" s="248">
        <v>1</v>
      </c>
      <c r="R373" s="248">
        <v>5</v>
      </c>
      <c r="S373" s="248">
        <v>5</v>
      </c>
      <c r="T373" s="248">
        <v>6</v>
      </c>
      <c r="U373" s="248">
        <v>6</v>
      </c>
      <c r="V373" s="248">
        <v>5</v>
      </c>
      <c r="W373" s="260">
        <f t="shared" si="74"/>
        <v>4.4</v>
      </c>
      <c r="X373" s="272">
        <f t="shared" si="75"/>
        <v>44</v>
      </c>
      <c r="Z373" s="128" t="s">
        <v>2437</v>
      </c>
      <c r="AA373" s="128">
        <f>COUNTIF(M369:V378,5)</f>
        <v>30</v>
      </c>
      <c r="AB373" s="273">
        <f t="shared" si="79"/>
        <v>0.3</v>
      </c>
      <c r="AD373" s="23" t="s">
        <v>2447</v>
      </c>
      <c r="AF373" s="128">
        <v>0</v>
      </c>
      <c r="AG373" s="282">
        <f t="shared" ref="AG373:AG375" si="80">(AF373/100)</f>
        <v>0</v>
      </c>
    </row>
    <row r="374" spans="12:33">
      <c r="L374" s="244">
        <v>86</v>
      </c>
      <c r="M374" s="245">
        <v>1</v>
      </c>
      <c r="N374" s="245">
        <v>1</v>
      </c>
      <c r="O374" s="245">
        <v>1</v>
      </c>
      <c r="P374" s="245">
        <v>1</v>
      </c>
      <c r="Q374" s="245">
        <v>1</v>
      </c>
      <c r="R374" s="245">
        <v>1</v>
      </c>
      <c r="S374" s="245">
        <v>1</v>
      </c>
      <c r="T374" s="245">
        <v>1</v>
      </c>
      <c r="U374" s="245">
        <v>6</v>
      </c>
      <c r="V374" s="245">
        <v>2</v>
      </c>
      <c r="W374" s="259">
        <f t="shared" si="74"/>
        <v>1.6</v>
      </c>
      <c r="X374" s="271">
        <f t="shared" si="75"/>
        <v>16</v>
      </c>
      <c r="Z374" s="128" t="s">
        <v>2472</v>
      </c>
      <c r="AA374" s="128">
        <f>COUNTIF(M369:V378,6)</f>
        <v>12</v>
      </c>
      <c r="AB374" s="273">
        <f t="shared" si="79"/>
        <v>0.12</v>
      </c>
      <c r="AD374" s="23" t="s">
        <v>2440</v>
      </c>
      <c r="AF374" s="128">
        <v>0</v>
      </c>
      <c r="AG374" s="282">
        <f t="shared" si="80"/>
        <v>0</v>
      </c>
    </row>
    <row r="375" spans="12:33">
      <c r="L375" s="246">
        <v>87</v>
      </c>
      <c r="M375" s="248">
        <v>5</v>
      </c>
      <c r="N375" s="248">
        <v>5</v>
      </c>
      <c r="O375" s="248">
        <v>1</v>
      </c>
      <c r="P375" s="248">
        <v>1</v>
      </c>
      <c r="Q375" s="248">
        <v>5</v>
      </c>
      <c r="R375" s="248">
        <v>2</v>
      </c>
      <c r="S375" s="248">
        <v>5</v>
      </c>
      <c r="T375" s="248">
        <v>5</v>
      </c>
      <c r="U375" s="248">
        <v>10</v>
      </c>
      <c r="V375" s="248">
        <v>2</v>
      </c>
      <c r="W375" s="260">
        <f t="shared" si="74"/>
        <v>4.1</v>
      </c>
      <c r="X375" s="272">
        <f t="shared" si="75"/>
        <v>41</v>
      </c>
      <c r="Z375" s="128" t="s">
        <v>2456</v>
      </c>
      <c r="AA375" s="128">
        <f>COUNTIF(M369:V378,10)</f>
        <v>9</v>
      </c>
      <c r="AB375" s="273">
        <f t="shared" si="79"/>
        <v>0.09</v>
      </c>
      <c r="AD375" s="23" t="s">
        <v>2442</v>
      </c>
      <c r="AF375" s="128">
        <v>0</v>
      </c>
      <c r="AG375" s="282">
        <f t="shared" si="80"/>
        <v>0</v>
      </c>
    </row>
    <row r="376" spans="1:28">
      <c r="A376" s="23" t="s">
        <v>2517</v>
      </c>
      <c r="F376" s="23" t="s">
        <v>2518</v>
      </c>
      <c r="L376" s="244">
        <v>88</v>
      </c>
      <c r="M376" s="245">
        <v>2</v>
      </c>
      <c r="N376" s="245">
        <v>5</v>
      </c>
      <c r="O376" s="245">
        <v>1</v>
      </c>
      <c r="P376" s="245">
        <v>1</v>
      </c>
      <c r="Q376" s="245">
        <v>2</v>
      </c>
      <c r="R376" s="245">
        <v>10</v>
      </c>
      <c r="S376" s="245">
        <v>10</v>
      </c>
      <c r="T376" s="245">
        <v>2</v>
      </c>
      <c r="U376" s="245">
        <v>1</v>
      </c>
      <c r="V376" s="245">
        <v>1</v>
      </c>
      <c r="W376" s="259">
        <f t="shared" si="74"/>
        <v>3.5</v>
      </c>
      <c r="X376" s="271">
        <f t="shared" si="75"/>
        <v>35</v>
      </c>
      <c r="Z376" s="128"/>
      <c r="AA376" s="128"/>
      <c r="AB376" s="273"/>
    </row>
    <row r="377" spans="1:28">
      <c r="A377" s="128" t="s">
        <v>2466</v>
      </c>
      <c r="B377" s="128">
        <f>COUNTIF(M289:V388,1)</f>
        <v>315</v>
      </c>
      <c r="C377" s="273">
        <f t="shared" ref="C377:C381" si="81">(B377/1000)</f>
        <v>0.315</v>
      </c>
      <c r="F377" s="274" t="s">
        <v>2434</v>
      </c>
      <c r="G377" s="275"/>
      <c r="H377" s="280" t="s">
        <v>2435</v>
      </c>
      <c r="I377" s="275" t="s">
        <v>2436</v>
      </c>
      <c r="J377" s="281"/>
      <c r="L377" s="246">
        <v>89</v>
      </c>
      <c r="M377" s="248">
        <v>1</v>
      </c>
      <c r="N377" s="248">
        <v>5</v>
      </c>
      <c r="O377" s="248">
        <v>6</v>
      </c>
      <c r="P377" s="248">
        <v>1</v>
      </c>
      <c r="Q377" s="248">
        <v>1</v>
      </c>
      <c r="R377" s="248">
        <v>10</v>
      </c>
      <c r="S377" s="248">
        <v>5</v>
      </c>
      <c r="T377" s="248">
        <v>2</v>
      </c>
      <c r="U377" s="248">
        <v>1</v>
      </c>
      <c r="V377" s="248">
        <v>10</v>
      </c>
      <c r="W377" s="260">
        <f t="shared" si="74"/>
        <v>4.2</v>
      </c>
      <c r="X377" s="272">
        <f t="shared" si="75"/>
        <v>42</v>
      </c>
      <c r="Y377" s="276">
        <f>AVERAGE(M369:V378)</f>
        <v>3.71</v>
      </c>
      <c r="Z377" s="277" t="s">
        <v>2448</v>
      </c>
      <c r="AA377" s="263"/>
      <c r="AB377" s="264"/>
    </row>
    <row r="378" spans="1:29">
      <c r="A378" s="128" t="s">
        <v>2457</v>
      </c>
      <c r="B378" s="128">
        <f>COUNTIF(M289:V388,2)</f>
        <v>80</v>
      </c>
      <c r="C378" s="273">
        <f t="shared" si="81"/>
        <v>0.08</v>
      </c>
      <c r="F378" s="23" t="s">
        <v>2438</v>
      </c>
      <c r="H378" s="128">
        <v>0</v>
      </c>
      <c r="I378" s="282">
        <f t="shared" ref="I378:I380" si="82">(H378/700)</f>
        <v>0</v>
      </c>
      <c r="L378" s="244">
        <v>90</v>
      </c>
      <c r="M378" s="288">
        <v>6</v>
      </c>
      <c r="N378" s="288">
        <v>10</v>
      </c>
      <c r="O378" s="288">
        <v>6</v>
      </c>
      <c r="P378" s="288">
        <v>5</v>
      </c>
      <c r="Q378" s="288">
        <v>5</v>
      </c>
      <c r="R378" s="288">
        <v>1</v>
      </c>
      <c r="S378" s="288">
        <v>2</v>
      </c>
      <c r="T378" s="288">
        <v>1</v>
      </c>
      <c r="U378" s="288">
        <v>5</v>
      </c>
      <c r="V378" s="288">
        <v>5</v>
      </c>
      <c r="W378" s="261">
        <f t="shared" si="74"/>
        <v>4.6</v>
      </c>
      <c r="X378" s="294">
        <f t="shared" si="75"/>
        <v>46</v>
      </c>
      <c r="Y378" s="278">
        <f>SUM(X369:X378)</f>
        <v>371</v>
      </c>
      <c r="Z378" s="277" t="s">
        <v>2460</v>
      </c>
      <c r="AA378" s="263"/>
      <c r="AB378" s="263"/>
      <c r="AC378" s="264"/>
    </row>
    <row r="379" spans="1:32">
      <c r="A379" s="128" t="s">
        <v>2437</v>
      </c>
      <c r="B379" s="128">
        <f>COUNTIF(M289:V388,5)</f>
        <v>337</v>
      </c>
      <c r="C379" s="273">
        <f t="shared" si="81"/>
        <v>0.337</v>
      </c>
      <c r="F379" s="23" t="s">
        <v>2440</v>
      </c>
      <c r="H379" s="128">
        <v>0</v>
      </c>
      <c r="I379" s="282">
        <f t="shared" si="82"/>
        <v>0</v>
      </c>
      <c r="L379" s="241">
        <v>91</v>
      </c>
      <c r="M379" s="248">
        <v>10</v>
      </c>
      <c r="N379" s="248">
        <v>5</v>
      </c>
      <c r="O379" s="248">
        <v>5</v>
      </c>
      <c r="P379" s="248">
        <v>6</v>
      </c>
      <c r="Q379" s="248">
        <v>6</v>
      </c>
      <c r="R379" s="248">
        <v>10</v>
      </c>
      <c r="S379" s="248">
        <v>2</v>
      </c>
      <c r="T379" s="248">
        <v>1</v>
      </c>
      <c r="U379" s="248">
        <v>10</v>
      </c>
      <c r="V379" s="248">
        <v>5</v>
      </c>
      <c r="W379" s="260">
        <f t="shared" si="74"/>
        <v>6</v>
      </c>
      <c r="X379" s="272">
        <f t="shared" si="75"/>
        <v>60</v>
      </c>
      <c r="Z379" s="268" t="s">
        <v>2454</v>
      </c>
      <c r="AA379" s="268"/>
      <c r="AB379" s="269" t="s">
        <v>2425</v>
      </c>
      <c r="AC379" s="269"/>
      <c r="AD379" s="270" t="s">
        <v>2506</v>
      </c>
      <c r="AE379" s="270"/>
      <c r="AF379" s="23" t="s">
        <v>2427</v>
      </c>
    </row>
    <row r="380" spans="1:26">
      <c r="A380" s="128" t="s">
        <v>2472</v>
      </c>
      <c r="B380" s="128">
        <f>COUNTIF(M289:V388,6)</f>
        <v>179</v>
      </c>
      <c r="C380" s="273">
        <f t="shared" si="81"/>
        <v>0.179</v>
      </c>
      <c r="F380" s="23" t="s">
        <v>2454</v>
      </c>
      <c r="H380" s="128">
        <v>0</v>
      </c>
      <c r="I380" s="282">
        <f t="shared" si="82"/>
        <v>0</v>
      </c>
      <c r="L380" s="244">
        <v>92</v>
      </c>
      <c r="M380" s="245">
        <v>6</v>
      </c>
      <c r="N380" s="245">
        <v>5</v>
      </c>
      <c r="O380" s="245">
        <v>5</v>
      </c>
      <c r="P380" s="245">
        <v>6</v>
      </c>
      <c r="Q380" s="245">
        <v>2</v>
      </c>
      <c r="R380" s="245">
        <v>5</v>
      </c>
      <c r="S380" s="245">
        <v>1</v>
      </c>
      <c r="T380" s="245">
        <v>5</v>
      </c>
      <c r="U380" s="245">
        <v>5</v>
      </c>
      <c r="V380" s="245">
        <v>1</v>
      </c>
      <c r="W380" s="259">
        <f t="shared" si="74"/>
        <v>4.1</v>
      </c>
      <c r="X380" s="271">
        <f t="shared" si="75"/>
        <v>41</v>
      </c>
      <c r="Z380" s="23" t="s">
        <v>2429</v>
      </c>
    </row>
    <row r="381" spans="1:30">
      <c r="A381" s="128" t="s">
        <v>2456</v>
      </c>
      <c r="B381" s="128">
        <f>COUNTIF(M289:V388,10)</f>
        <v>89</v>
      </c>
      <c r="C381" s="273">
        <f t="shared" si="81"/>
        <v>0.089</v>
      </c>
      <c r="L381" s="246">
        <v>93</v>
      </c>
      <c r="M381" s="248">
        <v>1</v>
      </c>
      <c r="N381" s="248">
        <v>1</v>
      </c>
      <c r="O381" s="248">
        <v>5</v>
      </c>
      <c r="P381" s="248">
        <v>5</v>
      </c>
      <c r="Q381" s="248">
        <v>5</v>
      </c>
      <c r="R381" s="248">
        <v>1</v>
      </c>
      <c r="S381" s="248">
        <v>6</v>
      </c>
      <c r="T381" s="248">
        <v>1</v>
      </c>
      <c r="U381" s="248">
        <v>1</v>
      </c>
      <c r="V381" s="248">
        <v>1</v>
      </c>
      <c r="W381" s="260">
        <f t="shared" si="74"/>
        <v>2.7</v>
      </c>
      <c r="X381" s="272">
        <f t="shared" si="75"/>
        <v>27</v>
      </c>
      <c r="Z381" s="128" t="s">
        <v>2466</v>
      </c>
      <c r="AA381" s="128">
        <f>COUNTIF(M379:V388,1)</f>
        <v>29</v>
      </c>
      <c r="AB381" s="273">
        <f t="shared" ref="AB381:AB386" si="83">(AA381/100)</f>
        <v>0.29</v>
      </c>
      <c r="AD381" s="23" t="s">
        <v>2431</v>
      </c>
    </row>
    <row r="382" spans="12:34">
      <c r="L382" s="244">
        <v>94</v>
      </c>
      <c r="M382" s="245">
        <v>1</v>
      </c>
      <c r="N382" s="245">
        <v>6</v>
      </c>
      <c r="O382" s="245">
        <v>1</v>
      </c>
      <c r="P382" s="245">
        <v>5</v>
      </c>
      <c r="Q382" s="245">
        <v>1</v>
      </c>
      <c r="R382" s="245">
        <v>2</v>
      </c>
      <c r="S382" s="245">
        <v>1</v>
      </c>
      <c r="T382" s="245">
        <v>5</v>
      </c>
      <c r="U382" s="245">
        <v>1</v>
      </c>
      <c r="V382" s="245">
        <v>5</v>
      </c>
      <c r="W382" s="259">
        <f t="shared" si="74"/>
        <v>2.8</v>
      </c>
      <c r="X382" s="271">
        <f t="shared" si="75"/>
        <v>28</v>
      </c>
      <c r="Z382" s="128" t="s">
        <v>2457</v>
      </c>
      <c r="AA382" s="128">
        <f>COUNTIF(M379:V388,2)</f>
        <v>12</v>
      </c>
      <c r="AB382" s="273">
        <f t="shared" si="83"/>
        <v>0.12</v>
      </c>
      <c r="AD382" s="274" t="s">
        <v>2434</v>
      </c>
      <c r="AE382" s="275"/>
      <c r="AF382" s="280" t="s">
        <v>2435</v>
      </c>
      <c r="AG382" s="275" t="s">
        <v>2436</v>
      </c>
      <c r="AH382" s="281"/>
    </row>
    <row r="383" spans="12:33">
      <c r="L383" s="246">
        <v>95</v>
      </c>
      <c r="M383" s="248">
        <v>5</v>
      </c>
      <c r="N383" s="248">
        <v>1</v>
      </c>
      <c r="O383" s="248">
        <v>2</v>
      </c>
      <c r="P383" s="248">
        <v>6</v>
      </c>
      <c r="Q383" s="248">
        <v>10</v>
      </c>
      <c r="R383" s="248">
        <v>6</v>
      </c>
      <c r="S383" s="248">
        <v>5</v>
      </c>
      <c r="T383" s="248">
        <v>5</v>
      </c>
      <c r="U383" s="248">
        <v>1</v>
      </c>
      <c r="V383" s="248">
        <v>10</v>
      </c>
      <c r="W383" s="260">
        <f t="shared" si="74"/>
        <v>5.1</v>
      </c>
      <c r="X383" s="272">
        <f t="shared" si="75"/>
        <v>51</v>
      </c>
      <c r="Z383" s="128" t="s">
        <v>2437</v>
      </c>
      <c r="AA383" s="128">
        <f>COUNTIF(M379:V388,5)</f>
        <v>33</v>
      </c>
      <c r="AB383" s="273">
        <f t="shared" si="83"/>
        <v>0.33</v>
      </c>
      <c r="AD383" s="23" t="s">
        <v>2438</v>
      </c>
      <c r="AF383" s="128">
        <v>0</v>
      </c>
      <c r="AG383" s="282">
        <f t="shared" ref="AG383:AG385" si="84">(AF383/100)</f>
        <v>0</v>
      </c>
    </row>
    <row r="384" spans="12:33">
      <c r="L384" s="244">
        <v>96</v>
      </c>
      <c r="M384" s="245">
        <v>1</v>
      </c>
      <c r="N384" s="245">
        <v>10</v>
      </c>
      <c r="O384" s="245">
        <v>6</v>
      </c>
      <c r="P384" s="245">
        <v>6</v>
      </c>
      <c r="Q384" s="245">
        <v>5</v>
      </c>
      <c r="R384" s="245">
        <v>5</v>
      </c>
      <c r="S384" s="245">
        <v>5</v>
      </c>
      <c r="T384" s="245">
        <v>6</v>
      </c>
      <c r="U384" s="245">
        <v>5</v>
      </c>
      <c r="V384" s="245">
        <v>6</v>
      </c>
      <c r="W384" s="259">
        <f t="shared" si="74"/>
        <v>5.5</v>
      </c>
      <c r="X384" s="271">
        <f t="shared" si="75"/>
        <v>55</v>
      </c>
      <c r="Z384" s="128" t="s">
        <v>2472</v>
      </c>
      <c r="AA384" s="128">
        <f>COUNTIF(M379:V388,6)</f>
        <v>18</v>
      </c>
      <c r="AB384" s="273">
        <f t="shared" si="83"/>
        <v>0.18</v>
      </c>
      <c r="AD384" s="23" t="s">
        <v>2440</v>
      </c>
      <c r="AF384" s="128">
        <v>0</v>
      </c>
      <c r="AG384" s="282">
        <f t="shared" si="84"/>
        <v>0</v>
      </c>
    </row>
    <row r="385" spans="12:33">
      <c r="L385" s="246">
        <v>97</v>
      </c>
      <c r="M385" s="248">
        <v>6</v>
      </c>
      <c r="N385" s="248">
        <v>6</v>
      </c>
      <c r="O385" s="248">
        <v>5</v>
      </c>
      <c r="P385" s="248">
        <v>5</v>
      </c>
      <c r="Q385" s="248">
        <v>1</v>
      </c>
      <c r="R385" s="248">
        <v>10</v>
      </c>
      <c r="S385" s="248">
        <v>1</v>
      </c>
      <c r="T385" s="248">
        <v>1</v>
      </c>
      <c r="U385" s="248">
        <v>1</v>
      </c>
      <c r="V385" s="248">
        <v>1</v>
      </c>
      <c r="W385" s="260">
        <f t="shared" si="74"/>
        <v>3.7</v>
      </c>
      <c r="X385" s="272">
        <f t="shared" si="75"/>
        <v>37</v>
      </c>
      <c r="Z385" s="128" t="s">
        <v>2456</v>
      </c>
      <c r="AA385" s="128">
        <f>COUNTIF(M379:V388,10)</f>
        <v>8</v>
      </c>
      <c r="AB385" s="273">
        <f t="shared" si="83"/>
        <v>0.08</v>
      </c>
      <c r="AD385" s="23" t="s">
        <v>2424</v>
      </c>
      <c r="AF385" s="128">
        <v>0</v>
      </c>
      <c r="AG385" s="282">
        <f t="shared" si="84"/>
        <v>0</v>
      </c>
    </row>
    <row r="386" spans="12:28">
      <c r="L386" s="244">
        <v>98</v>
      </c>
      <c r="M386" s="245">
        <v>2</v>
      </c>
      <c r="N386" s="245">
        <v>6</v>
      </c>
      <c r="O386" s="245">
        <v>2</v>
      </c>
      <c r="P386" s="245">
        <v>2</v>
      </c>
      <c r="Q386" s="245">
        <v>5</v>
      </c>
      <c r="R386" s="245">
        <v>1</v>
      </c>
      <c r="S386" s="245">
        <v>1</v>
      </c>
      <c r="T386" s="245">
        <v>5</v>
      </c>
      <c r="U386" s="245">
        <v>5</v>
      </c>
      <c r="V386" s="245">
        <v>2</v>
      </c>
      <c r="W386" s="259">
        <f t="shared" si="74"/>
        <v>3.1</v>
      </c>
      <c r="X386" s="271">
        <f t="shared" si="75"/>
        <v>31</v>
      </c>
      <c r="Z386" s="128" t="s">
        <v>2458</v>
      </c>
      <c r="AA386" s="128">
        <f>COUNTBLANK(M379:V388)</f>
        <v>0</v>
      </c>
      <c r="AB386" s="273">
        <f t="shared" si="83"/>
        <v>0</v>
      </c>
    </row>
    <row r="387" spans="8:37">
      <c r="H387" s="23" t="s">
        <v>2519</v>
      </c>
      <c r="I387" s="23" t="s">
        <v>2520</v>
      </c>
      <c r="L387" s="246">
        <v>99</v>
      </c>
      <c r="M387" s="248">
        <v>2</v>
      </c>
      <c r="N387" s="248">
        <v>1</v>
      </c>
      <c r="O387" s="248">
        <v>5</v>
      </c>
      <c r="P387" s="248">
        <v>1</v>
      </c>
      <c r="Q387" s="248">
        <v>5</v>
      </c>
      <c r="R387" s="248">
        <v>5</v>
      </c>
      <c r="S387" s="248">
        <v>10</v>
      </c>
      <c r="T387" s="248">
        <v>5</v>
      </c>
      <c r="U387" s="248">
        <v>6</v>
      </c>
      <c r="V387" s="248">
        <v>2</v>
      </c>
      <c r="W387" s="260">
        <f t="shared" si="74"/>
        <v>4.2</v>
      </c>
      <c r="X387" s="272">
        <f t="shared" si="75"/>
        <v>42</v>
      </c>
      <c r="Y387" s="276">
        <f>AVERAGE(M379:V388)</f>
        <v>4.06</v>
      </c>
      <c r="Z387" s="277" t="s">
        <v>2521</v>
      </c>
      <c r="AA387" s="263"/>
      <c r="AB387" s="264"/>
      <c r="AG387" s="265">
        <f>AVERAGE(M289:V388)</f>
        <v>4.124</v>
      </c>
      <c r="AH387" s="385" t="s">
        <v>2522</v>
      </c>
      <c r="AI387" s="263"/>
      <c r="AJ387" s="263"/>
      <c r="AK387" s="386"/>
    </row>
    <row r="388" ht="15" customHeight="1" spans="7:37">
      <c r="G388" s="23">
        <f>H388+I388</f>
        <v>1000</v>
      </c>
      <c r="H388" s="23">
        <f>COUNT(M289:V388)</f>
        <v>1000</v>
      </c>
      <c r="I388" s="23">
        <f>COUNTBLANK(M289:V388)</f>
        <v>0</v>
      </c>
      <c r="L388" s="283">
        <v>100</v>
      </c>
      <c r="M388" s="284">
        <v>2</v>
      </c>
      <c r="N388" s="286">
        <v>1</v>
      </c>
      <c r="O388" s="286">
        <v>5</v>
      </c>
      <c r="P388" s="286">
        <v>1</v>
      </c>
      <c r="Q388" s="286">
        <v>6</v>
      </c>
      <c r="R388" s="286">
        <v>5</v>
      </c>
      <c r="S388" s="286">
        <v>6</v>
      </c>
      <c r="T388" s="286">
        <v>2</v>
      </c>
      <c r="U388" s="286">
        <v>5</v>
      </c>
      <c r="V388" s="290">
        <v>1</v>
      </c>
      <c r="W388" s="291">
        <f t="shared" si="74"/>
        <v>3.4</v>
      </c>
      <c r="X388" s="295">
        <f t="shared" si="75"/>
        <v>34</v>
      </c>
      <c r="Y388" s="380">
        <f>SUM(X379:X388)</f>
        <v>406</v>
      </c>
      <c r="Z388" s="381" t="s">
        <v>2516</v>
      </c>
      <c r="AA388" s="382"/>
      <c r="AB388" s="382"/>
      <c r="AC388" s="383"/>
      <c r="AD388" s="384"/>
      <c r="AE388" s="384"/>
      <c r="AF388" s="384"/>
      <c r="AG388" s="387">
        <f>SUM(X289:X388)</f>
        <v>4124</v>
      </c>
      <c r="AH388" s="388" t="s">
        <v>2508</v>
      </c>
      <c r="AI388" s="382"/>
      <c r="AJ388" s="382"/>
      <c r="AK388" s="389"/>
    </row>
    <row r="389" spans="12:32">
      <c r="L389" s="241">
        <v>101</v>
      </c>
      <c r="M389" s="248"/>
      <c r="N389" s="248"/>
      <c r="O389" s="248"/>
      <c r="P389" s="248"/>
      <c r="Q389" s="248"/>
      <c r="R389" s="248"/>
      <c r="S389" s="248"/>
      <c r="T389" s="248"/>
      <c r="U389" s="248"/>
      <c r="V389" s="248"/>
      <c r="W389" s="260" t="e">
        <v>#DIV/0!</v>
      </c>
      <c r="X389" s="272">
        <f t="shared" si="75"/>
        <v>0</v>
      </c>
      <c r="Z389" s="268" t="s">
        <v>2454</v>
      </c>
      <c r="AA389" s="268"/>
      <c r="AB389" s="269" t="s">
        <v>2425</v>
      </c>
      <c r="AC389" s="269"/>
      <c r="AD389" s="270" t="s">
        <v>2426</v>
      </c>
      <c r="AE389" s="270"/>
      <c r="AF389" s="23" t="s">
        <v>2427</v>
      </c>
    </row>
    <row r="390" spans="12:26">
      <c r="L390" s="244">
        <v>102</v>
      </c>
      <c r="M390" s="245"/>
      <c r="N390" s="245"/>
      <c r="O390" s="245"/>
      <c r="P390" s="245"/>
      <c r="Q390" s="245"/>
      <c r="R390" s="245"/>
      <c r="S390" s="245"/>
      <c r="T390" s="245"/>
      <c r="U390" s="245"/>
      <c r="V390" s="245"/>
      <c r="W390" s="259" t="e">
        <v>#DIV/0!</v>
      </c>
      <c r="X390" s="271">
        <f t="shared" si="75"/>
        <v>0</v>
      </c>
      <c r="Z390" s="23" t="s">
        <v>2429</v>
      </c>
    </row>
    <row r="391" spans="12:30">
      <c r="L391" s="246">
        <v>103</v>
      </c>
      <c r="M391" s="248"/>
      <c r="N391" s="248"/>
      <c r="O391" s="248"/>
      <c r="P391" s="248"/>
      <c r="Q391" s="248"/>
      <c r="R391" s="248"/>
      <c r="S391" s="248"/>
      <c r="T391" s="248"/>
      <c r="U391" s="248"/>
      <c r="V391" s="248"/>
      <c r="W391" s="260" t="e">
        <v>#DIV/0!</v>
      </c>
      <c r="X391" s="272">
        <f t="shared" si="75"/>
        <v>0</v>
      </c>
      <c r="Z391" s="128" t="s">
        <v>2466</v>
      </c>
      <c r="AA391" s="128">
        <f>COUNTIF(M389:V398,1)</f>
        <v>0</v>
      </c>
      <c r="AB391" s="273">
        <f t="shared" ref="AB391:AB396" si="85">(AA391/100)</f>
        <v>0</v>
      </c>
      <c r="AD391" s="23" t="s">
        <v>2431</v>
      </c>
    </row>
    <row r="392" spans="12:34">
      <c r="L392" s="244">
        <v>104</v>
      </c>
      <c r="M392" s="245"/>
      <c r="N392" s="245"/>
      <c r="O392" s="245"/>
      <c r="P392" s="245"/>
      <c r="Q392" s="245"/>
      <c r="R392" s="245"/>
      <c r="S392" s="245"/>
      <c r="T392" s="245"/>
      <c r="U392" s="245"/>
      <c r="V392" s="245"/>
      <c r="W392" s="259" t="e">
        <v>#DIV/0!</v>
      </c>
      <c r="X392" s="271">
        <f t="shared" si="75"/>
        <v>0</v>
      </c>
      <c r="Z392" s="128" t="s">
        <v>2457</v>
      </c>
      <c r="AA392" s="128">
        <f>COUNTIF(M389:V398,2)</f>
        <v>0</v>
      </c>
      <c r="AB392" s="273">
        <f t="shared" si="85"/>
        <v>0</v>
      </c>
      <c r="AD392" s="274" t="s">
        <v>2434</v>
      </c>
      <c r="AE392" s="275"/>
      <c r="AF392" s="280" t="s">
        <v>2435</v>
      </c>
      <c r="AG392" s="275" t="s">
        <v>2436</v>
      </c>
      <c r="AH392" s="281"/>
    </row>
    <row r="393" spans="12:33">
      <c r="L393" s="246">
        <v>105</v>
      </c>
      <c r="M393" s="248"/>
      <c r="N393" s="248"/>
      <c r="O393" s="248"/>
      <c r="P393" s="248"/>
      <c r="Q393" s="248"/>
      <c r="R393" s="248"/>
      <c r="S393" s="248"/>
      <c r="T393" s="248"/>
      <c r="U393" s="248"/>
      <c r="V393" s="248"/>
      <c r="W393" s="260" t="e">
        <v>#DIV/0!</v>
      </c>
      <c r="X393" s="272">
        <f t="shared" si="75"/>
        <v>0</v>
      </c>
      <c r="Z393" s="128" t="s">
        <v>2437</v>
      </c>
      <c r="AA393" s="128">
        <f>COUNTIF(M389:V398,5)</f>
        <v>0</v>
      </c>
      <c r="AB393" s="273">
        <f t="shared" si="85"/>
        <v>0</v>
      </c>
      <c r="AD393" s="23" t="s">
        <v>2438</v>
      </c>
      <c r="AF393" s="128">
        <v>0</v>
      </c>
      <c r="AG393" s="282">
        <f t="shared" ref="AG393:AG395" si="86">(AF393/100)</f>
        <v>0</v>
      </c>
    </row>
    <row r="394" spans="12:33">
      <c r="L394" s="244">
        <v>106</v>
      </c>
      <c r="M394" s="245"/>
      <c r="N394" s="245"/>
      <c r="O394" s="245"/>
      <c r="P394" s="245"/>
      <c r="Q394" s="245"/>
      <c r="R394" s="245"/>
      <c r="S394" s="245"/>
      <c r="T394" s="245"/>
      <c r="U394" s="245"/>
      <c r="V394" s="245"/>
      <c r="W394" s="259" t="e">
        <v>#DIV/0!</v>
      </c>
      <c r="X394" s="271">
        <f t="shared" si="75"/>
        <v>0</v>
      </c>
      <c r="Z394" s="128" t="s">
        <v>2472</v>
      </c>
      <c r="AA394" s="128">
        <f>COUNTIF(M389:V398,6)</f>
        <v>0</v>
      </c>
      <c r="AB394" s="273">
        <f t="shared" si="85"/>
        <v>0</v>
      </c>
      <c r="AD394" s="23" t="s">
        <v>2440</v>
      </c>
      <c r="AF394" s="128">
        <v>0</v>
      </c>
      <c r="AG394" s="282">
        <f t="shared" si="86"/>
        <v>0</v>
      </c>
    </row>
    <row r="395" spans="12:33">
      <c r="L395" s="246">
        <v>107</v>
      </c>
      <c r="M395" s="248"/>
      <c r="N395" s="248"/>
      <c r="O395" s="248"/>
      <c r="P395" s="248"/>
      <c r="Q395" s="248"/>
      <c r="R395" s="248"/>
      <c r="S395" s="248"/>
      <c r="T395" s="248"/>
      <c r="U395" s="248"/>
      <c r="V395" s="248"/>
      <c r="W395" s="260" t="e">
        <v>#DIV/0!</v>
      </c>
      <c r="X395" s="272">
        <f t="shared" si="75"/>
        <v>0</v>
      </c>
      <c r="Z395" s="128" t="s">
        <v>2456</v>
      </c>
      <c r="AA395" s="128">
        <f>COUNTIF(M389:V398,10)</f>
        <v>0</v>
      </c>
      <c r="AB395" s="273">
        <f t="shared" si="85"/>
        <v>0</v>
      </c>
      <c r="AD395" s="23" t="s">
        <v>2454</v>
      </c>
      <c r="AF395" s="128">
        <v>0</v>
      </c>
      <c r="AG395" s="282">
        <f t="shared" si="86"/>
        <v>0</v>
      </c>
    </row>
    <row r="396" spans="12:28">
      <c r="L396" s="244">
        <v>108</v>
      </c>
      <c r="M396" s="245"/>
      <c r="N396" s="245"/>
      <c r="O396" s="245"/>
      <c r="P396" s="245"/>
      <c r="Q396" s="245"/>
      <c r="R396" s="245"/>
      <c r="S396" s="245"/>
      <c r="T396" s="245"/>
      <c r="U396" s="245"/>
      <c r="V396" s="245"/>
      <c r="W396" s="259" t="e">
        <v>#DIV/0!</v>
      </c>
      <c r="X396" s="271">
        <f t="shared" si="75"/>
        <v>0</v>
      </c>
      <c r="Z396" s="128" t="s">
        <v>2458</v>
      </c>
      <c r="AA396" s="128">
        <f>COUNTBLANK(M389:V398)</f>
        <v>100</v>
      </c>
      <c r="AB396" s="273">
        <f t="shared" si="85"/>
        <v>1</v>
      </c>
    </row>
    <row r="397" spans="12:28">
      <c r="L397" s="246">
        <v>109</v>
      </c>
      <c r="M397" s="248"/>
      <c r="N397" s="248"/>
      <c r="O397" s="248"/>
      <c r="P397" s="248"/>
      <c r="Q397" s="248"/>
      <c r="R397" s="248"/>
      <c r="S397" s="248"/>
      <c r="T397" s="248"/>
      <c r="U397" s="248"/>
      <c r="V397" s="248"/>
      <c r="W397" s="260" t="e">
        <v>#DIV/0!</v>
      </c>
      <c r="X397" s="272">
        <f t="shared" si="75"/>
        <v>0</v>
      </c>
      <c r="Y397" s="276" t="e">
        <v>#DIV/0!</v>
      </c>
      <c r="Z397" s="277" t="s">
        <v>2448</v>
      </c>
      <c r="AA397" s="263"/>
      <c r="AB397" s="264"/>
    </row>
    <row r="398" spans="12:29">
      <c r="L398" s="244">
        <v>110</v>
      </c>
      <c r="M398" s="287"/>
      <c r="N398" s="288"/>
      <c r="O398" s="288"/>
      <c r="P398" s="288"/>
      <c r="Q398" s="288"/>
      <c r="R398" s="288"/>
      <c r="S398" s="288"/>
      <c r="T398" s="288"/>
      <c r="U398" s="288"/>
      <c r="V398" s="293"/>
      <c r="W398" s="261" t="e">
        <v>#DIV/0!</v>
      </c>
      <c r="X398" s="294">
        <f t="shared" si="75"/>
        <v>0</v>
      </c>
      <c r="Y398" s="278">
        <f>SUM(X389:X398)</f>
        <v>0</v>
      </c>
      <c r="Z398" s="277" t="s">
        <v>2445</v>
      </c>
      <c r="AA398" s="263"/>
      <c r="AB398" s="263"/>
      <c r="AC398" s="264"/>
    </row>
    <row r="399" spans="12:32">
      <c r="L399" s="241">
        <v>111</v>
      </c>
      <c r="M399" s="248"/>
      <c r="N399" s="248"/>
      <c r="O399" s="248"/>
      <c r="P399" s="248"/>
      <c r="Q399" s="248"/>
      <c r="R399" s="248"/>
      <c r="S399" s="248"/>
      <c r="T399" s="248"/>
      <c r="U399" s="248"/>
      <c r="V399" s="248"/>
      <c r="W399" s="260" t="e">
        <v>#DIV/0!</v>
      </c>
      <c r="X399" s="272">
        <f t="shared" si="75"/>
        <v>0</v>
      </c>
      <c r="Z399" s="268" t="s">
        <v>2454</v>
      </c>
      <c r="AA399" s="268"/>
      <c r="AB399" s="269" t="s">
        <v>2425</v>
      </c>
      <c r="AC399" s="269"/>
      <c r="AD399" s="270" t="s">
        <v>2426</v>
      </c>
      <c r="AE399" s="270"/>
      <c r="AF399" s="23" t="s">
        <v>2427</v>
      </c>
    </row>
    <row r="400" spans="12:26">
      <c r="L400" s="244">
        <v>112</v>
      </c>
      <c r="M400" s="245"/>
      <c r="N400" s="245"/>
      <c r="O400" s="245"/>
      <c r="P400" s="245"/>
      <c r="Q400" s="245"/>
      <c r="R400" s="245"/>
      <c r="S400" s="245"/>
      <c r="T400" s="245"/>
      <c r="U400" s="245"/>
      <c r="V400" s="245"/>
      <c r="W400" s="259" t="e">
        <v>#DIV/0!</v>
      </c>
      <c r="X400" s="271">
        <f t="shared" si="75"/>
        <v>0</v>
      </c>
      <c r="Z400" s="23" t="s">
        <v>2429</v>
      </c>
    </row>
    <row r="401" spans="12:30">
      <c r="L401" s="246">
        <v>113</v>
      </c>
      <c r="M401" s="248"/>
      <c r="N401" s="248"/>
      <c r="O401" s="248"/>
      <c r="P401" s="248"/>
      <c r="Q401" s="248"/>
      <c r="R401" s="248"/>
      <c r="S401" s="248"/>
      <c r="T401" s="248"/>
      <c r="U401" s="248"/>
      <c r="V401" s="248"/>
      <c r="W401" s="260" t="e">
        <v>#DIV/0!</v>
      </c>
      <c r="X401" s="272">
        <f t="shared" si="75"/>
        <v>0</v>
      </c>
      <c r="Z401" s="128" t="s">
        <v>2466</v>
      </c>
      <c r="AA401" s="128">
        <f>COUNTIF(M399:V408,1)</f>
        <v>0</v>
      </c>
      <c r="AB401" s="273">
        <f t="shared" ref="AB401:AB406" si="87">(AA401/100)</f>
        <v>0</v>
      </c>
      <c r="AD401" s="23" t="s">
        <v>2431</v>
      </c>
    </row>
    <row r="402" spans="12:34">
      <c r="L402" s="244">
        <v>114</v>
      </c>
      <c r="M402" s="245"/>
      <c r="N402" s="245"/>
      <c r="O402" s="245"/>
      <c r="P402" s="245"/>
      <c r="Q402" s="245"/>
      <c r="R402" s="245"/>
      <c r="S402" s="245"/>
      <c r="T402" s="245"/>
      <c r="U402" s="245"/>
      <c r="V402" s="245"/>
      <c r="W402" s="259" t="e">
        <v>#DIV/0!</v>
      </c>
      <c r="X402" s="271">
        <f t="shared" si="75"/>
        <v>0</v>
      </c>
      <c r="Z402" s="128" t="s">
        <v>2457</v>
      </c>
      <c r="AA402" s="128">
        <f>COUNTIF(M399:V408,2)</f>
        <v>0</v>
      </c>
      <c r="AB402" s="273">
        <f t="shared" si="87"/>
        <v>0</v>
      </c>
      <c r="AD402" s="274" t="s">
        <v>2434</v>
      </c>
      <c r="AE402" s="275"/>
      <c r="AF402" s="280" t="s">
        <v>2435</v>
      </c>
      <c r="AG402" s="275" t="s">
        <v>2436</v>
      </c>
      <c r="AH402" s="281"/>
    </row>
    <row r="403" spans="12:33">
      <c r="L403" s="246">
        <v>115</v>
      </c>
      <c r="M403" s="248"/>
      <c r="N403" s="248"/>
      <c r="O403" s="248"/>
      <c r="P403" s="248"/>
      <c r="Q403" s="248"/>
      <c r="R403" s="248"/>
      <c r="S403" s="248"/>
      <c r="T403" s="248"/>
      <c r="U403" s="248"/>
      <c r="V403" s="248"/>
      <c r="W403" s="260" t="e">
        <v>#DIV/0!</v>
      </c>
      <c r="X403" s="272">
        <f t="shared" si="75"/>
        <v>0</v>
      </c>
      <c r="Z403" s="128" t="s">
        <v>2437</v>
      </c>
      <c r="AA403" s="128">
        <f>COUNTIF(M399:V408,5)</f>
        <v>0</v>
      </c>
      <c r="AB403" s="273">
        <f t="shared" si="87"/>
        <v>0</v>
      </c>
      <c r="AD403" s="23" t="s">
        <v>2438</v>
      </c>
      <c r="AF403" s="128">
        <v>0</v>
      </c>
      <c r="AG403" s="282">
        <f t="shared" ref="AG403:AG405" si="88">(AF403/100)</f>
        <v>0</v>
      </c>
    </row>
    <row r="404" spans="12:33">
      <c r="L404" s="244">
        <v>116</v>
      </c>
      <c r="M404" s="245"/>
      <c r="N404" s="245"/>
      <c r="O404" s="245"/>
      <c r="P404" s="245"/>
      <c r="Q404" s="245"/>
      <c r="R404" s="245"/>
      <c r="S404" s="245"/>
      <c r="T404" s="245"/>
      <c r="U404" s="245"/>
      <c r="V404" s="245"/>
      <c r="W404" s="259" t="e">
        <v>#DIV/0!</v>
      </c>
      <c r="X404" s="271">
        <f t="shared" si="75"/>
        <v>0</v>
      </c>
      <c r="Z404" s="128" t="s">
        <v>2472</v>
      </c>
      <c r="AA404" s="128">
        <f>COUNTIF(M399:V408,6)</f>
        <v>0</v>
      </c>
      <c r="AB404" s="273">
        <f t="shared" si="87"/>
        <v>0</v>
      </c>
      <c r="AD404" s="23" t="s">
        <v>2440</v>
      </c>
      <c r="AF404" s="128">
        <v>0</v>
      </c>
      <c r="AG404" s="282">
        <f t="shared" si="88"/>
        <v>0</v>
      </c>
    </row>
    <row r="405" spans="12:33">
      <c r="L405" s="246">
        <v>117</v>
      </c>
      <c r="M405" s="248"/>
      <c r="N405" s="248"/>
      <c r="O405" s="248"/>
      <c r="P405" s="248"/>
      <c r="Q405" s="248"/>
      <c r="R405" s="248"/>
      <c r="S405" s="248"/>
      <c r="T405" s="248"/>
      <c r="U405" s="248"/>
      <c r="V405" s="248"/>
      <c r="W405" s="260" t="e">
        <v>#DIV/0!</v>
      </c>
      <c r="X405" s="272">
        <f t="shared" si="75"/>
        <v>0</v>
      </c>
      <c r="Z405" s="128" t="s">
        <v>2456</v>
      </c>
      <c r="AA405" s="128">
        <f>COUNTIF(M399:V408,10)</f>
        <v>0</v>
      </c>
      <c r="AB405" s="273">
        <f t="shared" si="87"/>
        <v>0</v>
      </c>
      <c r="AD405" s="23" t="s">
        <v>2454</v>
      </c>
      <c r="AF405" s="128">
        <v>0</v>
      </c>
      <c r="AG405" s="282">
        <f t="shared" si="88"/>
        <v>0</v>
      </c>
    </row>
    <row r="406" spans="12:28">
      <c r="L406" s="244">
        <v>118</v>
      </c>
      <c r="M406" s="245"/>
      <c r="N406" s="245"/>
      <c r="O406" s="245"/>
      <c r="P406" s="245"/>
      <c r="Q406" s="245"/>
      <c r="R406" s="245"/>
      <c r="S406" s="245"/>
      <c r="T406" s="245"/>
      <c r="U406" s="245"/>
      <c r="V406" s="245"/>
      <c r="W406" s="259" t="e">
        <v>#DIV/0!</v>
      </c>
      <c r="X406" s="271">
        <f t="shared" si="75"/>
        <v>0</v>
      </c>
      <c r="Z406" s="128" t="s">
        <v>2467</v>
      </c>
      <c r="AA406" s="128">
        <f>COUNTBLANK(M399:V408)</f>
        <v>100</v>
      </c>
      <c r="AB406" s="273">
        <f t="shared" si="87"/>
        <v>1</v>
      </c>
    </row>
    <row r="407" spans="12:28">
      <c r="L407" s="246">
        <v>119</v>
      </c>
      <c r="M407" s="248"/>
      <c r="N407" s="248"/>
      <c r="O407" s="248"/>
      <c r="P407" s="248"/>
      <c r="Q407" s="248"/>
      <c r="R407" s="248"/>
      <c r="S407" s="248"/>
      <c r="T407" s="248"/>
      <c r="U407" s="248"/>
      <c r="V407" s="248"/>
      <c r="W407" s="260" t="e">
        <v>#DIV/0!</v>
      </c>
      <c r="X407" s="272">
        <f t="shared" si="75"/>
        <v>0</v>
      </c>
      <c r="Y407" s="276" t="e">
        <v>#DIV/0!</v>
      </c>
      <c r="Z407" s="277" t="s">
        <v>2444</v>
      </c>
      <c r="AA407" s="263"/>
      <c r="AB407" s="264"/>
    </row>
    <row r="408" spans="12:29">
      <c r="L408" s="300">
        <v>120</v>
      </c>
      <c r="M408" s="287"/>
      <c r="N408" s="288"/>
      <c r="O408" s="288"/>
      <c r="P408" s="288"/>
      <c r="Q408" s="288"/>
      <c r="R408" s="288"/>
      <c r="S408" s="288"/>
      <c r="T408" s="288"/>
      <c r="U408" s="288"/>
      <c r="V408" s="293"/>
      <c r="W408" s="261" t="e">
        <v>#DIV/0!</v>
      </c>
      <c r="X408" s="294">
        <f t="shared" si="75"/>
        <v>0</v>
      </c>
      <c r="Y408" s="278">
        <f>SUM(X399:X408)</f>
        <v>0</v>
      </c>
      <c r="Z408" s="277" t="s">
        <v>2460</v>
      </c>
      <c r="AA408" s="263"/>
      <c r="AB408" s="263"/>
      <c r="AC408" s="264"/>
    </row>
    <row r="409" spans="12:32">
      <c r="L409" s="246">
        <v>121</v>
      </c>
      <c r="M409" s="248"/>
      <c r="N409" s="248"/>
      <c r="O409" s="248"/>
      <c r="P409" s="248"/>
      <c r="Q409" s="248"/>
      <c r="R409" s="248"/>
      <c r="S409" s="248"/>
      <c r="T409" s="248"/>
      <c r="U409" s="248"/>
      <c r="V409" s="248"/>
      <c r="W409" s="260" t="e">
        <v>#DIV/0!</v>
      </c>
      <c r="X409" s="272">
        <f t="shared" si="75"/>
        <v>0</v>
      </c>
      <c r="Z409" s="268" t="s">
        <v>2454</v>
      </c>
      <c r="AA409" s="268"/>
      <c r="AB409" s="269" t="s">
        <v>2425</v>
      </c>
      <c r="AC409" s="269"/>
      <c r="AD409" s="270" t="s">
        <v>2426</v>
      </c>
      <c r="AE409" s="270"/>
      <c r="AF409" s="23" t="s">
        <v>2427</v>
      </c>
    </row>
    <row r="410" spans="12:26">
      <c r="L410" s="244">
        <v>122</v>
      </c>
      <c r="M410" s="245"/>
      <c r="N410" s="245"/>
      <c r="O410" s="245"/>
      <c r="P410" s="245"/>
      <c r="Q410" s="245"/>
      <c r="R410" s="245"/>
      <c r="S410" s="245"/>
      <c r="T410" s="245"/>
      <c r="U410" s="245"/>
      <c r="V410" s="245"/>
      <c r="W410" s="259" t="e">
        <v>#DIV/0!</v>
      </c>
      <c r="X410" s="271">
        <f t="shared" si="75"/>
        <v>0</v>
      </c>
      <c r="Z410" s="23" t="s">
        <v>2429</v>
      </c>
    </row>
    <row r="411" spans="12:30">
      <c r="L411" s="246">
        <v>123</v>
      </c>
      <c r="M411" s="248"/>
      <c r="N411" s="248"/>
      <c r="O411" s="248"/>
      <c r="P411" s="248"/>
      <c r="Q411" s="248"/>
      <c r="R411" s="248"/>
      <c r="S411" s="248"/>
      <c r="T411" s="248"/>
      <c r="U411" s="248"/>
      <c r="V411" s="248"/>
      <c r="W411" s="260" t="e">
        <v>#DIV/0!</v>
      </c>
      <c r="X411" s="272">
        <f t="shared" si="75"/>
        <v>0</v>
      </c>
      <c r="Z411" s="128" t="s">
        <v>2466</v>
      </c>
      <c r="AA411" s="128">
        <f>COUNTIF(M409:V418,1)</f>
        <v>0</v>
      </c>
      <c r="AB411" s="273">
        <f t="shared" ref="AB411:AB416" si="89">(AA411/100)</f>
        <v>0</v>
      </c>
      <c r="AD411" s="23" t="s">
        <v>2431</v>
      </c>
    </row>
    <row r="412" spans="12:34">
      <c r="L412" s="244">
        <v>124</v>
      </c>
      <c r="M412" s="245"/>
      <c r="N412" s="245"/>
      <c r="O412" s="245"/>
      <c r="P412" s="245"/>
      <c r="Q412" s="245"/>
      <c r="R412" s="245"/>
      <c r="S412" s="245"/>
      <c r="T412" s="245"/>
      <c r="U412" s="245"/>
      <c r="V412" s="245"/>
      <c r="W412" s="259" t="e">
        <v>#DIV/0!</v>
      </c>
      <c r="X412" s="271">
        <f t="shared" si="75"/>
        <v>0</v>
      </c>
      <c r="Z412" s="128" t="s">
        <v>2457</v>
      </c>
      <c r="AA412" s="128">
        <f>COUNTIF(M409:V418,2)</f>
        <v>0</v>
      </c>
      <c r="AB412" s="273">
        <f t="shared" si="89"/>
        <v>0</v>
      </c>
      <c r="AD412" s="274" t="s">
        <v>2434</v>
      </c>
      <c r="AE412" s="275"/>
      <c r="AF412" s="280" t="s">
        <v>2435</v>
      </c>
      <c r="AG412" s="275" t="s">
        <v>2436</v>
      </c>
      <c r="AH412" s="281"/>
    </row>
    <row r="413" spans="12:33">
      <c r="L413" s="246">
        <v>125</v>
      </c>
      <c r="M413" s="248"/>
      <c r="N413" s="248"/>
      <c r="O413" s="248"/>
      <c r="P413" s="248"/>
      <c r="Q413" s="248"/>
      <c r="R413" s="248"/>
      <c r="S413" s="248"/>
      <c r="T413" s="248"/>
      <c r="U413" s="248"/>
      <c r="V413" s="248"/>
      <c r="W413" s="260" t="e">
        <v>#DIV/0!</v>
      </c>
      <c r="X413" s="272">
        <f t="shared" si="75"/>
        <v>0</v>
      </c>
      <c r="Z413" s="128" t="s">
        <v>2437</v>
      </c>
      <c r="AA413" s="128">
        <f>COUNTIF(M409:V418,5)</f>
        <v>0</v>
      </c>
      <c r="AB413" s="273">
        <f t="shared" si="89"/>
        <v>0</v>
      </c>
      <c r="AD413" s="23" t="s">
        <v>2438</v>
      </c>
      <c r="AF413" s="128">
        <v>0</v>
      </c>
      <c r="AG413" s="282">
        <f t="shared" ref="AG413:AG415" si="90">(AF413/100)</f>
        <v>0</v>
      </c>
    </row>
    <row r="414" spans="12:33">
      <c r="L414" s="244">
        <v>126</v>
      </c>
      <c r="M414" s="245"/>
      <c r="N414" s="245"/>
      <c r="O414" s="245"/>
      <c r="P414" s="245"/>
      <c r="Q414" s="245"/>
      <c r="R414" s="245"/>
      <c r="S414" s="245"/>
      <c r="T414" s="245"/>
      <c r="U414" s="245"/>
      <c r="V414" s="245"/>
      <c r="W414" s="259" t="e">
        <v>#DIV/0!</v>
      </c>
      <c r="X414" s="271">
        <f t="shared" si="75"/>
        <v>0</v>
      </c>
      <c r="Z414" s="128" t="s">
        <v>2472</v>
      </c>
      <c r="AA414" s="128">
        <f>COUNTIF(M409:V418,6)</f>
        <v>0</v>
      </c>
      <c r="AB414" s="273">
        <f t="shared" si="89"/>
        <v>0</v>
      </c>
      <c r="AD414" s="23" t="s">
        <v>2440</v>
      </c>
      <c r="AF414" s="128">
        <v>0</v>
      </c>
      <c r="AG414" s="282">
        <f t="shared" si="90"/>
        <v>0</v>
      </c>
    </row>
    <row r="415" spans="12:33">
      <c r="L415" s="246">
        <v>127</v>
      </c>
      <c r="M415" s="248"/>
      <c r="N415" s="248"/>
      <c r="O415" s="248"/>
      <c r="P415" s="248"/>
      <c r="Q415" s="248"/>
      <c r="R415" s="248"/>
      <c r="S415" s="248"/>
      <c r="T415" s="248"/>
      <c r="U415" s="248"/>
      <c r="V415" s="248"/>
      <c r="W415" s="260" t="e">
        <v>#DIV/0!</v>
      </c>
      <c r="X415" s="272">
        <f t="shared" si="75"/>
        <v>0</v>
      </c>
      <c r="Z415" s="128" t="s">
        <v>2456</v>
      </c>
      <c r="AA415" s="128">
        <f>COUNTIF(M409:V418,10)</f>
        <v>0</v>
      </c>
      <c r="AB415" s="273">
        <f t="shared" si="89"/>
        <v>0</v>
      </c>
      <c r="AD415" s="23" t="s">
        <v>2424</v>
      </c>
      <c r="AF415" s="128">
        <v>0</v>
      </c>
      <c r="AG415" s="282">
        <f t="shared" si="90"/>
        <v>0</v>
      </c>
    </row>
    <row r="416" spans="12:28">
      <c r="L416" s="244">
        <v>128</v>
      </c>
      <c r="M416" s="245"/>
      <c r="N416" s="245"/>
      <c r="O416" s="245"/>
      <c r="P416" s="245"/>
      <c r="Q416" s="245"/>
      <c r="R416" s="245"/>
      <c r="S416" s="245"/>
      <c r="T416" s="245"/>
      <c r="U416" s="245"/>
      <c r="V416" s="245"/>
      <c r="W416" s="259" t="e">
        <v>#DIV/0!</v>
      </c>
      <c r="X416" s="271">
        <f t="shared" si="75"/>
        <v>0</v>
      </c>
      <c r="Z416" s="128" t="s">
        <v>2458</v>
      </c>
      <c r="AA416" s="128">
        <f>COUNTBLANK(M409:V418)</f>
        <v>100</v>
      </c>
      <c r="AB416" s="273">
        <f t="shared" si="89"/>
        <v>1</v>
      </c>
    </row>
    <row r="417" spans="12:28">
      <c r="L417" s="246">
        <v>129</v>
      </c>
      <c r="M417" s="248"/>
      <c r="N417" s="248"/>
      <c r="O417" s="248"/>
      <c r="P417" s="248"/>
      <c r="Q417" s="248"/>
      <c r="R417" s="248"/>
      <c r="S417" s="248"/>
      <c r="T417" s="248"/>
      <c r="U417" s="248"/>
      <c r="V417" s="248"/>
      <c r="W417" s="260" t="e">
        <v>#DIV/0!</v>
      </c>
      <c r="X417" s="272">
        <f t="shared" ref="X417:X480" si="91">SUM(M417:V417)</f>
        <v>0</v>
      </c>
      <c r="Y417" s="276" t="e">
        <v>#DIV/0!</v>
      </c>
      <c r="Z417" s="277" t="s">
        <v>2448</v>
      </c>
      <c r="AA417" s="263"/>
      <c r="AB417" s="264"/>
    </row>
    <row r="418" spans="12:29">
      <c r="L418" s="244">
        <v>130</v>
      </c>
      <c r="M418" s="287"/>
      <c r="N418" s="288"/>
      <c r="O418" s="288"/>
      <c r="P418" s="288"/>
      <c r="Q418" s="288"/>
      <c r="R418" s="288"/>
      <c r="S418" s="288"/>
      <c r="T418" s="288"/>
      <c r="U418" s="288"/>
      <c r="V418" s="293"/>
      <c r="W418" s="261" t="e">
        <v>#DIV/0!</v>
      </c>
      <c r="X418" s="294">
        <f t="shared" si="91"/>
        <v>0</v>
      </c>
      <c r="Y418" s="278">
        <f>SUM(X409:X418)</f>
        <v>0</v>
      </c>
      <c r="Z418" s="277" t="s">
        <v>2460</v>
      </c>
      <c r="AA418" s="263"/>
      <c r="AB418" s="263"/>
      <c r="AC418" s="264"/>
    </row>
    <row r="419" spans="12:32">
      <c r="L419" s="241">
        <v>131</v>
      </c>
      <c r="M419" s="248"/>
      <c r="N419" s="248"/>
      <c r="O419" s="248"/>
      <c r="P419" s="248"/>
      <c r="Q419" s="248"/>
      <c r="R419" s="248"/>
      <c r="S419" s="248"/>
      <c r="T419" s="248"/>
      <c r="U419" s="248"/>
      <c r="V419" s="248"/>
      <c r="W419" s="260" t="e">
        <v>#DIV/0!</v>
      </c>
      <c r="X419" s="272">
        <f t="shared" si="91"/>
        <v>0</v>
      </c>
      <c r="Z419" s="268" t="s">
        <v>2454</v>
      </c>
      <c r="AA419" s="268"/>
      <c r="AB419" s="269" t="s">
        <v>2425</v>
      </c>
      <c r="AC419" s="269"/>
      <c r="AD419" s="270" t="s">
        <v>2426</v>
      </c>
      <c r="AE419" s="270"/>
      <c r="AF419" s="23" t="s">
        <v>2427</v>
      </c>
    </row>
    <row r="420" spans="12:26">
      <c r="L420" s="244">
        <v>132</v>
      </c>
      <c r="M420" s="245"/>
      <c r="N420" s="245"/>
      <c r="O420" s="245"/>
      <c r="P420" s="245"/>
      <c r="Q420" s="245"/>
      <c r="R420" s="245"/>
      <c r="S420" s="245"/>
      <c r="T420" s="245"/>
      <c r="U420" s="245"/>
      <c r="V420" s="245"/>
      <c r="W420" s="259" t="e">
        <v>#DIV/0!</v>
      </c>
      <c r="X420" s="271">
        <f t="shared" si="91"/>
        <v>0</v>
      </c>
      <c r="Z420" s="23" t="s">
        <v>2429</v>
      </c>
    </row>
    <row r="421" spans="12:30">
      <c r="L421" s="246">
        <v>133</v>
      </c>
      <c r="M421" s="248"/>
      <c r="N421" s="248"/>
      <c r="O421" s="248"/>
      <c r="P421" s="248"/>
      <c r="Q421" s="248"/>
      <c r="R421" s="248"/>
      <c r="S421" s="248"/>
      <c r="T421" s="248"/>
      <c r="U421" s="248"/>
      <c r="V421" s="248"/>
      <c r="W421" s="260" t="e">
        <v>#DIV/0!</v>
      </c>
      <c r="X421" s="272">
        <f t="shared" si="91"/>
        <v>0</v>
      </c>
      <c r="Z421" s="128" t="s">
        <v>2466</v>
      </c>
      <c r="AA421" s="128">
        <f>COUNTIF(M419:V428,1)</f>
        <v>0</v>
      </c>
      <c r="AB421" s="273">
        <f t="shared" ref="AB421:AB426" si="92">(AA421/100)</f>
        <v>0</v>
      </c>
      <c r="AD421" s="23" t="s">
        <v>2431</v>
      </c>
    </row>
    <row r="422" spans="12:34">
      <c r="L422" s="244">
        <v>134</v>
      </c>
      <c r="M422" s="245"/>
      <c r="N422" s="245"/>
      <c r="O422" s="245"/>
      <c r="P422" s="245"/>
      <c r="Q422" s="245"/>
      <c r="R422" s="245"/>
      <c r="S422" s="245"/>
      <c r="T422" s="245"/>
      <c r="U422" s="245"/>
      <c r="V422" s="245"/>
      <c r="W422" s="259" t="e">
        <v>#DIV/0!</v>
      </c>
      <c r="X422" s="271">
        <f t="shared" si="91"/>
        <v>0</v>
      </c>
      <c r="Z422" s="128" t="s">
        <v>2457</v>
      </c>
      <c r="AA422" s="128">
        <f>COUNTIF(M419:V428,2)</f>
        <v>0</v>
      </c>
      <c r="AB422" s="273">
        <f t="shared" si="92"/>
        <v>0</v>
      </c>
      <c r="AD422" s="274" t="s">
        <v>2434</v>
      </c>
      <c r="AE422" s="275"/>
      <c r="AF422" s="280" t="s">
        <v>2435</v>
      </c>
      <c r="AG422" s="275" t="s">
        <v>2436</v>
      </c>
      <c r="AH422" s="281"/>
    </row>
    <row r="423" spans="12:33">
      <c r="L423" s="246">
        <v>135</v>
      </c>
      <c r="M423" s="248"/>
      <c r="N423" s="248"/>
      <c r="O423" s="248"/>
      <c r="P423" s="248"/>
      <c r="Q423" s="248"/>
      <c r="R423" s="248"/>
      <c r="S423" s="248"/>
      <c r="T423" s="248"/>
      <c r="U423" s="248"/>
      <c r="V423" s="248"/>
      <c r="W423" s="260" t="e">
        <v>#DIV/0!</v>
      </c>
      <c r="X423" s="272">
        <f t="shared" si="91"/>
        <v>0</v>
      </c>
      <c r="Z423" s="128" t="s">
        <v>2437</v>
      </c>
      <c r="AA423" s="128">
        <f>COUNTIF(M419:V428,5)</f>
        <v>0</v>
      </c>
      <c r="AB423" s="273">
        <f t="shared" si="92"/>
        <v>0</v>
      </c>
      <c r="AD423" s="23" t="s">
        <v>2438</v>
      </c>
      <c r="AF423" s="128">
        <v>0</v>
      </c>
      <c r="AG423" s="282">
        <f t="shared" ref="AG423:AG425" si="93">(AF423/100)</f>
        <v>0</v>
      </c>
    </row>
    <row r="424" spans="12:33">
      <c r="L424" s="244">
        <v>136</v>
      </c>
      <c r="M424" s="245"/>
      <c r="N424" s="245"/>
      <c r="O424" s="245"/>
      <c r="P424" s="245"/>
      <c r="Q424" s="245"/>
      <c r="R424" s="245"/>
      <c r="S424" s="245"/>
      <c r="T424" s="245"/>
      <c r="U424" s="245"/>
      <c r="V424" s="245"/>
      <c r="W424" s="259" t="e">
        <v>#DIV/0!</v>
      </c>
      <c r="X424" s="271">
        <f t="shared" si="91"/>
        <v>0</v>
      </c>
      <c r="Z424" s="128" t="s">
        <v>2472</v>
      </c>
      <c r="AA424" s="128">
        <f>COUNTIF(M419:V428,6)</f>
        <v>0</v>
      </c>
      <c r="AB424" s="273">
        <f t="shared" si="92"/>
        <v>0</v>
      </c>
      <c r="AD424" s="23" t="s">
        <v>2440</v>
      </c>
      <c r="AF424" s="128">
        <v>0</v>
      </c>
      <c r="AG424" s="282">
        <f t="shared" si="93"/>
        <v>0</v>
      </c>
    </row>
    <row r="425" spans="12:33">
      <c r="L425" s="246">
        <v>137</v>
      </c>
      <c r="M425" s="248"/>
      <c r="N425" s="248"/>
      <c r="O425" s="248"/>
      <c r="P425" s="248"/>
      <c r="Q425" s="248"/>
      <c r="R425" s="248"/>
      <c r="S425" s="248"/>
      <c r="T425" s="248"/>
      <c r="U425" s="248"/>
      <c r="V425" s="248"/>
      <c r="W425" s="260" t="e">
        <v>#DIV/0!</v>
      </c>
      <c r="X425" s="272">
        <f t="shared" si="91"/>
        <v>0</v>
      </c>
      <c r="Z425" s="128" t="s">
        <v>2456</v>
      </c>
      <c r="AA425" s="128">
        <f>COUNTIF(M419:V428,10)</f>
        <v>0</v>
      </c>
      <c r="AB425" s="273">
        <f t="shared" si="92"/>
        <v>0</v>
      </c>
      <c r="AD425" s="23" t="s">
        <v>2454</v>
      </c>
      <c r="AF425" s="128">
        <v>0</v>
      </c>
      <c r="AG425" s="282">
        <f t="shared" si="93"/>
        <v>0</v>
      </c>
    </row>
    <row r="426" spans="12:28">
      <c r="L426" s="244">
        <v>138</v>
      </c>
      <c r="M426" s="245"/>
      <c r="N426" s="245"/>
      <c r="O426" s="245"/>
      <c r="P426" s="245"/>
      <c r="Q426" s="245"/>
      <c r="R426" s="245"/>
      <c r="S426" s="245"/>
      <c r="T426" s="245"/>
      <c r="U426" s="245"/>
      <c r="V426" s="245"/>
      <c r="W426" s="259" t="e">
        <v>#DIV/0!</v>
      </c>
      <c r="X426" s="271">
        <f t="shared" si="91"/>
        <v>0</v>
      </c>
      <c r="Z426" s="128" t="s">
        <v>2458</v>
      </c>
      <c r="AA426" s="128">
        <f>COUNTBLANK(M419:V428)</f>
        <v>100</v>
      </c>
      <c r="AB426" s="273">
        <f t="shared" si="92"/>
        <v>1</v>
      </c>
    </row>
    <row r="427" spans="12:28">
      <c r="L427" s="246">
        <v>139</v>
      </c>
      <c r="M427" s="248"/>
      <c r="N427" s="248"/>
      <c r="O427" s="248"/>
      <c r="P427" s="248"/>
      <c r="Q427" s="248"/>
      <c r="R427" s="248"/>
      <c r="S427" s="248"/>
      <c r="T427" s="248"/>
      <c r="U427" s="248"/>
      <c r="V427" s="248"/>
      <c r="W427" s="260" t="e">
        <v>#DIV/0!</v>
      </c>
      <c r="X427" s="272">
        <f t="shared" si="91"/>
        <v>0</v>
      </c>
      <c r="Y427" s="276" t="e">
        <v>#DIV/0!</v>
      </c>
      <c r="Z427" s="277" t="s">
        <v>2448</v>
      </c>
      <c r="AA427" s="263"/>
      <c r="AB427" s="264"/>
    </row>
    <row r="428" spans="12:29">
      <c r="L428" s="300">
        <v>140</v>
      </c>
      <c r="M428" s="287"/>
      <c r="N428" s="288"/>
      <c r="O428" s="288"/>
      <c r="P428" s="288"/>
      <c r="Q428" s="288"/>
      <c r="R428" s="288"/>
      <c r="S428" s="288"/>
      <c r="T428" s="288"/>
      <c r="U428" s="288"/>
      <c r="V428" s="293"/>
      <c r="W428" s="261" t="e">
        <v>#DIV/0!</v>
      </c>
      <c r="X428" s="294">
        <f t="shared" si="91"/>
        <v>0</v>
      </c>
      <c r="Y428" s="278">
        <f>SUM(X419:X428)</f>
        <v>0</v>
      </c>
      <c r="Z428" s="277" t="s">
        <v>2460</v>
      </c>
      <c r="AA428" s="263"/>
      <c r="AB428" s="263"/>
      <c r="AC428" s="264"/>
    </row>
    <row r="429" spans="12:32">
      <c r="L429" s="246">
        <v>141</v>
      </c>
      <c r="M429" s="248"/>
      <c r="N429" s="248"/>
      <c r="O429" s="248"/>
      <c r="P429" s="248"/>
      <c r="Q429" s="248"/>
      <c r="R429" s="248"/>
      <c r="S429" s="248"/>
      <c r="T429" s="248"/>
      <c r="U429" s="248"/>
      <c r="V429" s="248"/>
      <c r="W429" s="260" t="e">
        <v>#DIV/0!</v>
      </c>
      <c r="X429" s="272">
        <f t="shared" si="91"/>
        <v>0</v>
      </c>
      <c r="Z429" s="268" t="s">
        <v>2454</v>
      </c>
      <c r="AA429" s="268"/>
      <c r="AB429" s="269" t="s">
        <v>2425</v>
      </c>
      <c r="AC429" s="269"/>
      <c r="AD429" s="270" t="s">
        <v>2426</v>
      </c>
      <c r="AE429" s="270"/>
      <c r="AF429" s="23" t="s">
        <v>2427</v>
      </c>
    </row>
    <row r="430" spans="12:26">
      <c r="L430" s="244">
        <v>142</v>
      </c>
      <c r="M430" s="245"/>
      <c r="N430" s="245"/>
      <c r="O430" s="245"/>
      <c r="P430" s="245"/>
      <c r="Q430" s="245"/>
      <c r="R430" s="245"/>
      <c r="S430" s="245"/>
      <c r="T430" s="245"/>
      <c r="U430" s="245"/>
      <c r="V430" s="245"/>
      <c r="W430" s="259" t="e">
        <v>#DIV/0!</v>
      </c>
      <c r="X430" s="271">
        <f t="shared" si="91"/>
        <v>0</v>
      </c>
      <c r="Z430" s="23" t="s">
        <v>2429</v>
      </c>
    </row>
    <row r="431" spans="12:30">
      <c r="L431" s="246">
        <v>143</v>
      </c>
      <c r="M431" s="248"/>
      <c r="N431" s="248"/>
      <c r="O431" s="248"/>
      <c r="P431" s="248"/>
      <c r="Q431" s="248"/>
      <c r="R431" s="248"/>
      <c r="S431" s="248"/>
      <c r="T431" s="248"/>
      <c r="U431" s="248"/>
      <c r="V431" s="248"/>
      <c r="W431" s="260" t="e">
        <v>#DIV/0!</v>
      </c>
      <c r="X431" s="272">
        <f t="shared" si="91"/>
        <v>0</v>
      </c>
      <c r="Z431" s="128" t="s">
        <v>2466</v>
      </c>
      <c r="AA431" s="128">
        <f>COUNTIF(M429:V438,1)</f>
        <v>0</v>
      </c>
      <c r="AB431" s="273">
        <f t="shared" ref="AB431:AB436" si="94">(AA431/100)</f>
        <v>0</v>
      </c>
      <c r="AD431" s="23" t="s">
        <v>2431</v>
      </c>
    </row>
    <row r="432" spans="12:34">
      <c r="L432" s="244">
        <v>144</v>
      </c>
      <c r="M432" s="245"/>
      <c r="N432" s="245"/>
      <c r="O432" s="245"/>
      <c r="P432" s="245"/>
      <c r="Q432" s="245"/>
      <c r="R432" s="245"/>
      <c r="S432" s="245"/>
      <c r="T432" s="245"/>
      <c r="U432" s="245"/>
      <c r="V432" s="245"/>
      <c r="W432" s="259" t="e">
        <v>#DIV/0!</v>
      </c>
      <c r="X432" s="271">
        <f t="shared" si="91"/>
        <v>0</v>
      </c>
      <c r="Z432" s="128" t="s">
        <v>2457</v>
      </c>
      <c r="AA432" s="128">
        <f>COUNTIF(M429:V438,2)</f>
        <v>0</v>
      </c>
      <c r="AB432" s="273">
        <f t="shared" si="94"/>
        <v>0</v>
      </c>
      <c r="AD432" s="274" t="s">
        <v>2434</v>
      </c>
      <c r="AE432" s="275"/>
      <c r="AF432" s="280" t="s">
        <v>2435</v>
      </c>
      <c r="AG432" s="275" t="s">
        <v>2436</v>
      </c>
      <c r="AH432" s="281"/>
    </row>
    <row r="433" spans="12:33">
      <c r="L433" s="246">
        <v>145</v>
      </c>
      <c r="M433" s="248"/>
      <c r="N433" s="248"/>
      <c r="O433" s="248"/>
      <c r="P433" s="248"/>
      <c r="Q433" s="248"/>
      <c r="R433" s="248"/>
      <c r="S433" s="248"/>
      <c r="T433" s="248"/>
      <c r="U433" s="248"/>
      <c r="V433" s="248"/>
      <c r="W433" s="260" t="e">
        <v>#DIV/0!</v>
      </c>
      <c r="X433" s="272">
        <f t="shared" si="91"/>
        <v>0</v>
      </c>
      <c r="Z433" s="128" t="s">
        <v>2437</v>
      </c>
      <c r="AA433" s="128">
        <f>COUNTIF(M429:V438,5)</f>
        <v>0</v>
      </c>
      <c r="AB433" s="273">
        <f t="shared" si="94"/>
        <v>0</v>
      </c>
      <c r="AD433" s="23" t="s">
        <v>2523</v>
      </c>
      <c r="AF433" s="128">
        <v>0</v>
      </c>
      <c r="AG433" s="282">
        <f t="shared" ref="AG433:AG435" si="95">(AF433/100)</f>
        <v>0</v>
      </c>
    </row>
    <row r="434" spans="12:33">
      <c r="L434" s="244">
        <v>146</v>
      </c>
      <c r="M434" s="245"/>
      <c r="N434" s="245"/>
      <c r="O434" s="245"/>
      <c r="P434" s="245"/>
      <c r="Q434" s="245"/>
      <c r="R434" s="245"/>
      <c r="S434" s="245"/>
      <c r="T434" s="245"/>
      <c r="U434" s="245"/>
      <c r="V434" s="245"/>
      <c r="W434" s="259" t="e">
        <v>#DIV/0!</v>
      </c>
      <c r="X434" s="271">
        <f t="shared" si="91"/>
        <v>0</v>
      </c>
      <c r="Z434" s="128" t="s">
        <v>2472</v>
      </c>
      <c r="AA434" s="128">
        <f>COUNTIF(M429:V438,6)</f>
        <v>0</v>
      </c>
      <c r="AB434" s="273">
        <f t="shared" si="94"/>
        <v>0</v>
      </c>
      <c r="AD434" s="23" t="s">
        <v>2440</v>
      </c>
      <c r="AF434" s="128">
        <v>0</v>
      </c>
      <c r="AG434" s="282">
        <f t="shared" si="95"/>
        <v>0</v>
      </c>
    </row>
    <row r="435" spans="12:33">
      <c r="L435" s="246">
        <v>147</v>
      </c>
      <c r="M435" s="248"/>
      <c r="N435" s="248"/>
      <c r="O435" s="248"/>
      <c r="P435" s="248"/>
      <c r="Q435" s="248"/>
      <c r="R435" s="248"/>
      <c r="S435" s="248"/>
      <c r="T435" s="248"/>
      <c r="U435" s="248"/>
      <c r="V435" s="248"/>
      <c r="W435" s="260" t="e">
        <v>#DIV/0!</v>
      </c>
      <c r="X435" s="272">
        <f t="shared" si="91"/>
        <v>0</v>
      </c>
      <c r="Z435" s="128" t="s">
        <v>2456</v>
      </c>
      <c r="AA435" s="128">
        <f>COUNTIF(M429:V438,10)</f>
        <v>0</v>
      </c>
      <c r="AB435" s="273">
        <f t="shared" si="94"/>
        <v>0</v>
      </c>
      <c r="AD435" s="23" t="s">
        <v>2454</v>
      </c>
      <c r="AF435" s="128">
        <v>0</v>
      </c>
      <c r="AG435" s="282">
        <f t="shared" si="95"/>
        <v>0</v>
      </c>
    </row>
    <row r="436" spans="12:28">
      <c r="L436" s="244">
        <v>148</v>
      </c>
      <c r="M436" s="245"/>
      <c r="N436" s="245"/>
      <c r="O436" s="245"/>
      <c r="P436" s="245"/>
      <c r="Q436" s="245"/>
      <c r="R436" s="245"/>
      <c r="S436" s="245"/>
      <c r="T436" s="245"/>
      <c r="U436" s="245"/>
      <c r="V436" s="245"/>
      <c r="W436" s="259" t="e">
        <v>#DIV/0!</v>
      </c>
      <c r="X436" s="271">
        <f t="shared" si="91"/>
        <v>0</v>
      </c>
      <c r="Z436" s="128" t="s">
        <v>2458</v>
      </c>
      <c r="AA436" s="128">
        <f>COUNTBLANK(M429:V438)</f>
        <v>100</v>
      </c>
      <c r="AB436" s="273">
        <f t="shared" si="94"/>
        <v>1</v>
      </c>
    </row>
    <row r="437" spans="12:28">
      <c r="L437" s="246">
        <v>149</v>
      </c>
      <c r="M437" s="248"/>
      <c r="N437" s="248"/>
      <c r="O437" s="248"/>
      <c r="P437" s="248"/>
      <c r="Q437" s="248"/>
      <c r="R437" s="248"/>
      <c r="S437" s="248"/>
      <c r="T437" s="248"/>
      <c r="U437" s="248"/>
      <c r="V437" s="248"/>
      <c r="W437" s="260" t="e">
        <v>#DIV/0!</v>
      </c>
      <c r="X437" s="272">
        <f t="shared" si="91"/>
        <v>0</v>
      </c>
      <c r="Y437" s="276" t="e">
        <v>#DIV/0!</v>
      </c>
      <c r="Z437" s="277" t="s">
        <v>2448</v>
      </c>
      <c r="AA437" s="263"/>
      <c r="AB437" s="264"/>
    </row>
    <row r="438" ht="15" customHeight="1" spans="12:29">
      <c r="L438" s="283">
        <v>150</v>
      </c>
      <c r="M438" s="284"/>
      <c r="N438" s="286"/>
      <c r="O438" s="286"/>
      <c r="P438" s="286"/>
      <c r="Q438" s="286"/>
      <c r="R438" s="286"/>
      <c r="S438" s="286"/>
      <c r="T438" s="286"/>
      <c r="U438" s="286"/>
      <c r="V438" s="290"/>
      <c r="W438" s="291" t="e">
        <v>#DIV/0!</v>
      </c>
      <c r="X438" s="295">
        <f t="shared" si="91"/>
        <v>0</v>
      </c>
      <c r="Y438" s="278">
        <f>SUM(X429:X438)</f>
        <v>0</v>
      </c>
      <c r="Z438" s="277" t="s">
        <v>2460</v>
      </c>
      <c r="AA438" s="263"/>
      <c r="AB438" s="263"/>
      <c r="AC438" s="264"/>
    </row>
    <row r="439" spans="12:32">
      <c r="L439" s="246">
        <v>151</v>
      </c>
      <c r="M439" s="248"/>
      <c r="N439" s="248"/>
      <c r="O439" s="248"/>
      <c r="P439" s="248"/>
      <c r="Q439" s="248"/>
      <c r="R439" s="248"/>
      <c r="S439" s="248"/>
      <c r="T439" s="248"/>
      <c r="U439" s="248"/>
      <c r="V439" s="248"/>
      <c r="W439" s="260" t="e">
        <v>#DIV/0!</v>
      </c>
      <c r="X439" s="272">
        <f t="shared" si="91"/>
        <v>0</v>
      </c>
      <c r="Z439" s="268" t="s">
        <v>2454</v>
      </c>
      <c r="AA439" s="268"/>
      <c r="AB439" s="269" t="s">
        <v>2425</v>
      </c>
      <c r="AC439" s="269"/>
      <c r="AD439" s="270" t="s">
        <v>2426</v>
      </c>
      <c r="AE439" s="270"/>
      <c r="AF439" s="23" t="s">
        <v>2427</v>
      </c>
    </row>
    <row r="440" spans="12:26">
      <c r="L440" s="244">
        <v>152</v>
      </c>
      <c r="M440" s="245"/>
      <c r="N440" s="245"/>
      <c r="O440" s="245"/>
      <c r="P440" s="245"/>
      <c r="Q440" s="245"/>
      <c r="R440" s="245"/>
      <c r="S440" s="245"/>
      <c r="T440" s="245"/>
      <c r="U440" s="245"/>
      <c r="V440" s="245"/>
      <c r="W440" s="259" t="e">
        <v>#DIV/0!</v>
      </c>
      <c r="X440" s="271">
        <f t="shared" si="91"/>
        <v>0</v>
      </c>
      <c r="Z440" s="23" t="s">
        <v>2429</v>
      </c>
    </row>
    <row r="441" spans="12:30">
      <c r="L441" s="246">
        <v>153</v>
      </c>
      <c r="M441" s="248"/>
      <c r="N441" s="248"/>
      <c r="O441" s="248"/>
      <c r="P441" s="248"/>
      <c r="Q441" s="248"/>
      <c r="R441" s="248"/>
      <c r="S441" s="248"/>
      <c r="T441" s="248"/>
      <c r="U441" s="248"/>
      <c r="V441" s="248"/>
      <c r="W441" s="260" t="e">
        <v>#DIV/0!</v>
      </c>
      <c r="X441" s="272">
        <f t="shared" si="91"/>
        <v>0</v>
      </c>
      <c r="Z441" s="128" t="s">
        <v>2466</v>
      </c>
      <c r="AA441" s="128">
        <f>COUNTIF(M439:V448,1)</f>
        <v>0</v>
      </c>
      <c r="AB441" s="273">
        <f t="shared" ref="AB441:AB446" si="96">(AA441/100)</f>
        <v>0</v>
      </c>
      <c r="AD441" s="23" t="s">
        <v>2431</v>
      </c>
    </row>
    <row r="442" spans="12:34">
      <c r="L442" s="244">
        <v>154</v>
      </c>
      <c r="M442" s="245"/>
      <c r="N442" s="245"/>
      <c r="O442" s="245"/>
      <c r="P442" s="245"/>
      <c r="Q442" s="245"/>
      <c r="R442" s="245"/>
      <c r="S442" s="245"/>
      <c r="T442" s="245"/>
      <c r="U442" s="245"/>
      <c r="V442" s="245"/>
      <c r="W442" s="259" t="e">
        <v>#DIV/0!</v>
      </c>
      <c r="X442" s="271">
        <f t="shared" si="91"/>
        <v>0</v>
      </c>
      <c r="Z442" s="128" t="s">
        <v>2457</v>
      </c>
      <c r="AA442" s="128">
        <f>COUNTIF(M439:V448,2)</f>
        <v>0</v>
      </c>
      <c r="AB442" s="273">
        <f t="shared" si="96"/>
        <v>0</v>
      </c>
      <c r="AD442" s="274" t="s">
        <v>2434</v>
      </c>
      <c r="AE442" s="275"/>
      <c r="AF442" s="280" t="s">
        <v>2435</v>
      </c>
      <c r="AG442" s="275" t="s">
        <v>2436</v>
      </c>
      <c r="AH442" s="281"/>
    </row>
    <row r="443" spans="12:33">
      <c r="L443" s="246">
        <v>155</v>
      </c>
      <c r="M443" s="248"/>
      <c r="N443" s="248"/>
      <c r="O443" s="248"/>
      <c r="P443" s="248"/>
      <c r="Q443" s="248"/>
      <c r="R443" s="248"/>
      <c r="S443" s="248"/>
      <c r="T443" s="248"/>
      <c r="U443" s="248"/>
      <c r="V443" s="248"/>
      <c r="W443" s="260" t="e">
        <v>#DIV/0!</v>
      </c>
      <c r="X443" s="272">
        <f t="shared" si="91"/>
        <v>0</v>
      </c>
      <c r="Z443" s="128" t="s">
        <v>2437</v>
      </c>
      <c r="AA443" s="128">
        <f>COUNTIF(M439:V448,5)</f>
        <v>0</v>
      </c>
      <c r="AB443" s="273">
        <f t="shared" si="96"/>
        <v>0</v>
      </c>
      <c r="AD443" s="23" t="s">
        <v>2438</v>
      </c>
      <c r="AF443" s="128">
        <v>0</v>
      </c>
      <c r="AG443" s="282">
        <f t="shared" ref="AG443:AG445" si="97">(AF443/100)</f>
        <v>0</v>
      </c>
    </row>
    <row r="444" spans="12:33">
      <c r="L444" s="244">
        <v>156</v>
      </c>
      <c r="M444" s="245"/>
      <c r="N444" s="245"/>
      <c r="O444" s="245"/>
      <c r="P444" s="245"/>
      <c r="Q444" s="245"/>
      <c r="R444" s="245"/>
      <c r="S444" s="245"/>
      <c r="T444" s="245"/>
      <c r="U444" s="245"/>
      <c r="V444" s="245"/>
      <c r="W444" s="259" t="e">
        <v>#DIV/0!</v>
      </c>
      <c r="X444" s="271">
        <f t="shared" si="91"/>
        <v>0</v>
      </c>
      <c r="Z444" s="128" t="s">
        <v>2472</v>
      </c>
      <c r="AA444" s="128">
        <f>COUNTIF(M439:V448,6)</f>
        <v>0</v>
      </c>
      <c r="AB444" s="273">
        <f t="shared" si="96"/>
        <v>0</v>
      </c>
      <c r="AD444" s="23" t="s">
        <v>2440</v>
      </c>
      <c r="AF444" s="128">
        <v>0</v>
      </c>
      <c r="AG444" s="282">
        <f t="shared" si="97"/>
        <v>0</v>
      </c>
    </row>
    <row r="445" spans="12:33">
      <c r="L445" s="246">
        <v>157</v>
      </c>
      <c r="M445" s="248"/>
      <c r="N445" s="248"/>
      <c r="O445" s="248"/>
      <c r="P445" s="248"/>
      <c r="Q445" s="248"/>
      <c r="R445" s="248"/>
      <c r="S445" s="248"/>
      <c r="T445" s="248"/>
      <c r="U445" s="248"/>
      <c r="V445" s="248"/>
      <c r="W445" s="260" t="e">
        <v>#DIV/0!</v>
      </c>
      <c r="X445" s="272">
        <f t="shared" si="91"/>
        <v>0</v>
      </c>
      <c r="Z445" s="128" t="s">
        <v>2456</v>
      </c>
      <c r="AA445" s="128">
        <f>COUNTIF(M439:V448,10)</f>
        <v>0</v>
      </c>
      <c r="AB445" s="273">
        <f t="shared" si="96"/>
        <v>0</v>
      </c>
      <c r="AD445" s="23" t="s">
        <v>2424</v>
      </c>
      <c r="AF445" s="128">
        <v>0</v>
      </c>
      <c r="AG445" s="282">
        <f t="shared" si="97"/>
        <v>0</v>
      </c>
    </row>
    <row r="446" spans="12:28">
      <c r="L446" s="244">
        <v>158</v>
      </c>
      <c r="M446" s="245"/>
      <c r="N446" s="245"/>
      <c r="O446" s="245"/>
      <c r="P446" s="245"/>
      <c r="Q446" s="245"/>
      <c r="R446" s="245"/>
      <c r="S446" s="245"/>
      <c r="T446" s="245"/>
      <c r="U446" s="245"/>
      <c r="V446" s="245"/>
      <c r="W446" s="259" t="e">
        <v>#DIV/0!</v>
      </c>
      <c r="X446" s="271">
        <f t="shared" si="91"/>
        <v>0</v>
      </c>
      <c r="Z446" s="128" t="s">
        <v>2467</v>
      </c>
      <c r="AA446" s="128">
        <f>COUNTBLANK(M439:V448)</f>
        <v>100</v>
      </c>
      <c r="AB446" s="273">
        <f t="shared" si="96"/>
        <v>1</v>
      </c>
    </row>
    <row r="447" spans="12:28">
      <c r="L447" s="246">
        <v>159</v>
      </c>
      <c r="M447" s="248"/>
      <c r="N447" s="248"/>
      <c r="O447" s="248"/>
      <c r="P447" s="248"/>
      <c r="Q447" s="248"/>
      <c r="R447" s="248"/>
      <c r="S447" s="248"/>
      <c r="T447" s="248"/>
      <c r="U447" s="248"/>
      <c r="V447" s="248"/>
      <c r="W447" s="260" t="e">
        <v>#DIV/0!</v>
      </c>
      <c r="X447" s="272">
        <f t="shared" si="91"/>
        <v>0</v>
      </c>
      <c r="Y447" s="276" t="e">
        <v>#DIV/0!</v>
      </c>
      <c r="Z447" s="277" t="s">
        <v>2444</v>
      </c>
      <c r="AA447" s="263"/>
      <c r="AB447" s="264"/>
    </row>
    <row r="448" spans="12:29">
      <c r="L448" s="300">
        <v>160</v>
      </c>
      <c r="M448" s="287"/>
      <c r="N448" s="288"/>
      <c r="O448" s="288"/>
      <c r="P448" s="288"/>
      <c r="Q448" s="288"/>
      <c r="R448" s="288"/>
      <c r="S448" s="288"/>
      <c r="T448" s="288"/>
      <c r="U448" s="288"/>
      <c r="V448" s="293"/>
      <c r="W448" s="261" t="e">
        <v>#DIV/0!</v>
      </c>
      <c r="X448" s="294">
        <f t="shared" si="91"/>
        <v>0</v>
      </c>
      <c r="Y448" s="278">
        <f>SUM(X439:X448)</f>
        <v>0</v>
      </c>
      <c r="Z448" s="277" t="s">
        <v>2460</v>
      </c>
      <c r="AA448" s="263"/>
      <c r="AB448" s="263"/>
      <c r="AC448" s="264"/>
    </row>
    <row r="449" spans="12:32">
      <c r="L449" s="246">
        <v>161</v>
      </c>
      <c r="M449" s="248"/>
      <c r="N449" s="248"/>
      <c r="O449" s="248"/>
      <c r="P449" s="248"/>
      <c r="Q449" s="248"/>
      <c r="R449" s="248"/>
      <c r="S449" s="248"/>
      <c r="T449" s="248"/>
      <c r="U449" s="248"/>
      <c r="V449" s="248"/>
      <c r="W449" s="260" t="e">
        <v>#DIV/0!</v>
      </c>
      <c r="X449" s="272">
        <f t="shared" si="91"/>
        <v>0</v>
      </c>
      <c r="Z449" s="268" t="s">
        <v>2454</v>
      </c>
      <c r="AA449" s="268"/>
      <c r="AB449" s="269" t="s">
        <v>2425</v>
      </c>
      <c r="AC449" s="269"/>
      <c r="AD449" s="270" t="s">
        <v>2426</v>
      </c>
      <c r="AE449" s="270"/>
      <c r="AF449" s="23" t="s">
        <v>2427</v>
      </c>
    </row>
    <row r="450" spans="12:26">
      <c r="L450" s="244">
        <v>162</v>
      </c>
      <c r="M450" s="245"/>
      <c r="N450" s="245"/>
      <c r="O450" s="245"/>
      <c r="P450" s="245"/>
      <c r="Q450" s="245"/>
      <c r="R450" s="245"/>
      <c r="S450" s="245"/>
      <c r="T450" s="245"/>
      <c r="U450" s="245"/>
      <c r="V450" s="245"/>
      <c r="W450" s="259" t="e">
        <v>#DIV/0!</v>
      </c>
      <c r="X450" s="271">
        <f t="shared" si="91"/>
        <v>0</v>
      </c>
      <c r="Z450" s="23" t="s">
        <v>2429</v>
      </c>
    </row>
    <row r="451" spans="12:30">
      <c r="L451" s="246">
        <v>163</v>
      </c>
      <c r="M451" s="248"/>
      <c r="N451" s="248"/>
      <c r="O451" s="248"/>
      <c r="P451" s="248"/>
      <c r="Q451" s="248"/>
      <c r="R451" s="248"/>
      <c r="S451" s="248"/>
      <c r="T451" s="248"/>
      <c r="U451" s="248"/>
      <c r="V451" s="248"/>
      <c r="W451" s="260" t="e">
        <v>#DIV/0!</v>
      </c>
      <c r="X451" s="272">
        <f t="shared" si="91"/>
        <v>0</v>
      </c>
      <c r="Z451" s="128" t="s">
        <v>2466</v>
      </c>
      <c r="AA451" s="128">
        <f>COUNTIF(M449:V458,1)</f>
        <v>0</v>
      </c>
      <c r="AB451" s="273">
        <f t="shared" ref="AB451:AB456" si="98">(AA451/100)</f>
        <v>0</v>
      </c>
      <c r="AD451" s="23" t="s">
        <v>2431</v>
      </c>
    </row>
    <row r="452" spans="12:34">
      <c r="L452" s="244">
        <v>164</v>
      </c>
      <c r="M452" s="245"/>
      <c r="N452" s="245"/>
      <c r="O452" s="245"/>
      <c r="P452" s="245"/>
      <c r="Q452" s="245"/>
      <c r="R452" s="245"/>
      <c r="S452" s="245"/>
      <c r="T452" s="245"/>
      <c r="U452" s="245"/>
      <c r="V452" s="245"/>
      <c r="W452" s="259" t="e">
        <v>#DIV/0!</v>
      </c>
      <c r="X452" s="271">
        <f t="shared" si="91"/>
        <v>0</v>
      </c>
      <c r="Z452" s="128" t="s">
        <v>2457</v>
      </c>
      <c r="AA452" s="128">
        <f>COUNTIF(M449:V458,2)</f>
        <v>0</v>
      </c>
      <c r="AB452" s="273">
        <f t="shared" si="98"/>
        <v>0</v>
      </c>
      <c r="AD452" s="274" t="s">
        <v>2434</v>
      </c>
      <c r="AE452" s="275"/>
      <c r="AF452" s="280" t="s">
        <v>2435</v>
      </c>
      <c r="AG452" s="275" t="s">
        <v>2436</v>
      </c>
      <c r="AH452" s="281"/>
    </row>
    <row r="453" spans="12:33">
      <c r="L453" s="246">
        <v>165</v>
      </c>
      <c r="M453" s="248"/>
      <c r="N453" s="248"/>
      <c r="O453" s="248"/>
      <c r="P453" s="248"/>
      <c r="Q453" s="248"/>
      <c r="R453" s="248"/>
      <c r="S453" s="248"/>
      <c r="T453" s="248"/>
      <c r="U453" s="248"/>
      <c r="V453" s="248"/>
      <c r="W453" s="260" t="e">
        <v>#DIV/0!</v>
      </c>
      <c r="X453" s="272">
        <f t="shared" si="91"/>
        <v>0</v>
      </c>
      <c r="Z453" s="128" t="s">
        <v>2437</v>
      </c>
      <c r="AA453" s="128">
        <f>COUNTIF(M449:V458,5)</f>
        <v>0</v>
      </c>
      <c r="AB453" s="273">
        <f t="shared" si="98"/>
        <v>0</v>
      </c>
      <c r="AD453" s="23" t="s">
        <v>2438</v>
      </c>
      <c r="AF453" s="128">
        <v>0</v>
      </c>
      <c r="AG453" s="282">
        <f t="shared" ref="AG453:AG455" si="99">(AF453/100)</f>
        <v>0</v>
      </c>
    </row>
    <row r="454" spans="12:33">
      <c r="L454" s="244">
        <v>166</v>
      </c>
      <c r="M454" s="245"/>
      <c r="N454" s="245"/>
      <c r="O454" s="245"/>
      <c r="P454" s="245"/>
      <c r="Q454" s="245"/>
      <c r="R454" s="245"/>
      <c r="S454" s="245"/>
      <c r="T454" s="245"/>
      <c r="U454" s="245"/>
      <c r="V454" s="245"/>
      <c r="W454" s="259" t="e">
        <v>#DIV/0!</v>
      </c>
      <c r="X454" s="271">
        <f t="shared" si="91"/>
        <v>0</v>
      </c>
      <c r="Z454" s="128" t="s">
        <v>2472</v>
      </c>
      <c r="AA454" s="128">
        <f>COUNTIF(M449:V458,6)</f>
        <v>0</v>
      </c>
      <c r="AB454" s="273">
        <f t="shared" si="98"/>
        <v>0</v>
      </c>
      <c r="AD454" s="23" t="s">
        <v>2524</v>
      </c>
      <c r="AF454" s="128">
        <v>0</v>
      </c>
      <c r="AG454" s="282">
        <f t="shared" si="99"/>
        <v>0</v>
      </c>
    </row>
    <row r="455" spans="12:33">
      <c r="L455" s="246">
        <v>167</v>
      </c>
      <c r="M455" s="248"/>
      <c r="N455" s="248"/>
      <c r="O455" s="248"/>
      <c r="P455" s="248"/>
      <c r="Q455" s="248"/>
      <c r="R455" s="248"/>
      <c r="S455" s="248"/>
      <c r="T455" s="248"/>
      <c r="U455" s="248"/>
      <c r="V455" s="248"/>
      <c r="W455" s="260" t="e">
        <v>#DIV/0!</v>
      </c>
      <c r="X455" s="272">
        <f t="shared" si="91"/>
        <v>0</v>
      </c>
      <c r="Z455" s="128" t="s">
        <v>2456</v>
      </c>
      <c r="AA455" s="128">
        <f>COUNTIF(M449:V458,10)</f>
        <v>0</v>
      </c>
      <c r="AB455" s="273">
        <f t="shared" si="98"/>
        <v>0</v>
      </c>
      <c r="AD455" s="23" t="s">
        <v>2454</v>
      </c>
      <c r="AF455" s="128">
        <v>0</v>
      </c>
      <c r="AG455" s="282">
        <f t="shared" si="99"/>
        <v>0</v>
      </c>
    </row>
    <row r="456" spans="12:28">
      <c r="L456" s="244">
        <v>168</v>
      </c>
      <c r="M456" s="245"/>
      <c r="N456" s="245"/>
      <c r="O456" s="245"/>
      <c r="P456" s="245"/>
      <c r="Q456" s="245"/>
      <c r="R456" s="245"/>
      <c r="S456" s="245"/>
      <c r="T456" s="245"/>
      <c r="U456" s="245"/>
      <c r="V456" s="245"/>
      <c r="W456" s="259" t="e">
        <v>#DIV/0!</v>
      </c>
      <c r="X456" s="271">
        <f t="shared" si="91"/>
        <v>0</v>
      </c>
      <c r="Z456" s="128" t="s">
        <v>2467</v>
      </c>
      <c r="AA456" s="128">
        <f>COUNTBLANK(M449:V458)</f>
        <v>100</v>
      </c>
      <c r="AB456" s="273">
        <f t="shared" si="98"/>
        <v>1</v>
      </c>
    </row>
    <row r="457" spans="12:28">
      <c r="L457" s="246">
        <v>169</v>
      </c>
      <c r="M457" s="248"/>
      <c r="N457" s="248"/>
      <c r="O457" s="248"/>
      <c r="P457" s="248"/>
      <c r="Q457" s="248"/>
      <c r="R457" s="248"/>
      <c r="S457" s="248"/>
      <c r="T457" s="248"/>
      <c r="U457" s="248"/>
      <c r="V457" s="248"/>
      <c r="W457" s="260" t="e">
        <v>#DIV/0!</v>
      </c>
      <c r="X457" s="272">
        <f t="shared" si="91"/>
        <v>0</v>
      </c>
      <c r="Y457" s="276" t="e">
        <v>#DIV/0!</v>
      </c>
      <c r="Z457" s="277" t="s">
        <v>2448</v>
      </c>
      <c r="AA457" s="263"/>
      <c r="AB457" s="264"/>
    </row>
    <row r="458" spans="12:29">
      <c r="L458" s="244">
        <v>170</v>
      </c>
      <c r="M458" s="287"/>
      <c r="N458" s="288"/>
      <c r="O458" s="288"/>
      <c r="P458" s="288"/>
      <c r="Q458" s="288"/>
      <c r="R458" s="288"/>
      <c r="S458" s="288"/>
      <c r="T458" s="288"/>
      <c r="U458" s="288"/>
      <c r="V458" s="293"/>
      <c r="W458" s="261" t="e">
        <v>#DIV/0!</v>
      </c>
      <c r="X458" s="294">
        <f t="shared" si="91"/>
        <v>0</v>
      </c>
      <c r="Y458" s="278">
        <f>SUM(X449:X458)</f>
        <v>0</v>
      </c>
      <c r="Z458" s="277" t="s">
        <v>2460</v>
      </c>
      <c r="AA458" s="263"/>
      <c r="AB458" s="263"/>
      <c r="AC458" s="264"/>
    </row>
    <row r="459" spans="12:32">
      <c r="L459" s="241">
        <v>171</v>
      </c>
      <c r="M459" s="248"/>
      <c r="N459" s="248"/>
      <c r="O459" s="248"/>
      <c r="P459" s="248"/>
      <c r="Q459" s="248"/>
      <c r="R459" s="248"/>
      <c r="S459" s="248"/>
      <c r="T459" s="248"/>
      <c r="U459" s="248"/>
      <c r="V459" s="248"/>
      <c r="W459" s="260" t="e">
        <v>#DIV/0!</v>
      </c>
      <c r="X459" s="272">
        <f t="shared" si="91"/>
        <v>0</v>
      </c>
      <c r="Z459" s="268" t="s">
        <v>2424</v>
      </c>
      <c r="AA459" s="268"/>
      <c r="AB459" s="269" t="s">
        <v>2425</v>
      </c>
      <c r="AC459" s="269"/>
      <c r="AD459" s="270" t="s">
        <v>2426</v>
      </c>
      <c r="AE459" s="270"/>
      <c r="AF459" s="23" t="s">
        <v>2427</v>
      </c>
    </row>
    <row r="460" spans="12:26">
      <c r="L460" s="244">
        <v>172</v>
      </c>
      <c r="M460" s="245"/>
      <c r="N460" s="245"/>
      <c r="O460" s="245"/>
      <c r="P460" s="245"/>
      <c r="Q460" s="245"/>
      <c r="R460" s="245"/>
      <c r="S460" s="245"/>
      <c r="T460" s="245"/>
      <c r="U460" s="245"/>
      <c r="V460" s="245"/>
      <c r="W460" s="259" t="e">
        <v>#DIV/0!</v>
      </c>
      <c r="X460" s="271">
        <f t="shared" si="91"/>
        <v>0</v>
      </c>
      <c r="Z460" s="23" t="s">
        <v>2429</v>
      </c>
    </row>
    <row r="461" spans="12:30">
      <c r="L461" s="246">
        <v>173</v>
      </c>
      <c r="M461" s="248"/>
      <c r="N461" s="248"/>
      <c r="O461" s="248"/>
      <c r="P461" s="248"/>
      <c r="Q461" s="248"/>
      <c r="R461" s="248"/>
      <c r="S461" s="248"/>
      <c r="T461" s="248"/>
      <c r="U461" s="248"/>
      <c r="V461" s="248"/>
      <c r="W461" s="260" t="e">
        <v>#DIV/0!</v>
      </c>
      <c r="X461" s="272">
        <f t="shared" si="91"/>
        <v>0</v>
      </c>
      <c r="Z461" s="128" t="s">
        <v>2466</v>
      </c>
      <c r="AA461" s="128">
        <f>COUNTIF(M459:V468,1)</f>
        <v>0</v>
      </c>
      <c r="AB461" s="273">
        <f t="shared" ref="AB461:AB466" si="100">(AA461/100)</f>
        <v>0</v>
      </c>
      <c r="AD461" s="23" t="s">
        <v>2431</v>
      </c>
    </row>
    <row r="462" spans="12:34">
      <c r="L462" s="244">
        <v>174</v>
      </c>
      <c r="M462" s="245"/>
      <c r="N462" s="245"/>
      <c r="O462" s="245"/>
      <c r="P462" s="245"/>
      <c r="Q462" s="245"/>
      <c r="R462" s="245"/>
      <c r="S462" s="245"/>
      <c r="T462" s="245"/>
      <c r="U462" s="245"/>
      <c r="V462" s="245"/>
      <c r="W462" s="259" t="e">
        <v>#DIV/0!</v>
      </c>
      <c r="X462" s="271">
        <f t="shared" si="91"/>
        <v>0</v>
      </c>
      <c r="Z462" s="128" t="s">
        <v>2457</v>
      </c>
      <c r="AA462" s="128">
        <f>COUNTIF(M459:V468,2)</f>
        <v>0</v>
      </c>
      <c r="AB462" s="273">
        <f t="shared" si="100"/>
        <v>0</v>
      </c>
      <c r="AD462" s="274" t="s">
        <v>2434</v>
      </c>
      <c r="AE462" s="275"/>
      <c r="AF462" s="280" t="s">
        <v>2435</v>
      </c>
      <c r="AG462" s="275" t="s">
        <v>2436</v>
      </c>
      <c r="AH462" s="281"/>
    </row>
    <row r="463" spans="12:33">
      <c r="L463" s="246">
        <v>175</v>
      </c>
      <c r="M463" s="248"/>
      <c r="N463" s="248"/>
      <c r="O463" s="248"/>
      <c r="P463" s="248"/>
      <c r="Q463" s="248"/>
      <c r="R463" s="248"/>
      <c r="S463" s="248"/>
      <c r="T463" s="248"/>
      <c r="U463" s="248"/>
      <c r="V463" s="248"/>
      <c r="W463" s="260" t="e">
        <v>#DIV/0!</v>
      </c>
      <c r="X463" s="272">
        <f t="shared" si="91"/>
        <v>0</v>
      </c>
      <c r="Z463" s="128" t="s">
        <v>2437</v>
      </c>
      <c r="AA463" s="128">
        <f>COUNTIF(M459:V468,5)</f>
        <v>0</v>
      </c>
      <c r="AB463" s="273">
        <f t="shared" si="100"/>
        <v>0</v>
      </c>
      <c r="AD463" s="23" t="s">
        <v>2438</v>
      </c>
      <c r="AF463" s="128">
        <v>0</v>
      </c>
      <c r="AG463" s="282">
        <f t="shared" ref="AG463:AG465" si="101">(AF463/100)</f>
        <v>0</v>
      </c>
    </row>
    <row r="464" spans="12:33">
      <c r="L464" s="244">
        <v>176</v>
      </c>
      <c r="M464" s="245"/>
      <c r="N464" s="245"/>
      <c r="O464" s="245"/>
      <c r="P464" s="245"/>
      <c r="Q464" s="245"/>
      <c r="R464" s="245"/>
      <c r="S464" s="245"/>
      <c r="T464" s="245"/>
      <c r="U464" s="245"/>
      <c r="V464" s="245"/>
      <c r="W464" s="259" t="e">
        <v>#DIV/0!</v>
      </c>
      <c r="X464" s="271">
        <f t="shared" si="91"/>
        <v>0</v>
      </c>
      <c r="Z464" s="128" t="s">
        <v>2472</v>
      </c>
      <c r="AA464" s="128">
        <f>COUNTIF(M459:V468,6)</f>
        <v>0</v>
      </c>
      <c r="AB464" s="273">
        <f t="shared" si="100"/>
        <v>0</v>
      </c>
      <c r="AD464" s="23" t="s">
        <v>2440</v>
      </c>
      <c r="AF464" s="128">
        <v>0</v>
      </c>
      <c r="AG464" s="282">
        <f t="shared" si="101"/>
        <v>0</v>
      </c>
    </row>
    <row r="465" spans="12:33">
      <c r="L465" s="246">
        <v>177</v>
      </c>
      <c r="M465" s="248"/>
      <c r="N465" s="248"/>
      <c r="O465" s="248"/>
      <c r="P465" s="248"/>
      <c r="Q465" s="248"/>
      <c r="R465" s="248"/>
      <c r="S465" s="248"/>
      <c r="T465" s="248"/>
      <c r="U465" s="248"/>
      <c r="V465" s="248"/>
      <c r="W465" s="260" t="e">
        <v>#DIV/0!</v>
      </c>
      <c r="X465" s="272">
        <f t="shared" si="91"/>
        <v>0</v>
      </c>
      <c r="Z465" s="128" t="s">
        <v>2456</v>
      </c>
      <c r="AA465" s="128">
        <f>COUNTIF(M459:V468,10)</f>
        <v>0</v>
      </c>
      <c r="AB465" s="273">
        <f t="shared" si="100"/>
        <v>0</v>
      </c>
      <c r="AD465" s="23" t="s">
        <v>2454</v>
      </c>
      <c r="AF465" s="128">
        <v>0</v>
      </c>
      <c r="AG465" s="282">
        <f t="shared" si="101"/>
        <v>0</v>
      </c>
    </row>
    <row r="466" spans="12:28">
      <c r="L466" s="244">
        <v>178</v>
      </c>
      <c r="M466" s="245"/>
      <c r="N466" s="245"/>
      <c r="O466" s="245"/>
      <c r="P466" s="245"/>
      <c r="Q466" s="245"/>
      <c r="R466" s="245"/>
      <c r="S466" s="245"/>
      <c r="T466" s="245"/>
      <c r="U466" s="245"/>
      <c r="V466" s="245"/>
      <c r="W466" s="259" t="e">
        <v>#DIV/0!</v>
      </c>
      <c r="X466" s="271">
        <f t="shared" si="91"/>
        <v>0</v>
      </c>
      <c r="Z466" s="128" t="s">
        <v>2467</v>
      </c>
      <c r="AA466" s="128">
        <f>COUNTBLANK(M459:V468)</f>
        <v>100</v>
      </c>
      <c r="AB466" s="273">
        <f t="shared" si="100"/>
        <v>1</v>
      </c>
    </row>
    <row r="467" spans="12:28">
      <c r="L467" s="246">
        <v>179</v>
      </c>
      <c r="M467" s="248"/>
      <c r="N467" s="248"/>
      <c r="O467" s="248"/>
      <c r="P467" s="248"/>
      <c r="Q467" s="248"/>
      <c r="R467" s="248"/>
      <c r="S467" s="248"/>
      <c r="T467" s="248"/>
      <c r="U467" s="248"/>
      <c r="V467" s="248"/>
      <c r="W467" s="260" t="e">
        <v>#DIV/0!</v>
      </c>
      <c r="X467" s="272">
        <f t="shared" si="91"/>
        <v>0</v>
      </c>
      <c r="Y467" s="276" t="e">
        <v>#DIV/0!</v>
      </c>
      <c r="Z467" s="277" t="s">
        <v>2444</v>
      </c>
      <c r="AA467" s="263"/>
      <c r="AB467" s="264"/>
    </row>
    <row r="468" spans="12:29">
      <c r="L468" s="244">
        <v>180</v>
      </c>
      <c r="M468" s="287"/>
      <c r="N468" s="288"/>
      <c r="O468" s="288"/>
      <c r="P468" s="288"/>
      <c r="Q468" s="288"/>
      <c r="R468" s="288"/>
      <c r="S468" s="288"/>
      <c r="T468" s="288"/>
      <c r="U468" s="288"/>
      <c r="V468" s="293"/>
      <c r="W468" s="261" t="e">
        <v>#DIV/0!</v>
      </c>
      <c r="X468" s="294">
        <f t="shared" si="91"/>
        <v>0</v>
      </c>
      <c r="Y468" s="278">
        <f>SUM(X459:X468)</f>
        <v>0</v>
      </c>
      <c r="Z468" s="277" t="s">
        <v>2516</v>
      </c>
      <c r="AA468" s="263"/>
      <c r="AB468" s="263"/>
      <c r="AC468" s="264"/>
    </row>
    <row r="469" spans="12:32">
      <c r="L469" s="241">
        <v>181</v>
      </c>
      <c r="M469" s="248"/>
      <c r="N469" s="248"/>
      <c r="O469" s="248"/>
      <c r="P469" s="248"/>
      <c r="Q469" s="248"/>
      <c r="R469" s="248"/>
      <c r="S469" s="248"/>
      <c r="T469" s="248"/>
      <c r="U469" s="248"/>
      <c r="V469" s="248"/>
      <c r="W469" s="260" t="e">
        <v>#DIV/0!</v>
      </c>
      <c r="X469" s="272">
        <f t="shared" si="91"/>
        <v>0</v>
      </c>
      <c r="Z469" s="268" t="s">
        <v>2454</v>
      </c>
      <c r="AA469" s="268"/>
      <c r="AB469" s="269" t="s">
        <v>2425</v>
      </c>
      <c r="AC469" s="269"/>
      <c r="AD469" s="270" t="s">
        <v>2426</v>
      </c>
      <c r="AE469" s="270"/>
      <c r="AF469" s="23" t="s">
        <v>2427</v>
      </c>
    </row>
    <row r="470" spans="12:26">
      <c r="L470" s="244">
        <v>182</v>
      </c>
      <c r="M470" s="245"/>
      <c r="N470" s="245"/>
      <c r="O470" s="245"/>
      <c r="P470" s="245"/>
      <c r="Q470" s="245"/>
      <c r="R470" s="245"/>
      <c r="S470" s="245"/>
      <c r="T470" s="245"/>
      <c r="U470" s="245"/>
      <c r="V470" s="245"/>
      <c r="W470" s="259" t="e">
        <v>#DIV/0!</v>
      </c>
      <c r="X470" s="271">
        <f t="shared" si="91"/>
        <v>0</v>
      </c>
      <c r="Z470" s="23" t="s">
        <v>2429</v>
      </c>
    </row>
    <row r="471" spans="12:30">
      <c r="L471" s="246">
        <v>183</v>
      </c>
      <c r="M471" s="248"/>
      <c r="N471" s="248"/>
      <c r="O471" s="248"/>
      <c r="P471" s="248"/>
      <c r="Q471" s="248"/>
      <c r="R471" s="248"/>
      <c r="S471" s="248"/>
      <c r="T471" s="248"/>
      <c r="U471" s="248"/>
      <c r="V471" s="248"/>
      <c r="W471" s="260" t="e">
        <v>#DIV/0!</v>
      </c>
      <c r="X471" s="272">
        <f t="shared" si="91"/>
        <v>0</v>
      </c>
      <c r="Z471" s="128" t="s">
        <v>2466</v>
      </c>
      <c r="AA471" s="128">
        <f>COUNTIF(M469:V478,1)</f>
        <v>0</v>
      </c>
      <c r="AB471" s="273">
        <f t="shared" ref="AB471:AB476" si="102">(AA471/100)</f>
        <v>0</v>
      </c>
      <c r="AD471" s="23" t="s">
        <v>2431</v>
      </c>
    </row>
    <row r="472" spans="12:34">
      <c r="L472" s="244">
        <v>184</v>
      </c>
      <c r="M472" s="245"/>
      <c r="N472" s="245"/>
      <c r="O472" s="245"/>
      <c r="P472" s="245"/>
      <c r="Q472" s="245"/>
      <c r="R472" s="245"/>
      <c r="S472" s="245"/>
      <c r="T472" s="245"/>
      <c r="U472" s="245"/>
      <c r="V472" s="245"/>
      <c r="W472" s="259" t="e">
        <v>#DIV/0!</v>
      </c>
      <c r="X472" s="271">
        <f t="shared" si="91"/>
        <v>0</v>
      </c>
      <c r="Z472" s="128" t="s">
        <v>2457</v>
      </c>
      <c r="AA472" s="128">
        <f>COUNTIF(M469:V478,2)</f>
        <v>0</v>
      </c>
      <c r="AB472" s="273">
        <f t="shared" si="102"/>
        <v>0</v>
      </c>
      <c r="AD472" s="274" t="s">
        <v>2434</v>
      </c>
      <c r="AE472" s="275"/>
      <c r="AF472" s="280" t="s">
        <v>2435</v>
      </c>
      <c r="AG472" s="275" t="s">
        <v>2436</v>
      </c>
      <c r="AH472" s="281"/>
    </row>
    <row r="473" spans="12:33">
      <c r="L473" s="246">
        <v>185</v>
      </c>
      <c r="M473" s="248"/>
      <c r="N473" s="248"/>
      <c r="O473" s="248"/>
      <c r="P473" s="248"/>
      <c r="Q473" s="248"/>
      <c r="R473" s="248"/>
      <c r="S473" s="248"/>
      <c r="T473" s="248"/>
      <c r="U473" s="248"/>
      <c r="V473" s="248"/>
      <c r="W473" s="260" t="e">
        <v>#DIV/0!</v>
      </c>
      <c r="X473" s="272">
        <f t="shared" si="91"/>
        <v>0</v>
      </c>
      <c r="Z473" s="128" t="s">
        <v>2437</v>
      </c>
      <c r="AA473" s="128">
        <f>COUNTIF(M469:V478,5)</f>
        <v>0</v>
      </c>
      <c r="AB473" s="273">
        <f t="shared" si="102"/>
        <v>0</v>
      </c>
      <c r="AD473" s="23" t="s">
        <v>2447</v>
      </c>
      <c r="AF473" s="128">
        <v>0</v>
      </c>
      <c r="AG473" s="282">
        <f t="shared" ref="AG473:AG475" si="103">(AF473/100)</f>
        <v>0</v>
      </c>
    </row>
    <row r="474" spans="12:33">
      <c r="L474" s="244">
        <v>186</v>
      </c>
      <c r="M474" s="245"/>
      <c r="N474" s="245"/>
      <c r="O474" s="245"/>
      <c r="P474" s="245"/>
      <c r="Q474" s="245"/>
      <c r="R474" s="245"/>
      <c r="S474" s="245"/>
      <c r="T474" s="245"/>
      <c r="U474" s="245"/>
      <c r="V474" s="245"/>
      <c r="W474" s="259" t="e">
        <v>#DIV/0!</v>
      </c>
      <c r="X474" s="271">
        <f t="shared" si="91"/>
        <v>0</v>
      </c>
      <c r="Z474" s="128" t="s">
        <v>2472</v>
      </c>
      <c r="AA474" s="128">
        <f>COUNTIF(M469:V478,6)</f>
        <v>0</v>
      </c>
      <c r="AB474" s="273">
        <f t="shared" si="102"/>
        <v>0</v>
      </c>
      <c r="AD474" s="23" t="s">
        <v>2440</v>
      </c>
      <c r="AF474" s="128">
        <v>0</v>
      </c>
      <c r="AG474" s="282">
        <f t="shared" si="103"/>
        <v>0</v>
      </c>
    </row>
    <row r="475" spans="12:33">
      <c r="L475" s="246">
        <v>187</v>
      </c>
      <c r="M475" s="248"/>
      <c r="N475" s="248"/>
      <c r="O475" s="248"/>
      <c r="P475" s="248"/>
      <c r="Q475" s="248"/>
      <c r="R475" s="248"/>
      <c r="S475" s="248"/>
      <c r="T475" s="248"/>
      <c r="U475" s="248"/>
      <c r="V475" s="248"/>
      <c r="W475" s="260" t="e">
        <v>#DIV/0!</v>
      </c>
      <c r="X475" s="272">
        <f t="shared" si="91"/>
        <v>0</v>
      </c>
      <c r="Z475" s="128" t="s">
        <v>2456</v>
      </c>
      <c r="AA475" s="128">
        <f>COUNTIF(M469:V478,10)</f>
        <v>0</v>
      </c>
      <c r="AB475" s="273">
        <f t="shared" si="102"/>
        <v>0</v>
      </c>
      <c r="AD475" s="23" t="s">
        <v>2454</v>
      </c>
      <c r="AF475" s="128">
        <v>0</v>
      </c>
      <c r="AG475" s="282">
        <f t="shared" si="103"/>
        <v>0</v>
      </c>
    </row>
    <row r="476" spans="12:28">
      <c r="L476" s="244">
        <v>188</v>
      </c>
      <c r="M476" s="245"/>
      <c r="N476" s="245"/>
      <c r="O476" s="245"/>
      <c r="P476" s="245"/>
      <c r="Q476" s="245"/>
      <c r="R476" s="245"/>
      <c r="S476" s="245"/>
      <c r="T476" s="245"/>
      <c r="U476" s="245"/>
      <c r="V476" s="245"/>
      <c r="W476" s="259" t="e">
        <v>#DIV/0!</v>
      </c>
      <c r="X476" s="271">
        <f t="shared" si="91"/>
        <v>0</v>
      </c>
      <c r="Z476" s="128" t="s">
        <v>2467</v>
      </c>
      <c r="AA476" s="128">
        <f>COUNTBLANK(M469:V478)</f>
        <v>100</v>
      </c>
      <c r="AB476" s="273">
        <f t="shared" si="102"/>
        <v>1</v>
      </c>
    </row>
    <row r="477" spans="12:28">
      <c r="L477" s="246">
        <v>189</v>
      </c>
      <c r="M477" s="248"/>
      <c r="N477" s="248"/>
      <c r="O477" s="248"/>
      <c r="P477" s="248"/>
      <c r="Q477" s="248"/>
      <c r="R477" s="248"/>
      <c r="S477" s="248"/>
      <c r="T477" s="248"/>
      <c r="U477" s="248"/>
      <c r="V477" s="248"/>
      <c r="W477" s="260" t="e">
        <v>#DIV/0!</v>
      </c>
      <c r="X477" s="272">
        <f t="shared" si="91"/>
        <v>0</v>
      </c>
      <c r="Y477" s="276" t="e">
        <v>#DIV/0!</v>
      </c>
      <c r="Z477" s="277" t="s">
        <v>2444</v>
      </c>
      <c r="AA477" s="263"/>
      <c r="AB477" s="264"/>
    </row>
    <row r="478" spans="12:29">
      <c r="L478" s="244">
        <v>190</v>
      </c>
      <c r="M478" s="287"/>
      <c r="N478" s="288"/>
      <c r="O478" s="288"/>
      <c r="P478" s="288"/>
      <c r="Q478" s="288"/>
      <c r="R478" s="288"/>
      <c r="S478" s="288"/>
      <c r="T478" s="288"/>
      <c r="U478" s="288"/>
      <c r="V478" s="293"/>
      <c r="W478" s="261" t="e">
        <v>#DIV/0!</v>
      </c>
      <c r="X478" s="294">
        <f t="shared" si="91"/>
        <v>0</v>
      </c>
      <c r="Y478" s="278">
        <f>SUM(X469:X478)</f>
        <v>0</v>
      </c>
      <c r="Z478" s="277" t="s">
        <v>2460</v>
      </c>
      <c r="AA478" s="263"/>
      <c r="AB478" s="263"/>
      <c r="AC478" s="264"/>
    </row>
    <row r="479" spans="12:32">
      <c r="L479" s="241">
        <v>191</v>
      </c>
      <c r="M479" s="248"/>
      <c r="N479" s="248"/>
      <c r="O479" s="248"/>
      <c r="P479" s="248"/>
      <c r="Q479" s="248"/>
      <c r="R479" s="248"/>
      <c r="S479" s="248"/>
      <c r="T479" s="248"/>
      <c r="U479" s="248"/>
      <c r="V479" s="248"/>
      <c r="W479" s="260" t="e">
        <v>#DIV/0!</v>
      </c>
      <c r="X479" s="272">
        <f t="shared" si="91"/>
        <v>0</v>
      </c>
      <c r="Z479" s="268" t="s">
        <v>2454</v>
      </c>
      <c r="AA479" s="268"/>
      <c r="AB479" s="269" t="s">
        <v>2425</v>
      </c>
      <c r="AC479" s="269"/>
      <c r="AD479" s="270" t="s">
        <v>2426</v>
      </c>
      <c r="AE479" s="270"/>
      <c r="AF479" s="23" t="s">
        <v>2427</v>
      </c>
    </row>
    <row r="480" spans="12:26">
      <c r="L480" s="244">
        <v>192</v>
      </c>
      <c r="M480" s="245"/>
      <c r="N480" s="245"/>
      <c r="O480" s="245"/>
      <c r="P480" s="245"/>
      <c r="Q480" s="245"/>
      <c r="R480" s="245"/>
      <c r="S480" s="245"/>
      <c r="T480" s="245"/>
      <c r="U480" s="245"/>
      <c r="V480" s="245"/>
      <c r="W480" s="259" t="e">
        <v>#DIV/0!</v>
      </c>
      <c r="X480" s="271">
        <f t="shared" si="91"/>
        <v>0</v>
      </c>
      <c r="Z480" s="23" t="s">
        <v>2429</v>
      </c>
    </row>
    <row r="481" spans="12:30">
      <c r="L481" s="246">
        <v>193</v>
      </c>
      <c r="M481" s="248"/>
      <c r="N481" s="248"/>
      <c r="O481" s="248"/>
      <c r="P481" s="248"/>
      <c r="Q481" s="248"/>
      <c r="R481" s="248"/>
      <c r="S481" s="248"/>
      <c r="T481" s="248"/>
      <c r="U481" s="248"/>
      <c r="V481" s="248"/>
      <c r="W481" s="260" t="e">
        <v>#DIV/0!</v>
      </c>
      <c r="X481" s="272">
        <f t="shared" ref="X481:X488" si="104">SUM(M481:V481)</f>
        <v>0</v>
      </c>
      <c r="Z481" s="128" t="s">
        <v>2466</v>
      </c>
      <c r="AA481" s="128">
        <f>COUNTIF(M479:V488,1)</f>
        <v>0</v>
      </c>
      <c r="AB481" s="273">
        <f t="shared" ref="AB481:AB486" si="105">(AA481/100)</f>
        <v>0</v>
      </c>
      <c r="AD481" s="23" t="s">
        <v>2431</v>
      </c>
    </row>
    <row r="482" spans="12:34">
      <c r="L482" s="244">
        <v>194</v>
      </c>
      <c r="M482" s="245"/>
      <c r="N482" s="245"/>
      <c r="O482" s="245"/>
      <c r="P482" s="245"/>
      <c r="Q482" s="245"/>
      <c r="R482" s="245"/>
      <c r="S482" s="245"/>
      <c r="T482" s="245"/>
      <c r="U482" s="245"/>
      <c r="V482" s="245"/>
      <c r="W482" s="259" t="e">
        <v>#DIV/0!</v>
      </c>
      <c r="X482" s="271">
        <f t="shared" si="104"/>
        <v>0</v>
      </c>
      <c r="Z482" s="128" t="s">
        <v>2457</v>
      </c>
      <c r="AA482" s="128">
        <f>COUNTIF(M479:V488,2)</f>
        <v>0</v>
      </c>
      <c r="AB482" s="273">
        <f t="shared" si="105"/>
        <v>0</v>
      </c>
      <c r="AD482" s="274" t="s">
        <v>2434</v>
      </c>
      <c r="AE482" s="275"/>
      <c r="AF482" s="280" t="s">
        <v>2435</v>
      </c>
      <c r="AG482" s="275" t="s">
        <v>2436</v>
      </c>
      <c r="AH482" s="281"/>
    </row>
    <row r="483" spans="12:33">
      <c r="L483" s="246">
        <v>195</v>
      </c>
      <c r="M483" s="248"/>
      <c r="N483" s="248"/>
      <c r="O483" s="248"/>
      <c r="P483" s="248"/>
      <c r="Q483" s="248"/>
      <c r="R483" s="248"/>
      <c r="S483" s="248"/>
      <c r="T483" s="248"/>
      <c r="U483" s="248"/>
      <c r="V483" s="248"/>
      <c r="W483" s="260" t="e">
        <v>#DIV/0!</v>
      </c>
      <c r="X483" s="272">
        <f t="shared" si="104"/>
        <v>0</v>
      </c>
      <c r="Z483" s="128" t="s">
        <v>2437</v>
      </c>
      <c r="AA483" s="128">
        <f>COUNTIF(M479:V488,5)</f>
        <v>0</v>
      </c>
      <c r="AB483" s="273">
        <f t="shared" si="105"/>
        <v>0</v>
      </c>
      <c r="AD483" s="23" t="s">
        <v>2438</v>
      </c>
      <c r="AF483" s="128">
        <v>0</v>
      </c>
      <c r="AG483" s="282">
        <f t="shared" ref="AG483:AG485" si="106">(AF483/100)</f>
        <v>0</v>
      </c>
    </row>
    <row r="484" spans="12:33">
      <c r="L484" s="244">
        <v>196</v>
      </c>
      <c r="M484" s="245"/>
      <c r="N484" s="245"/>
      <c r="O484" s="245"/>
      <c r="P484" s="245"/>
      <c r="Q484" s="245"/>
      <c r="R484" s="245"/>
      <c r="S484" s="245"/>
      <c r="T484" s="245"/>
      <c r="U484" s="245"/>
      <c r="V484" s="245"/>
      <c r="W484" s="259" t="e">
        <v>#DIV/0!</v>
      </c>
      <c r="X484" s="271">
        <f t="shared" si="104"/>
        <v>0</v>
      </c>
      <c r="Z484" s="128" t="s">
        <v>2472</v>
      </c>
      <c r="AA484" s="128">
        <f>COUNTIF(M479:V488,6)</f>
        <v>0</v>
      </c>
      <c r="AB484" s="273">
        <f t="shared" si="105"/>
        <v>0</v>
      </c>
      <c r="AD484" s="23" t="s">
        <v>2440</v>
      </c>
      <c r="AF484" s="128">
        <v>0</v>
      </c>
      <c r="AG484" s="282">
        <f t="shared" si="106"/>
        <v>0</v>
      </c>
    </row>
    <row r="485" spans="12:33">
      <c r="L485" s="246">
        <v>197</v>
      </c>
      <c r="M485" s="248"/>
      <c r="N485" s="248"/>
      <c r="O485" s="248"/>
      <c r="P485" s="248"/>
      <c r="Q485" s="248"/>
      <c r="R485" s="248"/>
      <c r="S485" s="248"/>
      <c r="T485" s="248"/>
      <c r="U485" s="248"/>
      <c r="V485" s="248"/>
      <c r="W485" s="260" t="e">
        <v>#DIV/0!</v>
      </c>
      <c r="X485" s="272">
        <f t="shared" si="104"/>
        <v>0</v>
      </c>
      <c r="Z485" s="128" t="s">
        <v>2456</v>
      </c>
      <c r="AA485" s="128">
        <f>COUNTIF(M479:V488,10)</f>
        <v>0</v>
      </c>
      <c r="AB485" s="273">
        <f t="shared" si="105"/>
        <v>0</v>
      </c>
      <c r="AD485" s="23" t="s">
        <v>2424</v>
      </c>
      <c r="AF485" s="128">
        <v>0</v>
      </c>
      <c r="AG485" s="282">
        <f t="shared" si="106"/>
        <v>0</v>
      </c>
    </row>
    <row r="486" spans="12:28">
      <c r="L486" s="244">
        <v>198</v>
      </c>
      <c r="M486" s="245"/>
      <c r="N486" s="245"/>
      <c r="O486" s="245"/>
      <c r="P486" s="245"/>
      <c r="Q486" s="245"/>
      <c r="R486" s="245"/>
      <c r="S486" s="245"/>
      <c r="T486" s="245"/>
      <c r="U486" s="245"/>
      <c r="V486" s="245"/>
      <c r="W486" s="259" t="e">
        <v>#DIV/0!</v>
      </c>
      <c r="X486" s="271">
        <f t="shared" si="104"/>
        <v>0</v>
      </c>
      <c r="Z486" s="128" t="s">
        <v>2467</v>
      </c>
      <c r="AA486" s="128">
        <f>COUNTBLANK(M479:V488)</f>
        <v>100</v>
      </c>
      <c r="AB486" s="273">
        <f t="shared" si="105"/>
        <v>1</v>
      </c>
    </row>
    <row r="487" spans="12:37">
      <c r="L487" s="246">
        <v>199</v>
      </c>
      <c r="M487" s="248"/>
      <c r="N487" s="248"/>
      <c r="O487" s="248"/>
      <c r="P487" s="248"/>
      <c r="Q487" s="248"/>
      <c r="R487" s="248"/>
      <c r="S487" s="248"/>
      <c r="T487" s="248"/>
      <c r="U487" s="248"/>
      <c r="V487" s="248"/>
      <c r="W487" s="260" t="e">
        <v>#DIV/0!</v>
      </c>
      <c r="X487" s="272">
        <f t="shared" si="104"/>
        <v>0</v>
      </c>
      <c r="Y487" s="276" t="e">
        <v>#DIV/0!</v>
      </c>
      <c r="Z487" s="277" t="s">
        <v>2448</v>
      </c>
      <c r="AA487" s="263"/>
      <c r="AB487" s="264"/>
      <c r="AG487" s="265" t="e">
        <v>#DIV/0!</v>
      </c>
      <c r="AH487" s="385" t="s">
        <v>2507</v>
      </c>
      <c r="AI487" s="263"/>
      <c r="AJ487" s="263"/>
      <c r="AK487" s="386"/>
    </row>
    <row r="488" ht="15" customHeight="1" spans="12:37">
      <c r="L488" s="283">
        <v>200</v>
      </c>
      <c r="M488" s="284"/>
      <c r="N488" s="286"/>
      <c r="O488" s="286"/>
      <c r="P488" s="286"/>
      <c r="Q488" s="286"/>
      <c r="R488" s="286"/>
      <c r="S488" s="286"/>
      <c r="T488" s="286"/>
      <c r="U488" s="286"/>
      <c r="V488" s="290"/>
      <c r="W488" s="291" t="e">
        <v>#DIV/0!</v>
      </c>
      <c r="X488" s="295">
        <f t="shared" si="104"/>
        <v>0</v>
      </c>
      <c r="Y488" s="380">
        <f>SUM(X479:X488)</f>
        <v>0</v>
      </c>
      <c r="Z488" s="381" t="s">
        <v>2460</v>
      </c>
      <c r="AA488" s="382"/>
      <c r="AB488" s="382"/>
      <c r="AC488" s="383"/>
      <c r="AD488" s="384"/>
      <c r="AE488" s="384"/>
      <c r="AF488" s="384"/>
      <c r="AG488" s="387">
        <f>SUM(X389:X488)</f>
        <v>0</v>
      </c>
      <c r="AH488" s="388" t="s">
        <v>2508</v>
      </c>
      <c r="AI488" s="382"/>
      <c r="AJ488" s="382"/>
      <c r="AK488" s="389"/>
    </row>
    <row r="489" spans="20:28">
      <c r="T489" s="392" t="s">
        <v>2511</v>
      </c>
      <c r="U489" s="393"/>
      <c r="V489" s="394"/>
      <c r="W489" s="395">
        <f>AVERAGE(M289:V488)</f>
        <v>4.124</v>
      </c>
      <c r="X489" s="396">
        <f>SUM(X289:X488)</f>
        <v>4124</v>
      </c>
      <c r="Y489" s="397" t="s">
        <v>2512</v>
      </c>
      <c r="Z489" s="393"/>
      <c r="AA489" s="393"/>
      <c r="AB489" s="398"/>
    </row>
  </sheetData>
  <mergeCells count="105">
    <mergeCell ref="L2:M2"/>
    <mergeCell ref="Z24:AB24"/>
    <mergeCell ref="Z25:AC25"/>
    <mergeCell ref="Z34:AB34"/>
    <mergeCell ref="Z35:AC35"/>
    <mergeCell ref="T36:V36"/>
    <mergeCell ref="Y36:AB36"/>
    <mergeCell ref="T49:V49"/>
    <mergeCell ref="Y49:AB49"/>
    <mergeCell ref="T63:V63"/>
    <mergeCell ref="Y63:AB63"/>
    <mergeCell ref="T79:V79"/>
    <mergeCell ref="Y79:AB79"/>
    <mergeCell ref="Z92:AB92"/>
    <mergeCell ref="Z93:AC93"/>
    <mergeCell ref="Z102:AB102"/>
    <mergeCell ref="Z103:AC103"/>
    <mergeCell ref="Z112:AB112"/>
    <mergeCell ref="Z113:AC113"/>
    <mergeCell ref="Z122:AB122"/>
    <mergeCell ref="Z123:AC123"/>
    <mergeCell ref="Z132:AB132"/>
    <mergeCell ref="Z133:AC133"/>
    <mergeCell ref="Z142:AB142"/>
    <mergeCell ref="Z143:AC143"/>
    <mergeCell ref="Z152:AB152"/>
    <mergeCell ref="Z153:AC153"/>
    <mergeCell ref="Z162:AB162"/>
    <mergeCell ref="Z163:AC163"/>
    <mergeCell ref="Z172:AB172"/>
    <mergeCell ref="Z173:AC173"/>
    <mergeCell ref="Z182:AB182"/>
    <mergeCell ref="AH182:AK182"/>
    <mergeCell ref="Z183:AC183"/>
    <mergeCell ref="AH183:AK183"/>
    <mergeCell ref="Z192:AB192"/>
    <mergeCell ref="Z193:AC193"/>
    <mergeCell ref="Z202:AB202"/>
    <mergeCell ref="Z203:AC203"/>
    <mergeCell ref="Z212:AB212"/>
    <mergeCell ref="Z213:AC213"/>
    <mergeCell ref="Z222:AB222"/>
    <mergeCell ref="Z223:AC223"/>
    <mergeCell ref="Z232:AB232"/>
    <mergeCell ref="Z233:AC233"/>
    <mergeCell ref="Z242:AB242"/>
    <mergeCell ref="Z243:AC243"/>
    <mergeCell ref="Z252:AB252"/>
    <mergeCell ref="Z253:AC253"/>
    <mergeCell ref="Z262:AB262"/>
    <mergeCell ref="Z263:AC263"/>
    <mergeCell ref="Z272:AB272"/>
    <mergeCell ref="Z273:AC273"/>
    <mergeCell ref="Z282:AB282"/>
    <mergeCell ref="AH282:AK282"/>
    <mergeCell ref="Z283:AC283"/>
    <mergeCell ref="AH283:AK283"/>
    <mergeCell ref="T284:V284"/>
    <mergeCell ref="Y284:AB284"/>
    <mergeCell ref="Z297:AB297"/>
    <mergeCell ref="Z298:AC298"/>
    <mergeCell ref="Z307:AB307"/>
    <mergeCell ref="Z308:AC308"/>
    <mergeCell ref="Z317:AB317"/>
    <mergeCell ref="Z318:AC318"/>
    <mergeCell ref="Z327:AB327"/>
    <mergeCell ref="Z328:AC328"/>
    <mergeCell ref="Z337:AB337"/>
    <mergeCell ref="Z338:AC338"/>
    <mergeCell ref="Z347:AB347"/>
    <mergeCell ref="Z348:AC348"/>
    <mergeCell ref="Z357:AB357"/>
    <mergeCell ref="Z358:AC358"/>
    <mergeCell ref="Z367:AB367"/>
    <mergeCell ref="Z368:AC368"/>
    <mergeCell ref="Z377:AB377"/>
    <mergeCell ref="Z378:AC378"/>
    <mergeCell ref="Z387:AB387"/>
    <mergeCell ref="AH387:AK387"/>
    <mergeCell ref="Z388:AC388"/>
    <mergeCell ref="AH388:AK388"/>
    <mergeCell ref="Z397:AB397"/>
    <mergeCell ref="Z398:AC398"/>
    <mergeCell ref="Z407:AB407"/>
    <mergeCell ref="Z408:AC408"/>
    <mergeCell ref="Z417:AB417"/>
    <mergeCell ref="Z418:AC418"/>
    <mergeCell ref="Z427:AB427"/>
    <mergeCell ref="Z428:AC428"/>
    <mergeCell ref="Z437:AB437"/>
    <mergeCell ref="Z438:AC438"/>
    <mergeCell ref="Z447:AB447"/>
    <mergeCell ref="Z448:AC448"/>
    <mergeCell ref="Z457:AB457"/>
    <mergeCell ref="Z458:AC458"/>
    <mergeCell ref="Z467:AB467"/>
    <mergeCell ref="Z468:AC468"/>
    <mergeCell ref="Z477:AB477"/>
    <mergeCell ref="Z478:AC478"/>
    <mergeCell ref="Z487:AB487"/>
    <mergeCell ref="AH487:AK487"/>
    <mergeCell ref="Z488:AC488"/>
    <mergeCell ref="AH488:AK488"/>
    <mergeCell ref="T489:V489"/>
    <mergeCell ref="Y489:AB489"/>
  </mergeCells>
  <conditionalFormatting sqref="A2:A153">
    <cfRule type="colorScale" priority="1">
      <colorScale>
        <cfvo type="min"/>
        <cfvo type="percentile" val="50"/>
        <cfvo type="max"/>
        <color rgb="FF63BE7B"/>
        <color rgb="FFFFEB84"/>
        <color rgb="FFF8696B"/>
      </colorScale>
    </cfRule>
  </conditionalFormatting>
  <pageMargins left="0.7" right="0.7" top="0.75" bottom="0.75" header="0.3" footer="0.3"/>
  <pageSetup paperSize="1" orientation="portrait"/>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84"/>
  <sheetViews>
    <sheetView topLeftCell="U42" workbookViewId="0">
      <selection activeCell="AB81" sqref="$A1:$XFD1048576"/>
    </sheetView>
  </sheetViews>
  <sheetFormatPr defaultColWidth="9" defaultRowHeight="13.5"/>
  <cols>
    <col min="1" max="1" width="9.70833333333333" style="23" customWidth="1"/>
    <col min="2" max="2" width="10.425" style="23" customWidth="1"/>
    <col min="3" max="3" width="11.8583333333333" style="23" customWidth="1"/>
    <col min="4" max="4" width="12" style="23" customWidth="1"/>
    <col min="5" max="5" width="9.56666666666667" style="23" customWidth="1"/>
    <col min="6" max="6" width="9.85833333333333" style="23" customWidth="1"/>
    <col min="7" max="7" width="14.1416666666667" style="23" customWidth="1"/>
    <col min="8" max="8" width="27.2833333333333" style="23" customWidth="1"/>
    <col min="9" max="9" width="9.14166666666667" style="23" customWidth="1"/>
    <col min="10" max="10" width="7.425" style="23" customWidth="1"/>
    <col min="11" max="11" width="12.1416666666667" style="23" customWidth="1"/>
    <col min="12" max="12" width="12.2833333333333" style="23" customWidth="1"/>
    <col min="13" max="24" width="9.14166666666667" style="23" customWidth="1"/>
    <col min="25" max="25" width="11.7083333333333" style="23" customWidth="1"/>
    <col min="26" max="26" width="12.7083333333333" style="23" customWidth="1"/>
    <col min="27" max="31" width="9.14166666666667" style="23" customWidth="1"/>
    <col min="32" max="32" width="7.56666666666667" style="23" customWidth="1"/>
    <col min="33" max="33" width="3.85833333333333" style="23" customWidth="1"/>
    <col min="34" max="34" width="8.14166666666667" style="23" customWidth="1"/>
    <col min="35" max="35" width="5.56666666666667" style="23" customWidth="1"/>
    <col min="36" max="16384" width="9.14166666666667" style="23" customWidth="1"/>
  </cols>
  <sheetData>
    <row r="1" spans="1:8">
      <c r="A1" s="229" t="s">
        <v>2525</v>
      </c>
      <c r="B1" s="230" t="s">
        <v>2526</v>
      </c>
      <c r="C1" s="231" t="s">
        <v>2527</v>
      </c>
      <c r="D1" s="231" t="s">
        <v>2528</v>
      </c>
      <c r="E1" s="231" t="s">
        <v>2373</v>
      </c>
      <c r="F1" s="231" t="s">
        <v>2375</v>
      </c>
      <c r="G1" s="231" t="s">
        <v>2376</v>
      </c>
      <c r="H1" s="231" t="s">
        <v>2529</v>
      </c>
    </row>
    <row r="2" hidden="1" spans="1:15">
      <c r="A2" s="232">
        <v>1.01</v>
      </c>
      <c r="B2" s="233">
        <v>4</v>
      </c>
      <c r="C2" s="233">
        <v>2</v>
      </c>
      <c r="D2" s="233">
        <v>3</v>
      </c>
      <c r="E2" s="233">
        <v>0</v>
      </c>
      <c r="F2" s="233" t="s">
        <v>2313</v>
      </c>
      <c r="J2" s="23" t="s">
        <v>2313</v>
      </c>
      <c r="K2" s="23" t="s">
        <v>2389</v>
      </c>
      <c r="O2" s="236"/>
    </row>
    <row r="3" hidden="1" spans="1:11">
      <c r="A3" s="232">
        <v>1.02</v>
      </c>
      <c r="B3" s="233">
        <v>3</v>
      </c>
      <c r="C3" s="233">
        <v>2</v>
      </c>
      <c r="D3" s="233">
        <v>6</v>
      </c>
      <c r="E3" s="233">
        <v>0</v>
      </c>
      <c r="F3" s="233" t="s">
        <v>2313</v>
      </c>
      <c r="J3" s="23" t="s">
        <v>2392</v>
      </c>
      <c r="K3" s="23" t="s">
        <v>2530</v>
      </c>
    </row>
    <row r="4" hidden="1" spans="1:11">
      <c r="A4" s="232">
        <v>1.01</v>
      </c>
      <c r="B4" s="233">
        <v>4</v>
      </c>
      <c r="C4" s="233">
        <v>4</v>
      </c>
      <c r="D4" s="233">
        <v>7</v>
      </c>
      <c r="E4" s="233">
        <v>0</v>
      </c>
      <c r="F4" s="233" t="s">
        <v>2313</v>
      </c>
      <c r="J4" s="823" t="s">
        <v>2395</v>
      </c>
      <c r="K4" s="23" t="s">
        <v>2531</v>
      </c>
    </row>
    <row r="5" hidden="1" spans="1:11">
      <c r="A5" s="232">
        <v>1.01</v>
      </c>
      <c r="B5" s="233">
        <v>4</v>
      </c>
      <c r="C5" s="233">
        <v>3</v>
      </c>
      <c r="D5" s="233">
        <v>5</v>
      </c>
      <c r="E5" s="233">
        <v>0</v>
      </c>
      <c r="F5" s="233" t="s">
        <v>2313</v>
      </c>
      <c r="J5" s="23" t="s">
        <v>2397</v>
      </c>
      <c r="K5" s="23" t="s">
        <v>2398</v>
      </c>
    </row>
    <row r="6" hidden="1" spans="1:11">
      <c r="A6" s="232">
        <v>1.05</v>
      </c>
      <c r="B6" s="233">
        <v>4</v>
      </c>
      <c r="C6" s="233">
        <v>4</v>
      </c>
      <c r="D6" s="233">
        <v>7</v>
      </c>
      <c r="E6" s="233">
        <v>0</v>
      </c>
      <c r="F6" s="233" t="s">
        <v>2313</v>
      </c>
      <c r="J6" s="23" t="s">
        <v>2399</v>
      </c>
      <c r="K6" s="23" t="s">
        <v>2400</v>
      </c>
    </row>
    <row r="7" spans="1:11">
      <c r="A7" s="232">
        <v>2.01</v>
      </c>
      <c r="B7" s="233">
        <v>4</v>
      </c>
      <c r="C7" s="233">
        <v>2</v>
      </c>
      <c r="D7" s="233">
        <v>4</v>
      </c>
      <c r="E7" s="233">
        <v>2</v>
      </c>
      <c r="F7" s="233" t="s">
        <v>1931</v>
      </c>
      <c r="G7" s="233" t="s">
        <v>2397</v>
      </c>
      <c r="J7" s="23" t="s">
        <v>2401</v>
      </c>
      <c r="K7" s="23" t="s">
        <v>2532</v>
      </c>
    </row>
    <row r="8" ht="15" hidden="1" customHeight="1" spans="1:6">
      <c r="A8" s="232">
        <v>2.02</v>
      </c>
      <c r="B8" s="233">
        <v>4</v>
      </c>
      <c r="C8" s="233">
        <v>3</v>
      </c>
      <c r="D8" s="233">
        <v>7</v>
      </c>
      <c r="E8" s="233">
        <v>1</v>
      </c>
      <c r="F8" s="233" t="s">
        <v>2313</v>
      </c>
    </row>
    <row r="9" ht="15" customHeight="1" spans="1:13">
      <c r="A9" s="232">
        <v>2.03</v>
      </c>
      <c r="B9" s="233">
        <v>3</v>
      </c>
      <c r="C9" s="233">
        <v>2</v>
      </c>
      <c r="D9" s="233">
        <v>6</v>
      </c>
      <c r="E9" s="233">
        <v>1</v>
      </c>
      <c r="F9" s="233" t="s">
        <v>1931</v>
      </c>
      <c r="G9" s="233" t="s">
        <v>2533</v>
      </c>
      <c r="J9" s="23" t="s">
        <v>2405</v>
      </c>
      <c r="K9" s="23" t="s">
        <v>2534</v>
      </c>
      <c r="L9" s="237"/>
      <c r="M9" s="23" t="s">
        <v>2535</v>
      </c>
    </row>
    <row r="10" hidden="1" spans="1:25">
      <c r="A10" s="232">
        <v>2.04</v>
      </c>
      <c r="B10" s="233">
        <v>3</v>
      </c>
      <c r="C10" s="233">
        <v>3</v>
      </c>
      <c r="D10" s="233">
        <v>6</v>
      </c>
      <c r="E10" s="233">
        <v>0</v>
      </c>
      <c r="F10" s="233" t="s">
        <v>2313</v>
      </c>
      <c r="K10" s="238"/>
      <c r="M10" s="239" t="s">
        <v>2536</v>
      </c>
      <c r="N10" s="240" t="s">
        <v>2412</v>
      </c>
      <c r="O10" s="240" t="s">
        <v>2413</v>
      </c>
      <c r="P10" s="240" t="s">
        <v>2414</v>
      </c>
      <c r="Q10" s="240" t="s">
        <v>2415</v>
      </c>
      <c r="R10" s="240" t="s">
        <v>2416</v>
      </c>
      <c r="S10" s="240" t="s">
        <v>2417</v>
      </c>
      <c r="T10" s="240" t="s">
        <v>2418</v>
      </c>
      <c r="U10" s="240" t="s">
        <v>2419</v>
      </c>
      <c r="V10" s="240" t="s">
        <v>2420</v>
      </c>
      <c r="W10" s="240" t="s">
        <v>2421</v>
      </c>
      <c r="X10" s="239" t="s">
        <v>2422</v>
      </c>
      <c r="Y10" s="266" t="s">
        <v>2423</v>
      </c>
    </row>
    <row r="11" ht="15" hidden="1" customHeight="1" spans="1:33">
      <c r="A11" s="232">
        <v>2.05</v>
      </c>
      <c r="B11" s="233">
        <v>5</v>
      </c>
      <c r="C11" s="233">
        <v>3</v>
      </c>
      <c r="D11" s="233">
        <v>10</v>
      </c>
      <c r="E11" s="233">
        <v>1</v>
      </c>
      <c r="F11" s="233" t="s">
        <v>1931</v>
      </c>
      <c r="K11" s="238"/>
      <c r="M11" s="241">
        <v>1</v>
      </c>
      <c r="N11" s="242">
        <v>10</v>
      </c>
      <c r="O11" s="243">
        <v>0</v>
      </c>
      <c r="P11" s="242">
        <v>0</v>
      </c>
      <c r="Q11" s="242">
        <v>0</v>
      </c>
      <c r="R11" s="242">
        <v>0</v>
      </c>
      <c r="S11" s="242">
        <v>0</v>
      </c>
      <c r="T11" s="242">
        <v>0</v>
      </c>
      <c r="U11" s="257">
        <v>0</v>
      </c>
      <c r="V11" s="242">
        <v>10</v>
      </c>
      <c r="W11" s="242">
        <v>0</v>
      </c>
      <c r="X11" s="258">
        <f t="shared" ref="X11:X14" si="0">AVERAGE(N11:W11)</f>
        <v>2</v>
      </c>
      <c r="Y11" s="267">
        <f t="shared" ref="Y11:Y20" si="1">SUM(N11:W11)</f>
        <v>20</v>
      </c>
      <c r="AA11" s="268" t="s">
        <v>2454</v>
      </c>
      <c r="AB11" s="268"/>
      <c r="AC11" s="269" t="s">
        <v>2425</v>
      </c>
      <c r="AD11" s="269"/>
      <c r="AE11" s="270" t="s">
        <v>2426</v>
      </c>
      <c r="AF11" s="270"/>
      <c r="AG11" s="23" t="s">
        <v>2427</v>
      </c>
    </row>
    <row r="12" spans="1:27">
      <c r="A12" s="232">
        <v>3.01</v>
      </c>
      <c r="B12" s="233">
        <v>5</v>
      </c>
      <c r="C12" s="233">
        <v>3</v>
      </c>
      <c r="D12" s="233">
        <v>7</v>
      </c>
      <c r="E12" s="233">
        <v>0</v>
      </c>
      <c r="F12" s="233" t="s">
        <v>2313</v>
      </c>
      <c r="G12" s="233" t="s">
        <v>2397</v>
      </c>
      <c r="K12" s="238"/>
      <c r="M12" s="244">
        <v>2</v>
      </c>
      <c r="N12" s="245">
        <v>0</v>
      </c>
      <c r="O12" s="245">
        <v>0</v>
      </c>
      <c r="P12" s="245">
        <v>0</v>
      </c>
      <c r="Q12" s="245">
        <v>0</v>
      </c>
      <c r="R12" s="245">
        <v>0</v>
      </c>
      <c r="S12" s="245">
        <v>0</v>
      </c>
      <c r="T12" s="245">
        <v>0</v>
      </c>
      <c r="U12" s="245">
        <v>10</v>
      </c>
      <c r="V12" s="252">
        <v>0</v>
      </c>
      <c r="W12" s="245">
        <v>0</v>
      </c>
      <c r="X12" s="259">
        <f t="shared" si="0"/>
        <v>1</v>
      </c>
      <c r="Y12" s="271">
        <f t="shared" si="1"/>
        <v>10</v>
      </c>
      <c r="AA12" s="23" t="s">
        <v>2429</v>
      </c>
    </row>
    <row r="13" hidden="1" spans="1:31">
      <c r="A13" s="232">
        <v>3.02</v>
      </c>
      <c r="B13" s="233">
        <v>6</v>
      </c>
      <c r="C13" s="233">
        <v>4</v>
      </c>
      <c r="D13" s="233">
        <v>9</v>
      </c>
      <c r="E13" s="233">
        <v>1</v>
      </c>
      <c r="F13" s="233" t="s">
        <v>2313</v>
      </c>
      <c r="K13" s="238"/>
      <c r="M13" s="246">
        <v>3</v>
      </c>
      <c r="N13" s="247">
        <v>0</v>
      </c>
      <c r="O13" s="248">
        <v>0</v>
      </c>
      <c r="P13" s="248">
        <v>0</v>
      </c>
      <c r="Q13" s="248">
        <v>0</v>
      </c>
      <c r="R13" s="248">
        <v>0</v>
      </c>
      <c r="S13" s="247">
        <v>0</v>
      </c>
      <c r="T13" s="248">
        <v>0</v>
      </c>
      <c r="U13" s="248">
        <v>0</v>
      </c>
      <c r="V13" s="248">
        <v>0</v>
      </c>
      <c r="W13" s="248">
        <v>0</v>
      </c>
      <c r="X13" s="260">
        <f t="shared" si="0"/>
        <v>0</v>
      </c>
      <c r="Y13" s="272">
        <f t="shared" si="1"/>
        <v>0</v>
      </c>
      <c r="AA13" s="128" t="s">
        <v>2430</v>
      </c>
      <c r="AB13" s="128">
        <f>COUNTIF(N11:W20,0)</f>
        <v>37</v>
      </c>
      <c r="AC13" s="273">
        <f t="shared" ref="AC13:AC18" si="2">(AB13/100)</f>
        <v>0.37</v>
      </c>
      <c r="AE13" s="23" t="s">
        <v>2431</v>
      </c>
    </row>
    <row r="14" hidden="1" spans="1:35">
      <c r="A14" s="232">
        <v>3.03</v>
      </c>
      <c r="B14" s="233">
        <v>5</v>
      </c>
      <c r="C14" s="233">
        <v>3</v>
      </c>
      <c r="D14" s="233">
        <v>5</v>
      </c>
      <c r="E14" s="233">
        <v>1</v>
      </c>
      <c r="F14" s="233" t="s">
        <v>1931</v>
      </c>
      <c r="K14" s="238"/>
      <c r="M14" s="244">
        <v>4</v>
      </c>
      <c r="N14" s="245">
        <v>0</v>
      </c>
      <c r="O14" s="245">
        <v>0</v>
      </c>
      <c r="P14" s="245">
        <v>0</v>
      </c>
      <c r="Q14" s="245">
        <v>0</v>
      </c>
      <c r="R14" s="245">
        <v>0</v>
      </c>
      <c r="S14" s="245">
        <v>0</v>
      </c>
      <c r="T14" s="245">
        <v>0</v>
      </c>
      <c r="U14" s="245">
        <v>0</v>
      </c>
      <c r="V14" s="245">
        <v>0</v>
      </c>
      <c r="W14" s="245">
        <v>0</v>
      </c>
      <c r="X14" s="259">
        <f t="shared" si="0"/>
        <v>0</v>
      </c>
      <c r="Y14" s="271">
        <f t="shared" si="1"/>
        <v>0</v>
      </c>
      <c r="AA14" s="128" t="s">
        <v>2457</v>
      </c>
      <c r="AB14" s="128">
        <f>COUNTIF(N11:W20,2)</f>
        <v>0</v>
      </c>
      <c r="AC14" s="273">
        <f t="shared" si="2"/>
        <v>0</v>
      </c>
      <c r="AE14" s="274" t="s">
        <v>2434</v>
      </c>
      <c r="AF14" s="275"/>
      <c r="AG14" s="280" t="s">
        <v>2435</v>
      </c>
      <c r="AH14" s="275" t="s">
        <v>2436</v>
      </c>
      <c r="AI14" s="281"/>
    </row>
    <row r="15" hidden="1" spans="1:34">
      <c r="A15" s="232">
        <v>3.04</v>
      </c>
      <c r="B15" s="233">
        <v>3</v>
      </c>
      <c r="C15" s="233">
        <v>2</v>
      </c>
      <c r="D15" s="233">
        <v>7</v>
      </c>
      <c r="E15" s="233">
        <v>0</v>
      </c>
      <c r="F15" s="233" t="s">
        <v>2313</v>
      </c>
      <c r="K15" s="238"/>
      <c r="M15" s="246">
        <v>5</v>
      </c>
      <c r="N15" s="248"/>
      <c r="O15" s="248"/>
      <c r="P15" s="248"/>
      <c r="Q15" s="248"/>
      <c r="R15" s="248"/>
      <c r="S15" s="248"/>
      <c r="T15" s="248"/>
      <c r="U15" s="248"/>
      <c r="V15" s="248"/>
      <c r="W15" s="248"/>
      <c r="X15" s="260" t="e">
        <v>#DIV/0!</v>
      </c>
      <c r="Y15" s="272">
        <f t="shared" si="1"/>
        <v>0</v>
      </c>
      <c r="AA15" s="128" t="s">
        <v>2437</v>
      </c>
      <c r="AB15" s="128">
        <f>COUNTIF(N11:W20,5)</f>
        <v>0</v>
      </c>
      <c r="AC15" s="273">
        <f t="shared" si="2"/>
        <v>0</v>
      </c>
      <c r="AE15" s="23" t="s">
        <v>2438</v>
      </c>
      <c r="AG15" s="128">
        <v>2</v>
      </c>
      <c r="AH15" s="282">
        <f t="shared" ref="AH15:AH17" si="3">(AG15/100)</f>
        <v>0.02</v>
      </c>
    </row>
    <row r="16" spans="1:34">
      <c r="A16" s="232">
        <v>3.05</v>
      </c>
      <c r="B16" s="233">
        <v>4</v>
      </c>
      <c r="C16" s="233">
        <v>2</v>
      </c>
      <c r="D16" s="233">
        <v>7</v>
      </c>
      <c r="E16" s="233">
        <v>1</v>
      </c>
      <c r="F16" s="233" t="s">
        <v>1931</v>
      </c>
      <c r="G16" s="233" t="s">
        <v>2533</v>
      </c>
      <c r="I16" s="237"/>
      <c r="J16" s="237"/>
      <c r="K16" s="249"/>
      <c r="M16" s="244">
        <v>6</v>
      </c>
      <c r="N16" s="245"/>
      <c r="O16" s="245"/>
      <c r="P16" s="245"/>
      <c r="Q16" s="245"/>
      <c r="R16" s="245"/>
      <c r="S16" s="245"/>
      <c r="T16" s="245"/>
      <c r="U16" s="245"/>
      <c r="V16" s="245"/>
      <c r="W16" s="245"/>
      <c r="X16" s="259" t="e">
        <v>#DIV/0!</v>
      </c>
      <c r="Y16" s="271">
        <f t="shared" si="1"/>
        <v>0</v>
      </c>
      <c r="AA16" s="128" t="s">
        <v>2472</v>
      </c>
      <c r="AB16" s="128">
        <f>COUNTIF(N11:W20,6)</f>
        <v>0</v>
      </c>
      <c r="AC16" s="273">
        <f t="shared" si="2"/>
        <v>0</v>
      </c>
      <c r="AE16" s="23" t="s">
        <v>2440</v>
      </c>
      <c r="AG16" s="128">
        <v>3</v>
      </c>
      <c r="AH16" s="282">
        <f t="shared" si="3"/>
        <v>0.03</v>
      </c>
    </row>
    <row r="17" hidden="1" spans="1:34">
      <c r="A17" s="232">
        <v>4.01</v>
      </c>
      <c r="B17" s="233">
        <v>6</v>
      </c>
      <c r="C17" s="233">
        <v>4</v>
      </c>
      <c r="D17" s="233">
        <v>11</v>
      </c>
      <c r="E17" s="233">
        <v>1</v>
      </c>
      <c r="F17" s="233" t="s">
        <v>2313</v>
      </c>
      <c r="M17" s="246">
        <v>7</v>
      </c>
      <c r="N17" s="248"/>
      <c r="O17" s="248"/>
      <c r="P17" s="248"/>
      <c r="Q17" s="248"/>
      <c r="R17" s="248"/>
      <c r="S17" s="248"/>
      <c r="T17" s="248"/>
      <c r="U17" s="248"/>
      <c r="V17" s="248"/>
      <c r="W17" s="248"/>
      <c r="X17" s="260" t="e">
        <v>#DIV/0!</v>
      </c>
      <c r="Y17" s="272">
        <f t="shared" si="1"/>
        <v>0</v>
      </c>
      <c r="AA17" s="128" t="s">
        <v>2456</v>
      </c>
      <c r="AB17" s="128">
        <f>COUNTIF(N11:W20,10)</f>
        <v>3</v>
      </c>
      <c r="AC17" s="273">
        <f t="shared" si="2"/>
        <v>0.03</v>
      </c>
      <c r="AE17" s="23" t="s">
        <v>2442</v>
      </c>
      <c r="AG17" s="128">
        <v>0</v>
      </c>
      <c r="AH17" s="282">
        <f t="shared" si="3"/>
        <v>0</v>
      </c>
    </row>
    <row r="18" hidden="1" spans="1:29">
      <c r="A18" s="232">
        <v>4.02</v>
      </c>
      <c r="B18" s="233">
        <v>5</v>
      </c>
      <c r="C18" s="233">
        <v>4</v>
      </c>
      <c r="D18" s="233">
        <v>14</v>
      </c>
      <c r="E18" s="233">
        <v>1</v>
      </c>
      <c r="F18" s="233" t="s">
        <v>2313</v>
      </c>
      <c r="M18" s="244">
        <v>8</v>
      </c>
      <c r="N18" s="245"/>
      <c r="O18" s="245"/>
      <c r="P18" s="245"/>
      <c r="Q18" s="245"/>
      <c r="R18" s="245"/>
      <c r="S18" s="245"/>
      <c r="T18" s="245"/>
      <c r="U18" s="245"/>
      <c r="V18" s="245"/>
      <c r="W18" s="245"/>
      <c r="X18" s="259" t="e">
        <v>#DIV/0!</v>
      </c>
      <c r="Y18" s="271">
        <f t="shared" si="1"/>
        <v>0</v>
      </c>
      <c r="AA18" s="128" t="s">
        <v>2458</v>
      </c>
      <c r="AB18" s="128">
        <f>COUNTBLANK(N11:W20)</f>
        <v>60</v>
      </c>
      <c r="AC18" s="273">
        <f t="shared" si="2"/>
        <v>0.6</v>
      </c>
    </row>
    <row r="19" hidden="1" spans="1:29">
      <c r="A19" s="232">
        <v>4.03</v>
      </c>
      <c r="B19" s="233">
        <v>5</v>
      </c>
      <c r="C19" s="233">
        <v>4</v>
      </c>
      <c r="D19" s="233">
        <v>11</v>
      </c>
      <c r="E19" s="233">
        <v>0</v>
      </c>
      <c r="F19" s="233" t="s">
        <v>2313</v>
      </c>
      <c r="M19" s="246">
        <v>9</v>
      </c>
      <c r="N19" s="248"/>
      <c r="O19" s="248"/>
      <c r="P19" s="248"/>
      <c r="Q19" s="248"/>
      <c r="R19" s="248"/>
      <c r="S19" s="248"/>
      <c r="T19" s="248"/>
      <c r="U19" s="248"/>
      <c r="V19" s="248"/>
      <c r="W19" s="248"/>
      <c r="X19" s="260" t="e">
        <v>#DIV/0!</v>
      </c>
      <c r="Y19" s="272">
        <f t="shared" si="1"/>
        <v>0</v>
      </c>
      <c r="Z19" s="276">
        <f>AVERAGE(N11:W20)</f>
        <v>0.75</v>
      </c>
      <c r="AA19" s="277" t="s">
        <v>2448</v>
      </c>
      <c r="AB19" s="263"/>
      <c r="AC19" s="264"/>
    </row>
    <row r="20" hidden="1" spans="1:30">
      <c r="A20" s="232">
        <v>4.04</v>
      </c>
      <c r="B20" s="233">
        <v>4</v>
      </c>
      <c r="C20" s="233">
        <v>2</v>
      </c>
      <c r="D20" s="233">
        <v>7</v>
      </c>
      <c r="E20" s="233">
        <v>0</v>
      </c>
      <c r="F20" s="233" t="s">
        <v>2313</v>
      </c>
      <c r="M20" s="244">
        <v>10</v>
      </c>
      <c r="N20" s="245"/>
      <c r="O20" s="245"/>
      <c r="P20" s="245"/>
      <c r="Q20" s="245"/>
      <c r="R20" s="245"/>
      <c r="S20" s="245"/>
      <c r="T20" s="245"/>
      <c r="U20" s="245"/>
      <c r="V20" s="245"/>
      <c r="W20" s="245"/>
      <c r="X20" s="261" t="e">
        <v>#DIV/0!</v>
      </c>
      <c r="Y20" s="271">
        <f t="shared" si="1"/>
        <v>0</v>
      </c>
      <c r="Z20" s="278">
        <f>SUM(Y11:Y20)</f>
        <v>30</v>
      </c>
      <c r="AA20" s="277" t="s">
        <v>2537</v>
      </c>
      <c r="AB20" s="263"/>
      <c r="AC20" s="263"/>
      <c r="AD20" s="264"/>
    </row>
    <row r="21" hidden="1" spans="1:29">
      <c r="A21" s="232">
        <v>4.05</v>
      </c>
      <c r="B21" s="233">
        <v>4</v>
      </c>
      <c r="C21" s="233">
        <v>2</v>
      </c>
      <c r="D21" s="233">
        <v>6</v>
      </c>
      <c r="E21" s="233">
        <v>1</v>
      </c>
      <c r="F21" s="233" t="s">
        <v>2313</v>
      </c>
      <c r="U21" s="262" t="s">
        <v>2448</v>
      </c>
      <c r="V21" s="263"/>
      <c r="W21" s="264"/>
      <c r="X21" s="265">
        <f>AVERAGE(N11:W20)</f>
        <v>0.75</v>
      </c>
      <c r="Y21" s="279">
        <f>SUM(Y11:Y20)</f>
        <v>30</v>
      </c>
      <c r="Z21" s="262" t="s">
        <v>2537</v>
      </c>
      <c r="AA21" s="263"/>
      <c r="AB21" s="263"/>
      <c r="AC21" s="264"/>
    </row>
    <row r="22" hidden="1" spans="1:6">
      <c r="A22" s="232">
        <v>5.01</v>
      </c>
      <c r="B22" s="233">
        <v>5</v>
      </c>
      <c r="C22" s="233">
        <v>4</v>
      </c>
      <c r="D22" s="233">
        <v>9</v>
      </c>
      <c r="E22" s="233">
        <v>1</v>
      </c>
      <c r="F22" s="233" t="s">
        <v>2313</v>
      </c>
    </row>
    <row r="23" spans="1:7">
      <c r="A23" s="232">
        <v>5.02</v>
      </c>
      <c r="B23" s="233">
        <v>5</v>
      </c>
      <c r="C23" s="233">
        <v>3</v>
      </c>
      <c r="D23" s="233">
        <v>6</v>
      </c>
      <c r="E23" s="233">
        <v>1</v>
      </c>
      <c r="F23" s="233" t="s">
        <v>1931</v>
      </c>
      <c r="G23" s="233" t="s">
        <v>2401</v>
      </c>
    </row>
    <row r="24" hidden="1" spans="1:6">
      <c r="A24" s="232">
        <v>5.03</v>
      </c>
      <c r="B24" s="233">
        <v>5</v>
      </c>
      <c r="C24" s="233">
        <v>3</v>
      </c>
      <c r="D24" s="233">
        <v>7</v>
      </c>
      <c r="E24" s="233">
        <v>2</v>
      </c>
      <c r="F24" s="233" t="s">
        <v>2313</v>
      </c>
    </row>
    <row r="25" hidden="1" spans="1:13">
      <c r="A25" s="232">
        <v>5.04</v>
      </c>
      <c r="B25" s="233">
        <v>4</v>
      </c>
      <c r="C25" s="233">
        <v>3</v>
      </c>
      <c r="D25" s="233">
        <v>6</v>
      </c>
      <c r="E25" s="233">
        <v>0</v>
      </c>
      <c r="F25" s="233" t="s">
        <v>2313</v>
      </c>
      <c r="M25" s="23" t="s">
        <v>2469</v>
      </c>
    </row>
    <row r="26" hidden="1" spans="1:25">
      <c r="A26" s="232">
        <v>5.05</v>
      </c>
      <c r="B26" s="233">
        <v>5</v>
      </c>
      <c r="C26" s="233">
        <v>4</v>
      </c>
      <c r="D26" s="233">
        <v>12</v>
      </c>
      <c r="E26" s="233">
        <v>1</v>
      </c>
      <c r="F26" s="233" t="s">
        <v>2313</v>
      </c>
      <c r="M26" s="239" t="s">
        <v>2538</v>
      </c>
      <c r="N26" s="240" t="s">
        <v>2412</v>
      </c>
      <c r="O26" s="240" t="s">
        <v>2413</v>
      </c>
      <c r="P26" s="240" t="s">
        <v>2414</v>
      </c>
      <c r="Q26" s="240" t="s">
        <v>2415</v>
      </c>
      <c r="R26" s="240" t="s">
        <v>2416</v>
      </c>
      <c r="S26" s="240" t="s">
        <v>2417</v>
      </c>
      <c r="T26" s="240" t="s">
        <v>2418</v>
      </c>
      <c r="U26" s="240" t="s">
        <v>2419</v>
      </c>
      <c r="V26" s="240" t="s">
        <v>2420</v>
      </c>
      <c r="W26" s="240" t="s">
        <v>2421</v>
      </c>
      <c r="X26" s="239" t="s">
        <v>2422</v>
      </c>
      <c r="Y26" s="266" t="s">
        <v>2423</v>
      </c>
    </row>
    <row r="27" spans="1:33">
      <c r="A27" s="232">
        <v>6.01</v>
      </c>
      <c r="B27" s="233">
        <v>8</v>
      </c>
      <c r="C27" s="233">
        <v>4</v>
      </c>
      <c r="D27" s="233">
        <v>4</v>
      </c>
      <c r="E27" s="233">
        <v>2</v>
      </c>
      <c r="F27" s="233" t="s">
        <v>1931</v>
      </c>
      <c r="G27" s="233" t="s">
        <v>2394</v>
      </c>
      <c r="M27" s="241">
        <v>1</v>
      </c>
      <c r="N27" s="242">
        <v>0</v>
      </c>
      <c r="O27" s="242">
        <v>0</v>
      </c>
      <c r="P27" s="242">
        <v>0</v>
      </c>
      <c r="Q27" s="242">
        <v>0</v>
      </c>
      <c r="R27" s="242">
        <v>0</v>
      </c>
      <c r="S27" s="242">
        <v>0</v>
      </c>
      <c r="T27" s="242">
        <v>0</v>
      </c>
      <c r="U27" s="242">
        <v>0</v>
      </c>
      <c r="V27" s="242">
        <v>0</v>
      </c>
      <c r="W27" s="242">
        <v>0</v>
      </c>
      <c r="X27" s="258">
        <f>AVERAGE(N27:W27)</f>
        <v>0</v>
      </c>
      <c r="Y27" s="267">
        <f t="shared" ref="Y27:Y36" si="4">SUM(N27:W27)</f>
        <v>0</v>
      </c>
      <c r="AA27" s="268" t="s">
        <v>2454</v>
      </c>
      <c r="AB27" s="268"/>
      <c r="AC27" s="269" t="s">
        <v>2425</v>
      </c>
      <c r="AD27" s="269"/>
      <c r="AE27" s="270" t="s">
        <v>2426</v>
      </c>
      <c r="AF27" s="270"/>
      <c r="AG27" s="23" t="s">
        <v>2427</v>
      </c>
    </row>
    <row r="28" hidden="1" spans="1:27">
      <c r="A28" s="232">
        <v>6.02</v>
      </c>
      <c r="B28" s="233">
        <v>8</v>
      </c>
      <c r="C28" s="233">
        <v>4</v>
      </c>
      <c r="D28" s="233">
        <v>7</v>
      </c>
      <c r="E28" s="233">
        <v>2</v>
      </c>
      <c r="F28" s="233" t="s">
        <v>2313</v>
      </c>
      <c r="M28" s="244">
        <v>2</v>
      </c>
      <c r="N28" s="245"/>
      <c r="O28" s="245"/>
      <c r="P28" s="245"/>
      <c r="Q28" s="245"/>
      <c r="R28" s="245"/>
      <c r="S28" s="245"/>
      <c r="T28" s="245"/>
      <c r="U28" s="245"/>
      <c r="V28" s="245"/>
      <c r="W28" s="245"/>
      <c r="X28" s="259" t="e">
        <v>#DIV/0!</v>
      </c>
      <c r="Y28" s="271">
        <f t="shared" si="4"/>
        <v>0</v>
      </c>
      <c r="AA28" s="23" t="s">
        <v>2429</v>
      </c>
    </row>
    <row r="29" spans="1:31">
      <c r="A29" s="232">
        <v>6.03</v>
      </c>
      <c r="B29" s="233">
        <v>8</v>
      </c>
      <c r="C29" s="233">
        <v>5</v>
      </c>
      <c r="D29" s="234" t="s">
        <v>2539</v>
      </c>
      <c r="E29" s="233">
        <v>3</v>
      </c>
      <c r="F29" s="233" t="s">
        <v>1931</v>
      </c>
      <c r="G29" s="233" t="s">
        <v>2394</v>
      </c>
      <c r="M29" s="246">
        <v>3</v>
      </c>
      <c r="N29" s="248"/>
      <c r="O29" s="248"/>
      <c r="P29" s="248"/>
      <c r="Q29" s="248"/>
      <c r="R29" s="248"/>
      <c r="S29" s="248"/>
      <c r="T29" s="248"/>
      <c r="U29" s="248"/>
      <c r="V29" s="248"/>
      <c r="W29" s="248"/>
      <c r="X29" s="260" t="e">
        <v>#DIV/0!</v>
      </c>
      <c r="Y29" s="272">
        <f t="shared" si="4"/>
        <v>0</v>
      </c>
      <c r="AA29" s="128" t="s">
        <v>2466</v>
      </c>
      <c r="AB29" s="128">
        <f>COUNTIF(N27:W36,1)</f>
        <v>0</v>
      </c>
      <c r="AC29" s="273">
        <f t="shared" ref="AC29:AC34" si="5">(AB29/100)</f>
        <v>0</v>
      </c>
      <c r="AE29" s="23" t="s">
        <v>2431</v>
      </c>
    </row>
    <row r="30" hidden="1" spans="1:35">
      <c r="A30" s="232">
        <v>6.04</v>
      </c>
      <c r="B30" s="233">
        <v>9</v>
      </c>
      <c r="C30" s="233">
        <v>5</v>
      </c>
      <c r="D30" s="233">
        <v>10</v>
      </c>
      <c r="E30" s="233">
        <v>2</v>
      </c>
      <c r="F30" s="233" t="s">
        <v>2313</v>
      </c>
      <c r="M30" s="244">
        <v>4</v>
      </c>
      <c r="N30" s="245"/>
      <c r="O30" s="245"/>
      <c r="P30" s="245"/>
      <c r="Q30" s="245"/>
      <c r="R30" s="245"/>
      <c r="S30" s="245"/>
      <c r="T30" s="245"/>
      <c r="U30" s="245"/>
      <c r="V30" s="245"/>
      <c r="W30" s="245"/>
      <c r="X30" s="259" t="e">
        <v>#DIV/0!</v>
      </c>
      <c r="Y30" s="271">
        <f t="shared" si="4"/>
        <v>0</v>
      </c>
      <c r="AA30" s="128" t="s">
        <v>2457</v>
      </c>
      <c r="AB30" s="128">
        <f>COUNTIF(N27:W36,2)</f>
        <v>0</v>
      </c>
      <c r="AC30" s="273">
        <f t="shared" si="5"/>
        <v>0</v>
      </c>
      <c r="AE30" s="274" t="s">
        <v>2434</v>
      </c>
      <c r="AF30" s="275"/>
      <c r="AG30" s="280" t="s">
        <v>2435</v>
      </c>
      <c r="AH30" s="275" t="s">
        <v>2436</v>
      </c>
      <c r="AI30" s="281"/>
    </row>
    <row r="31" spans="1:34">
      <c r="A31" s="232">
        <v>6.05</v>
      </c>
      <c r="B31" s="233">
        <v>8</v>
      </c>
      <c r="C31" s="233">
        <v>4</v>
      </c>
      <c r="D31" s="233">
        <v>8</v>
      </c>
      <c r="E31" s="233">
        <v>3</v>
      </c>
      <c r="F31" s="233" t="s">
        <v>1931</v>
      </c>
      <c r="G31" s="233" t="s">
        <v>2394</v>
      </c>
      <c r="M31" s="246">
        <v>5</v>
      </c>
      <c r="N31" s="248"/>
      <c r="O31" s="248"/>
      <c r="P31" s="248"/>
      <c r="Q31" s="248"/>
      <c r="R31" s="248"/>
      <c r="S31" s="248"/>
      <c r="T31" s="248"/>
      <c r="U31" s="248"/>
      <c r="V31" s="248"/>
      <c r="W31" s="248"/>
      <c r="X31" s="260" t="e">
        <v>#DIV/0!</v>
      </c>
      <c r="Y31" s="272">
        <f t="shared" si="4"/>
        <v>0</v>
      </c>
      <c r="AA31" s="128" t="s">
        <v>2437</v>
      </c>
      <c r="AB31" s="128">
        <f>COUNTIF(N27:W36,5)</f>
        <v>0</v>
      </c>
      <c r="AC31" s="273">
        <f t="shared" si="5"/>
        <v>0</v>
      </c>
      <c r="AE31" s="23" t="s">
        <v>2438</v>
      </c>
      <c r="AG31" s="128">
        <v>0</v>
      </c>
      <c r="AH31" s="282">
        <f t="shared" ref="AH31:AH33" si="6">(AG31/100)</f>
        <v>0</v>
      </c>
    </row>
    <row r="32" spans="1:34">
      <c r="A32" s="232">
        <v>7.01</v>
      </c>
      <c r="B32" s="233">
        <v>10</v>
      </c>
      <c r="C32" s="233">
        <v>5</v>
      </c>
      <c r="D32" s="233">
        <v>9</v>
      </c>
      <c r="E32" s="233">
        <v>5</v>
      </c>
      <c r="F32" s="233" t="s">
        <v>1931</v>
      </c>
      <c r="G32" s="233" t="s">
        <v>2394</v>
      </c>
      <c r="M32" s="244">
        <v>6</v>
      </c>
      <c r="N32" s="245"/>
      <c r="O32" s="245"/>
      <c r="P32" s="245"/>
      <c r="Q32" s="245"/>
      <c r="R32" s="245"/>
      <c r="S32" s="245"/>
      <c r="T32" s="245"/>
      <c r="U32" s="245"/>
      <c r="V32" s="245"/>
      <c r="W32" s="245"/>
      <c r="X32" s="259" t="e">
        <v>#DIV/0!</v>
      </c>
      <c r="Y32" s="271">
        <f t="shared" si="4"/>
        <v>0</v>
      </c>
      <c r="AA32" s="128" t="s">
        <v>2472</v>
      </c>
      <c r="AB32" s="128">
        <f>COUNTIF(N27:W36,6)</f>
        <v>0</v>
      </c>
      <c r="AC32" s="273">
        <f t="shared" si="5"/>
        <v>0</v>
      </c>
      <c r="AE32" s="23" t="s">
        <v>2440</v>
      </c>
      <c r="AG32" s="128">
        <v>0</v>
      </c>
      <c r="AH32" s="282">
        <f t="shared" si="6"/>
        <v>0</v>
      </c>
    </row>
    <row r="33" spans="1:34">
      <c r="A33" s="232">
        <v>7.02</v>
      </c>
      <c r="B33" s="233">
        <v>8</v>
      </c>
      <c r="C33" s="233">
        <v>4</v>
      </c>
      <c r="D33" s="233">
        <v>10</v>
      </c>
      <c r="E33" s="233">
        <v>4</v>
      </c>
      <c r="F33" s="233" t="s">
        <v>1931</v>
      </c>
      <c r="G33" s="233" t="s">
        <v>2394</v>
      </c>
      <c r="M33" s="246">
        <v>7</v>
      </c>
      <c r="N33" s="248"/>
      <c r="O33" s="248"/>
      <c r="P33" s="248"/>
      <c r="Q33" s="248"/>
      <c r="R33" s="248"/>
      <c r="S33" s="248"/>
      <c r="T33" s="248"/>
      <c r="U33" s="248"/>
      <c r="V33" s="248"/>
      <c r="W33" s="248"/>
      <c r="X33" s="260" t="e">
        <v>#DIV/0!</v>
      </c>
      <c r="Y33" s="272">
        <f t="shared" si="4"/>
        <v>0</v>
      </c>
      <c r="AA33" s="128" t="s">
        <v>2456</v>
      </c>
      <c r="AB33" s="128">
        <f>COUNTIF(N27:W36,10)</f>
        <v>0</v>
      </c>
      <c r="AC33" s="273">
        <f t="shared" si="5"/>
        <v>0</v>
      </c>
      <c r="AE33" s="23" t="s">
        <v>2454</v>
      </c>
      <c r="AG33" s="128">
        <v>0</v>
      </c>
      <c r="AH33" s="282">
        <f t="shared" si="6"/>
        <v>0</v>
      </c>
    </row>
    <row r="34" spans="1:29">
      <c r="A34" s="232">
        <v>7.03</v>
      </c>
      <c r="B34" s="233">
        <v>7</v>
      </c>
      <c r="C34" s="233">
        <v>4</v>
      </c>
      <c r="D34" s="233">
        <v>9</v>
      </c>
      <c r="E34" s="233">
        <v>4</v>
      </c>
      <c r="F34" s="233" t="s">
        <v>1931</v>
      </c>
      <c r="G34" s="233" t="s">
        <v>2405</v>
      </c>
      <c r="M34" s="244">
        <v>8</v>
      </c>
      <c r="N34" s="245"/>
      <c r="O34" s="245"/>
      <c r="P34" s="245"/>
      <c r="Q34" s="245"/>
      <c r="R34" s="245"/>
      <c r="S34" s="245"/>
      <c r="T34" s="245"/>
      <c r="U34" s="245"/>
      <c r="V34" s="245"/>
      <c r="W34" s="245"/>
      <c r="X34" s="259" t="e">
        <v>#DIV/0!</v>
      </c>
      <c r="Y34" s="271">
        <f t="shared" si="4"/>
        <v>0</v>
      </c>
      <c r="AA34" s="128" t="s">
        <v>2467</v>
      </c>
      <c r="AB34" s="128">
        <f>COUNTBLANK(N27:W36)</f>
        <v>90</v>
      </c>
      <c r="AC34" s="273">
        <f t="shared" si="5"/>
        <v>0.9</v>
      </c>
    </row>
    <row r="35" spans="1:25">
      <c r="A35" s="232">
        <v>7.04</v>
      </c>
      <c r="B35" s="233">
        <v>7</v>
      </c>
      <c r="C35" s="233">
        <v>5</v>
      </c>
      <c r="D35" s="234" t="s">
        <v>2540</v>
      </c>
      <c r="E35" s="233">
        <v>5</v>
      </c>
      <c r="F35" s="233" t="s">
        <v>1931</v>
      </c>
      <c r="G35" s="233" t="s">
        <v>2394</v>
      </c>
      <c r="M35" s="246">
        <v>9</v>
      </c>
      <c r="N35" s="248"/>
      <c r="O35" s="248"/>
      <c r="P35" s="248"/>
      <c r="Q35" s="248"/>
      <c r="R35" s="248"/>
      <c r="S35" s="248"/>
      <c r="T35" s="248"/>
      <c r="U35" s="248"/>
      <c r="V35" s="248"/>
      <c r="W35" s="248"/>
      <c r="X35" s="260" t="e">
        <v>#DIV/0!</v>
      </c>
      <c r="Y35" s="272">
        <f t="shared" si="4"/>
        <v>0</v>
      </c>
    </row>
    <row r="36" spans="1:25">
      <c r="A36" s="232">
        <v>7.05</v>
      </c>
      <c r="B36" s="233">
        <v>7</v>
      </c>
      <c r="C36" s="233">
        <v>5</v>
      </c>
      <c r="D36" s="234" t="s">
        <v>2541</v>
      </c>
      <c r="E36" s="233">
        <v>4</v>
      </c>
      <c r="F36" s="233" t="s">
        <v>1931</v>
      </c>
      <c r="G36" s="233" t="s">
        <v>2394</v>
      </c>
      <c r="M36" s="244">
        <v>10</v>
      </c>
      <c r="N36" s="245"/>
      <c r="O36" s="245"/>
      <c r="P36" s="245"/>
      <c r="Q36" s="245"/>
      <c r="R36" s="245"/>
      <c r="S36" s="245"/>
      <c r="T36" s="245"/>
      <c r="U36" s="245"/>
      <c r="V36" s="245"/>
      <c r="W36" s="245"/>
      <c r="X36" s="261" t="e">
        <v>#DIV/0!</v>
      </c>
      <c r="Y36" s="271">
        <f t="shared" si="4"/>
        <v>0</v>
      </c>
    </row>
    <row r="37" spans="1:29">
      <c r="A37" s="232">
        <v>8.01</v>
      </c>
      <c r="B37" s="233">
        <v>10</v>
      </c>
      <c r="C37" s="233">
        <v>5</v>
      </c>
      <c r="D37" s="233">
        <v>20</v>
      </c>
      <c r="E37" s="233">
        <v>3</v>
      </c>
      <c r="F37" s="233" t="s">
        <v>1931</v>
      </c>
      <c r="G37" s="233" t="s">
        <v>2397</v>
      </c>
      <c r="U37" s="262" t="s">
        <v>2448</v>
      </c>
      <c r="V37" s="263"/>
      <c r="W37" s="264"/>
      <c r="X37" s="265">
        <f>AVERAGE(N27:W36)</f>
        <v>0</v>
      </c>
      <c r="Y37" s="279">
        <f>SUM(Y27:Y36)</f>
        <v>0</v>
      </c>
      <c r="Z37" s="262" t="s">
        <v>2460</v>
      </c>
      <c r="AA37" s="263"/>
      <c r="AB37" s="263"/>
      <c r="AC37" s="264"/>
    </row>
    <row r="38" spans="1:7">
      <c r="A38" s="232">
        <v>8.02</v>
      </c>
      <c r="B38" s="233">
        <v>8</v>
      </c>
      <c r="C38" s="233">
        <v>4</v>
      </c>
      <c r="D38" s="233">
        <v>18</v>
      </c>
      <c r="E38" s="233">
        <v>3</v>
      </c>
      <c r="F38" s="233" t="s">
        <v>1931</v>
      </c>
      <c r="G38" s="233" t="s">
        <v>2397</v>
      </c>
    </row>
    <row r="39" spans="1:7">
      <c r="A39" s="232">
        <v>8.03</v>
      </c>
      <c r="B39" s="233">
        <v>12</v>
      </c>
      <c r="C39" s="233">
        <v>5</v>
      </c>
      <c r="D39" s="233">
        <v>20</v>
      </c>
      <c r="E39" s="233">
        <v>5</v>
      </c>
      <c r="F39" s="233" t="s">
        <v>1931</v>
      </c>
      <c r="G39" s="233" t="s">
        <v>2397</v>
      </c>
    </row>
    <row r="40" spans="1:7">
      <c r="A40" s="232">
        <v>8.04</v>
      </c>
      <c r="B40" s="233">
        <v>11</v>
      </c>
      <c r="C40" s="233">
        <v>5</v>
      </c>
      <c r="D40" s="233">
        <v>19</v>
      </c>
      <c r="E40" s="233">
        <v>4</v>
      </c>
      <c r="F40" s="233" t="s">
        <v>1931</v>
      </c>
      <c r="G40" s="233" t="s">
        <v>2397</v>
      </c>
    </row>
    <row r="41" spans="1:13">
      <c r="A41" s="232">
        <v>8.05</v>
      </c>
      <c r="B41" s="233">
        <v>11</v>
      </c>
      <c r="C41" s="233">
        <v>5</v>
      </c>
      <c r="D41" s="233">
        <v>21</v>
      </c>
      <c r="E41" s="233">
        <v>4</v>
      </c>
      <c r="F41" s="233" t="s">
        <v>1931</v>
      </c>
      <c r="G41" s="233" t="s">
        <v>2405</v>
      </c>
      <c r="L41" s="237"/>
      <c r="M41" s="23" t="s">
        <v>2542</v>
      </c>
    </row>
    <row r="42" spans="1:25">
      <c r="A42" s="232">
        <v>9.01</v>
      </c>
      <c r="B42" s="233">
        <v>11</v>
      </c>
      <c r="C42" s="233">
        <v>6</v>
      </c>
      <c r="D42" s="233">
        <v>23</v>
      </c>
      <c r="E42" s="233">
        <v>5</v>
      </c>
      <c r="F42" s="233" t="s">
        <v>1931</v>
      </c>
      <c r="G42" s="233" t="s">
        <v>2533</v>
      </c>
      <c r="L42" s="250"/>
      <c r="M42" s="239" t="s">
        <v>2538</v>
      </c>
      <c r="N42" s="240" t="s">
        <v>2412</v>
      </c>
      <c r="O42" s="240" t="s">
        <v>2413</v>
      </c>
      <c r="P42" s="240" t="s">
        <v>2414</v>
      </c>
      <c r="Q42" s="240" t="s">
        <v>2415</v>
      </c>
      <c r="R42" s="240" t="s">
        <v>2416</v>
      </c>
      <c r="S42" s="240" t="s">
        <v>2417</v>
      </c>
      <c r="T42" s="240" t="s">
        <v>2418</v>
      </c>
      <c r="U42" s="240" t="s">
        <v>2419</v>
      </c>
      <c r="V42" s="240" t="s">
        <v>2420</v>
      </c>
      <c r="W42" s="240" t="s">
        <v>2421</v>
      </c>
      <c r="X42" s="239" t="s">
        <v>2543</v>
      </c>
      <c r="Y42" s="266" t="s">
        <v>2423</v>
      </c>
    </row>
    <row r="43" spans="1:33">
      <c r="A43" s="232">
        <v>9.02</v>
      </c>
      <c r="B43" s="233">
        <v>11</v>
      </c>
      <c r="C43" s="233">
        <v>4</v>
      </c>
      <c r="D43" s="233">
        <v>17</v>
      </c>
      <c r="E43" s="233">
        <v>6</v>
      </c>
      <c r="F43" s="233" t="s">
        <v>1931</v>
      </c>
      <c r="G43" s="233" t="s">
        <v>2533</v>
      </c>
      <c r="L43" s="251"/>
      <c r="M43" s="241">
        <v>1</v>
      </c>
      <c r="N43" s="242">
        <v>0</v>
      </c>
      <c r="O43" s="242">
        <v>0</v>
      </c>
      <c r="P43" s="242">
        <v>0</v>
      </c>
      <c r="Q43" s="242">
        <v>0</v>
      </c>
      <c r="R43" s="242">
        <v>0</v>
      </c>
      <c r="S43" s="242">
        <v>0</v>
      </c>
      <c r="T43" s="242">
        <v>0</v>
      </c>
      <c r="U43" s="242">
        <v>0</v>
      </c>
      <c r="V43" s="242">
        <v>0</v>
      </c>
      <c r="W43" s="242">
        <v>0</v>
      </c>
      <c r="X43" s="258">
        <f t="shared" ref="X43:X47" si="7">AVERAGE(N43:W43)</f>
        <v>0</v>
      </c>
      <c r="Y43" s="267">
        <f t="shared" ref="Y43:Y52" si="8">SUM(N43:W43)</f>
        <v>0</v>
      </c>
      <c r="AA43" s="268" t="s">
        <v>2454</v>
      </c>
      <c r="AB43" s="268"/>
      <c r="AC43" s="269" t="s">
        <v>2425</v>
      </c>
      <c r="AD43" s="269"/>
      <c r="AE43" s="270" t="s">
        <v>2426</v>
      </c>
      <c r="AF43" s="270"/>
      <c r="AG43" s="23" t="s">
        <v>2427</v>
      </c>
    </row>
    <row r="44" spans="1:27">
      <c r="A44" s="232">
        <v>9.03</v>
      </c>
      <c r="B44" s="233">
        <v>10</v>
      </c>
      <c r="C44" s="233">
        <v>5</v>
      </c>
      <c r="D44" s="233">
        <v>15</v>
      </c>
      <c r="E44" s="233">
        <v>5</v>
      </c>
      <c r="F44" s="233" t="s">
        <v>1931</v>
      </c>
      <c r="G44" s="233" t="s">
        <v>2397</v>
      </c>
      <c r="L44" s="251"/>
      <c r="M44" s="244">
        <v>2</v>
      </c>
      <c r="N44" s="245">
        <v>0</v>
      </c>
      <c r="O44" s="245">
        <v>0</v>
      </c>
      <c r="P44" s="245">
        <v>0</v>
      </c>
      <c r="Q44" s="255">
        <v>0</v>
      </c>
      <c r="R44" s="245">
        <v>0</v>
      </c>
      <c r="S44" s="245">
        <v>0</v>
      </c>
      <c r="T44" s="245">
        <v>0</v>
      </c>
      <c r="U44" s="252">
        <v>0</v>
      </c>
      <c r="V44" s="245">
        <v>0</v>
      </c>
      <c r="W44" s="255">
        <v>0</v>
      </c>
      <c r="X44" s="259">
        <f t="shared" si="7"/>
        <v>0</v>
      </c>
      <c r="Y44" s="271">
        <f t="shared" si="8"/>
        <v>0</v>
      </c>
      <c r="AA44" s="23" t="s">
        <v>2429</v>
      </c>
    </row>
    <row r="45" spans="1:31">
      <c r="A45" s="232">
        <v>9.04</v>
      </c>
      <c r="B45" s="233">
        <v>12</v>
      </c>
      <c r="C45" s="233">
        <v>6</v>
      </c>
      <c r="D45" s="233">
        <v>28</v>
      </c>
      <c r="E45" s="233">
        <v>4</v>
      </c>
      <c r="F45" s="233" t="s">
        <v>1931</v>
      </c>
      <c r="G45" s="233" t="s">
        <v>2397</v>
      </c>
      <c r="H45" s="235" t="s">
        <v>2544</v>
      </c>
      <c r="L45" s="251"/>
      <c r="M45" s="246">
        <v>3</v>
      </c>
      <c r="N45" s="248">
        <v>0</v>
      </c>
      <c r="O45" s="248">
        <v>0</v>
      </c>
      <c r="P45" s="248">
        <v>0</v>
      </c>
      <c r="Q45" s="248">
        <v>0</v>
      </c>
      <c r="R45" s="248">
        <v>0</v>
      </c>
      <c r="S45" s="248">
        <v>10</v>
      </c>
      <c r="T45" s="248">
        <v>0</v>
      </c>
      <c r="U45" s="248">
        <v>0</v>
      </c>
      <c r="V45" s="248">
        <v>0</v>
      </c>
      <c r="W45" s="248">
        <v>0</v>
      </c>
      <c r="X45" s="260">
        <f t="shared" si="7"/>
        <v>1</v>
      </c>
      <c r="Y45" s="272">
        <f t="shared" si="8"/>
        <v>10</v>
      </c>
      <c r="AA45" s="128" t="s">
        <v>2430</v>
      </c>
      <c r="AB45" s="128">
        <f>COUNTIF(N43:W52,0)</f>
        <v>43</v>
      </c>
      <c r="AC45" s="273">
        <f t="shared" ref="AC45:AC47" si="9">(AB45/100)</f>
        <v>0.43</v>
      </c>
      <c r="AE45" s="23" t="s">
        <v>2431</v>
      </c>
    </row>
    <row r="46" spans="1:35">
      <c r="A46" s="232">
        <v>9.05</v>
      </c>
      <c r="B46" s="233">
        <v>11</v>
      </c>
      <c r="C46" s="233">
        <v>6</v>
      </c>
      <c r="D46" s="233">
        <v>18</v>
      </c>
      <c r="E46" s="233">
        <v>4</v>
      </c>
      <c r="F46" s="233" t="s">
        <v>1931</v>
      </c>
      <c r="G46" s="233" t="s">
        <v>2399</v>
      </c>
      <c r="H46" s="235" t="s">
        <v>2545</v>
      </c>
      <c r="I46" s="237"/>
      <c r="J46" s="237"/>
      <c r="K46" s="237"/>
      <c r="L46" s="251"/>
      <c r="M46" s="244">
        <v>4</v>
      </c>
      <c r="N46" s="245">
        <v>0</v>
      </c>
      <c r="O46" s="245">
        <v>10</v>
      </c>
      <c r="P46" s="252">
        <v>0</v>
      </c>
      <c r="Q46" s="245">
        <v>0</v>
      </c>
      <c r="R46" s="245">
        <v>0</v>
      </c>
      <c r="S46" s="255">
        <v>0</v>
      </c>
      <c r="T46" s="245">
        <v>0</v>
      </c>
      <c r="U46" s="245">
        <v>10</v>
      </c>
      <c r="V46" s="245">
        <v>0</v>
      </c>
      <c r="W46" s="245">
        <v>15</v>
      </c>
      <c r="X46" s="259">
        <f t="shared" si="7"/>
        <v>3.5</v>
      </c>
      <c r="Y46" s="271">
        <f t="shared" si="8"/>
        <v>35</v>
      </c>
      <c r="AA46" s="128" t="s">
        <v>2456</v>
      </c>
      <c r="AB46" s="128">
        <f>COUNTIF(N43:W52,10)</f>
        <v>4</v>
      </c>
      <c r="AC46" s="273">
        <f t="shared" si="9"/>
        <v>0.04</v>
      </c>
      <c r="AE46" s="274" t="s">
        <v>2434</v>
      </c>
      <c r="AF46" s="275"/>
      <c r="AG46" s="280" t="s">
        <v>2435</v>
      </c>
      <c r="AH46" s="275" t="s">
        <v>2436</v>
      </c>
      <c r="AI46" s="281"/>
    </row>
    <row r="47" spans="1:34">
      <c r="A47" s="232">
        <v>10.01</v>
      </c>
      <c r="B47" s="233">
        <v>9</v>
      </c>
      <c r="C47" s="233">
        <v>5</v>
      </c>
      <c r="D47" s="233">
        <v>21</v>
      </c>
      <c r="E47" s="233">
        <v>3</v>
      </c>
      <c r="F47" s="233" t="s">
        <v>1931</v>
      </c>
      <c r="G47" s="233" t="s">
        <v>2397</v>
      </c>
      <c r="M47" s="246">
        <v>5</v>
      </c>
      <c r="N47" s="248">
        <v>0</v>
      </c>
      <c r="O47" s="248">
        <v>10</v>
      </c>
      <c r="P47" s="248">
        <v>0</v>
      </c>
      <c r="Q47" s="248">
        <v>0</v>
      </c>
      <c r="R47" s="248">
        <v>0</v>
      </c>
      <c r="S47" s="248">
        <v>0</v>
      </c>
      <c r="T47" s="248">
        <v>0</v>
      </c>
      <c r="U47" s="248">
        <v>0</v>
      </c>
      <c r="V47" s="248">
        <v>15</v>
      </c>
      <c r="W47" s="248"/>
      <c r="X47" s="260">
        <f t="shared" si="7"/>
        <v>2.77777777777778</v>
      </c>
      <c r="Y47" s="272">
        <f t="shared" si="8"/>
        <v>25</v>
      </c>
      <c r="AA47" s="128" t="s">
        <v>2439</v>
      </c>
      <c r="AB47" s="128">
        <f>COUNTIF(N43:W52,15)</f>
        <v>2</v>
      </c>
      <c r="AC47" s="273">
        <f t="shared" si="9"/>
        <v>0.02</v>
      </c>
      <c r="AE47" s="23" t="s">
        <v>2438</v>
      </c>
      <c r="AG47" s="128">
        <v>2</v>
      </c>
      <c r="AH47" s="282">
        <f t="shared" ref="AH47:AH49" si="10">(AG47/100)</f>
        <v>0.02</v>
      </c>
    </row>
    <row r="48" spans="1:34">
      <c r="A48" s="232">
        <v>10.02</v>
      </c>
      <c r="B48" s="233">
        <v>14</v>
      </c>
      <c r="C48" s="233">
        <v>6</v>
      </c>
      <c r="D48" s="233">
        <v>25</v>
      </c>
      <c r="E48" s="233">
        <v>3</v>
      </c>
      <c r="F48" s="233" t="s">
        <v>1931</v>
      </c>
      <c r="G48" s="233" t="s">
        <v>2397</v>
      </c>
      <c r="M48" s="244">
        <v>6</v>
      </c>
      <c r="N48" s="245"/>
      <c r="O48" s="245"/>
      <c r="P48" s="245"/>
      <c r="Q48" s="245"/>
      <c r="R48" s="245"/>
      <c r="S48" s="245"/>
      <c r="T48" s="245"/>
      <c r="U48" s="245"/>
      <c r="V48" s="245"/>
      <c r="W48" s="245"/>
      <c r="X48" s="259" t="e">
        <v>#DIV/0!</v>
      </c>
      <c r="Y48" s="271">
        <f t="shared" si="8"/>
        <v>0</v>
      </c>
      <c r="AA48" s="128"/>
      <c r="AB48" s="128"/>
      <c r="AC48" s="273"/>
      <c r="AE48" s="23" t="s">
        <v>2440</v>
      </c>
      <c r="AG48" s="128">
        <v>3</v>
      </c>
      <c r="AH48" s="282">
        <f t="shared" si="10"/>
        <v>0.03</v>
      </c>
    </row>
    <row r="49" spans="1:34">
      <c r="A49" s="232">
        <v>10.03</v>
      </c>
      <c r="B49" s="233">
        <v>13</v>
      </c>
      <c r="C49" s="233">
        <v>6</v>
      </c>
      <c r="D49" s="233">
        <v>21</v>
      </c>
      <c r="E49" s="233">
        <v>4</v>
      </c>
      <c r="F49" s="233" t="s">
        <v>1931</v>
      </c>
      <c r="G49" s="233" t="s">
        <v>2399</v>
      </c>
      <c r="M49" s="246">
        <v>7</v>
      </c>
      <c r="N49" s="248"/>
      <c r="O49" s="248"/>
      <c r="P49" s="248"/>
      <c r="Q49" s="248"/>
      <c r="R49" s="248"/>
      <c r="S49" s="248"/>
      <c r="T49" s="248"/>
      <c r="U49" s="248"/>
      <c r="V49" s="248"/>
      <c r="W49" s="248"/>
      <c r="X49" s="260" t="e">
        <v>#DIV/0!</v>
      </c>
      <c r="Y49" s="272">
        <f t="shared" si="8"/>
        <v>0</v>
      </c>
      <c r="AA49" s="128"/>
      <c r="AB49" s="128"/>
      <c r="AC49" s="273"/>
      <c r="AE49" s="23" t="s">
        <v>2424</v>
      </c>
      <c r="AG49" s="128">
        <v>0</v>
      </c>
      <c r="AH49" s="282">
        <f t="shared" si="10"/>
        <v>0</v>
      </c>
    </row>
    <row r="50" spans="1:29">
      <c r="A50" s="232">
        <v>10.04</v>
      </c>
      <c r="B50" s="233">
        <v>10</v>
      </c>
      <c r="C50" s="233">
        <v>5</v>
      </c>
      <c r="D50" s="233">
        <v>23</v>
      </c>
      <c r="E50" s="233">
        <v>4</v>
      </c>
      <c r="F50" s="233" t="s">
        <v>1931</v>
      </c>
      <c r="G50" s="233" t="s">
        <v>2397</v>
      </c>
      <c r="M50" s="244">
        <v>8</v>
      </c>
      <c r="N50" s="245"/>
      <c r="O50" s="245"/>
      <c r="P50" s="245"/>
      <c r="Q50" s="245"/>
      <c r="R50" s="245"/>
      <c r="S50" s="245"/>
      <c r="T50" s="245"/>
      <c r="U50" s="245"/>
      <c r="V50" s="245"/>
      <c r="W50" s="245"/>
      <c r="X50" s="259" t="e">
        <v>#DIV/0!</v>
      </c>
      <c r="Y50" s="271">
        <f t="shared" si="8"/>
        <v>0</v>
      </c>
      <c r="AA50" s="128" t="s">
        <v>2458</v>
      </c>
      <c r="AB50" s="128">
        <f>COUNTBLANK(N43:W52)</f>
        <v>51</v>
      </c>
      <c r="AC50" s="273">
        <f>(AB50/100)</f>
        <v>0.51</v>
      </c>
    </row>
    <row r="51" spans="1:29">
      <c r="A51" s="232">
        <v>10.05</v>
      </c>
      <c r="B51" s="233">
        <v>10</v>
      </c>
      <c r="C51" s="233">
        <v>6</v>
      </c>
      <c r="D51" s="233">
        <v>23</v>
      </c>
      <c r="E51" s="233">
        <v>4</v>
      </c>
      <c r="F51" s="233" t="s">
        <v>1931</v>
      </c>
      <c r="G51" s="233" t="s">
        <v>2546</v>
      </c>
      <c r="H51" s="235" t="s">
        <v>2547</v>
      </c>
      <c r="I51" s="237"/>
      <c r="J51" s="237"/>
      <c r="K51" s="237"/>
      <c r="M51" s="246">
        <v>9</v>
      </c>
      <c r="N51" s="248"/>
      <c r="O51" s="248"/>
      <c r="P51" s="248"/>
      <c r="Q51" s="248"/>
      <c r="R51" s="248"/>
      <c r="S51" s="248"/>
      <c r="T51" s="248"/>
      <c r="U51" s="248"/>
      <c r="V51" s="248"/>
      <c r="W51" s="248"/>
      <c r="X51" s="260" t="e">
        <v>#DIV/0!</v>
      </c>
      <c r="Y51" s="272">
        <f t="shared" si="8"/>
        <v>0</v>
      </c>
      <c r="Z51" s="276">
        <f>AVERAGE(N43:W52)</f>
        <v>1.42857142857143</v>
      </c>
      <c r="AA51" s="277" t="s">
        <v>2448</v>
      </c>
      <c r="AB51" s="263"/>
      <c r="AC51" s="264"/>
    </row>
    <row r="52" hidden="1" spans="1:30">
      <c r="A52" s="232">
        <v>11.01</v>
      </c>
      <c r="B52" s="233">
        <v>9</v>
      </c>
      <c r="C52" s="233">
        <v>5</v>
      </c>
      <c r="D52" s="233">
        <v>19</v>
      </c>
      <c r="E52" s="233">
        <v>4</v>
      </c>
      <c r="F52" s="233" t="s">
        <v>2313</v>
      </c>
      <c r="K52" s="253"/>
      <c r="M52" s="244">
        <v>10</v>
      </c>
      <c r="N52" s="245"/>
      <c r="O52" s="245"/>
      <c r="P52" s="245"/>
      <c r="Q52" s="245"/>
      <c r="R52" s="245"/>
      <c r="S52" s="245"/>
      <c r="T52" s="245"/>
      <c r="U52" s="245"/>
      <c r="V52" s="245"/>
      <c r="W52" s="245"/>
      <c r="X52" s="261" t="e">
        <v>#DIV/0!</v>
      </c>
      <c r="Y52" s="271">
        <f t="shared" si="8"/>
        <v>0</v>
      </c>
      <c r="Z52" s="278">
        <f>SUM(Y43:Y52)</f>
        <v>70</v>
      </c>
      <c r="AA52" s="277" t="s">
        <v>2460</v>
      </c>
      <c r="AB52" s="263"/>
      <c r="AC52" s="263"/>
      <c r="AD52" s="264"/>
    </row>
    <row r="53" hidden="1" spans="1:29">
      <c r="A53" s="232">
        <v>11.02</v>
      </c>
      <c r="B53" s="233">
        <v>6</v>
      </c>
      <c r="C53" s="233">
        <v>4</v>
      </c>
      <c r="D53" s="233">
        <v>16</v>
      </c>
      <c r="E53" s="233">
        <v>2</v>
      </c>
      <c r="F53" s="233" t="s">
        <v>2313</v>
      </c>
      <c r="K53" s="238"/>
      <c r="U53" s="262" t="s">
        <v>2448</v>
      </c>
      <c r="V53" s="263"/>
      <c r="W53" s="264"/>
      <c r="X53" s="265">
        <f>AVERAGE(N43:W52)</f>
        <v>1.42857142857143</v>
      </c>
      <c r="Y53" s="279">
        <f>SUM(Y43:Y52)</f>
        <v>70</v>
      </c>
      <c r="Z53" s="262" t="s">
        <v>2460</v>
      </c>
      <c r="AA53" s="263"/>
      <c r="AB53" s="263"/>
      <c r="AC53" s="264"/>
    </row>
    <row r="54" hidden="1" spans="1:11">
      <c r="A54" s="232">
        <v>11.03</v>
      </c>
      <c r="B54" s="233">
        <v>9</v>
      </c>
      <c r="C54" s="233">
        <v>6</v>
      </c>
      <c r="D54" s="233">
        <v>30</v>
      </c>
      <c r="E54" s="233">
        <v>2</v>
      </c>
      <c r="F54" s="233" t="s">
        <v>2313</v>
      </c>
      <c r="K54" s="238"/>
    </row>
    <row r="55" hidden="1" spans="1:11">
      <c r="A55" s="232">
        <v>11.04</v>
      </c>
      <c r="B55" s="233">
        <v>9</v>
      </c>
      <c r="C55" s="233">
        <v>6</v>
      </c>
      <c r="D55" s="233">
        <v>23</v>
      </c>
      <c r="E55" s="233">
        <v>2</v>
      </c>
      <c r="F55" s="233" t="s">
        <v>2313</v>
      </c>
      <c r="K55" s="238"/>
    </row>
    <row r="56" hidden="1" spans="1:11">
      <c r="A56" s="232">
        <v>11.05</v>
      </c>
      <c r="B56" s="233">
        <v>8</v>
      </c>
      <c r="C56" s="233">
        <v>5</v>
      </c>
      <c r="D56" s="233">
        <v>24</v>
      </c>
      <c r="E56" s="233">
        <v>2</v>
      </c>
      <c r="F56" s="233" t="s">
        <v>2313</v>
      </c>
      <c r="K56" s="238"/>
    </row>
    <row r="57" spans="1:13">
      <c r="A57" s="232">
        <v>12.01</v>
      </c>
      <c r="B57" s="233">
        <v>7</v>
      </c>
      <c r="C57" s="233">
        <v>5</v>
      </c>
      <c r="D57" s="233">
        <v>29</v>
      </c>
      <c r="E57" s="233">
        <v>2</v>
      </c>
      <c r="F57" s="233" t="s">
        <v>1931</v>
      </c>
      <c r="G57" s="233" t="s">
        <v>2548</v>
      </c>
      <c r="H57" s="235" t="s">
        <v>2549</v>
      </c>
      <c r="I57" s="237"/>
      <c r="J57" s="237"/>
      <c r="K57" s="238"/>
      <c r="L57" s="254"/>
      <c r="M57" s="23" t="s">
        <v>2550</v>
      </c>
    </row>
    <row r="58" hidden="1" spans="1:25">
      <c r="A58" s="232">
        <v>12.02</v>
      </c>
      <c r="B58" s="233">
        <v>8</v>
      </c>
      <c r="C58" s="233">
        <v>7</v>
      </c>
      <c r="D58" s="233">
        <v>37</v>
      </c>
      <c r="E58" s="233">
        <v>1</v>
      </c>
      <c r="F58" s="233" t="s">
        <v>2313</v>
      </c>
      <c r="J58" s="253"/>
      <c r="M58" s="239" t="s">
        <v>2536</v>
      </c>
      <c r="N58" s="240" t="s">
        <v>2412</v>
      </c>
      <c r="O58" s="240" t="s">
        <v>2413</v>
      </c>
      <c r="P58" s="240" t="s">
        <v>2414</v>
      </c>
      <c r="Q58" s="240" t="s">
        <v>2415</v>
      </c>
      <c r="R58" s="240" t="s">
        <v>2416</v>
      </c>
      <c r="S58" s="240" t="s">
        <v>2417</v>
      </c>
      <c r="T58" s="240" t="s">
        <v>2418</v>
      </c>
      <c r="U58" s="240" t="s">
        <v>2419</v>
      </c>
      <c r="V58" s="240" t="s">
        <v>2420</v>
      </c>
      <c r="W58" s="240" t="s">
        <v>2421</v>
      </c>
      <c r="X58" s="239" t="s">
        <v>2422</v>
      </c>
      <c r="Y58" s="266" t="s">
        <v>2423</v>
      </c>
    </row>
    <row r="59" hidden="1" spans="1:33">
      <c r="A59" s="232">
        <v>12.03</v>
      </c>
      <c r="B59" s="234" t="s">
        <v>2551</v>
      </c>
      <c r="C59" s="233">
        <v>7</v>
      </c>
      <c r="D59" s="233">
        <v>40</v>
      </c>
      <c r="E59" s="233">
        <v>2</v>
      </c>
      <c r="F59" s="233" t="s">
        <v>2313</v>
      </c>
      <c r="J59" s="238"/>
      <c r="M59" s="241">
        <v>1</v>
      </c>
      <c r="N59" s="242">
        <v>0</v>
      </c>
      <c r="O59" s="242">
        <v>0</v>
      </c>
      <c r="P59" s="242">
        <v>0</v>
      </c>
      <c r="Q59" s="242">
        <v>0</v>
      </c>
      <c r="R59" s="242">
        <v>0</v>
      </c>
      <c r="S59" s="242">
        <v>0</v>
      </c>
      <c r="T59" s="242">
        <v>0</v>
      </c>
      <c r="U59" s="242">
        <v>0</v>
      </c>
      <c r="V59" s="242">
        <v>0</v>
      </c>
      <c r="W59" s="242">
        <v>0</v>
      </c>
      <c r="X59" s="258">
        <f t="shared" ref="X59:X122" si="11">AVERAGE(N59:W59)</f>
        <v>0</v>
      </c>
      <c r="Y59" s="267">
        <f t="shared" ref="Y59:Y122" si="12">SUM(N59:W59)</f>
        <v>0</v>
      </c>
      <c r="AA59" s="268" t="s">
        <v>2454</v>
      </c>
      <c r="AB59" s="268"/>
      <c r="AC59" s="269" t="s">
        <v>2425</v>
      </c>
      <c r="AD59" s="269"/>
      <c r="AE59" s="270" t="s">
        <v>2426</v>
      </c>
      <c r="AF59" s="270"/>
      <c r="AG59" s="23" t="s">
        <v>2427</v>
      </c>
    </row>
    <row r="60" hidden="1" spans="1:27">
      <c r="A60" s="232">
        <v>12.04</v>
      </c>
      <c r="B60" s="233">
        <v>7</v>
      </c>
      <c r="C60" s="233">
        <v>7</v>
      </c>
      <c r="D60" s="233">
        <v>42</v>
      </c>
      <c r="E60" s="233">
        <v>0</v>
      </c>
      <c r="F60" s="233" t="s">
        <v>2313</v>
      </c>
      <c r="J60" s="238"/>
      <c r="M60" s="244">
        <v>2</v>
      </c>
      <c r="N60" s="252">
        <v>0</v>
      </c>
      <c r="O60" s="245">
        <v>0</v>
      </c>
      <c r="P60" s="245">
        <v>0</v>
      </c>
      <c r="Q60" s="252">
        <v>0</v>
      </c>
      <c r="R60" s="245">
        <v>0</v>
      </c>
      <c r="S60" s="245">
        <v>0</v>
      </c>
      <c r="T60" s="245">
        <v>0</v>
      </c>
      <c r="U60" s="245">
        <v>0</v>
      </c>
      <c r="V60" s="245">
        <v>0</v>
      </c>
      <c r="W60" s="245">
        <v>0</v>
      </c>
      <c r="X60" s="259">
        <f t="shared" si="11"/>
        <v>0</v>
      </c>
      <c r="Y60" s="271">
        <f t="shared" si="12"/>
        <v>0</v>
      </c>
      <c r="AA60" s="23" t="s">
        <v>2429</v>
      </c>
    </row>
    <row r="61" hidden="1" spans="1:31">
      <c r="A61" s="232">
        <v>12.05</v>
      </c>
      <c r="B61" s="233">
        <v>7</v>
      </c>
      <c r="C61" s="234" t="s">
        <v>2552</v>
      </c>
      <c r="D61" s="234" t="s">
        <v>2553</v>
      </c>
      <c r="E61" s="233">
        <v>1</v>
      </c>
      <c r="F61" s="233" t="s">
        <v>2313</v>
      </c>
      <c r="J61" s="238"/>
      <c r="M61" s="246">
        <v>3</v>
      </c>
      <c r="N61" s="248">
        <v>10</v>
      </c>
      <c r="O61" s="247">
        <v>0</v>
      </c>
      <c r="P61" s="248">
        <v>0</v>
      </c>
      <c r="Q61" s="248">
        <v>0</v>
      </c>
      <c r="R61" s="256">
        <v>0</v>
      </c>
      <c r="S61" s="248">
        <v>0</v>
      </c>
      <c r="T61" s="248">
        <v>0</v>
      </c>
      <c r="U61" s="248">
        <v>0</v>
      </c>
      <c r="V61" s="248">
        <v>0</v>
      </c>
      <c r="W61" s="248">
        <v>0</v>
      </c>
      <c r="X61" s="260">
        <f t="shared" si="11"/>
        <v>1</v>
      </c>
      <c r="Y61" s="272">
        <f t="shared" si="12"/>
        <v>10</v>
      </c>
      <c r="AA61" s="128" t="s">
        <v>2430</v>
      </c>
      <c r="AB61" s="128">
        <f>COUNTIF(N59:W68,0)</f>
        <v>96</v>
      </c>
      <c r="AC61" s="273">
        <f t="shared" ref="AC61:AC63" si="13">(AB61/100)</f>
        <v>0.96</v>
      </c>
      <c r="AE61" s="23" t="s">
        <v>2431</v>
      </c>
    </row>
    <row r="62" hidden="1" spans="1:35">
      <c r="A62" s="232">
        <v>13.01</v>
      </c>
      <c r="B62" s="233">
        <v>3</v>
      </c>
      <c r="C62" s="233">
        <v>3</v>
      </c>
      <c r="D62" s="233">
        <v>20</v>
      </c>
      <c r="E62" s="233">
        <v>3</v>
      </c>
      <c r="F62" s="233" t="s">
        <v>2313</v>
      </c>
      <c r="H62" s="233" t="s">
        <v>2554</v>
      </c>
      <c r="J62" s="238"/>
      <c r="M62" s="244">
        <v>4</v>
      </c>
      <c r="N62" s="245">
        <v>0</v>
      </c>
      <c r="O62" s="245">
        <v>0</v>
      </c>
      <c r="P62" s="255">
        <v>0</v>
      </c>
      <c r="Q62" s="245">
        <v>0</v>
      </c>
      <c r="R62" s="245">
        <v>0</v>
      </c>
      <c r="S62" s="245">
        <v>0</v>
      </c>
      <c r="T62" s="245">
        <v>0</v>
      </c>
      <c r="U62" s="245">
        <v>0</v>
      </c>
      <c r="V62" s="255">
        <v>0</v>
      </c>
      <c r="W62" s="245">
        <v>0</v>
      </c>
      <c r="X62" s="259">
        <f t="shared" si="11"/>
        <v>0</v>
      </c>
      <c r="Y62" s="271">
        <f t="shared" si="12"/>
        <v>0</v>
      </c>
      <c r="AA62" s="128" t="s">
        <v>2456</v>
      </c>
      <c r="AB62" s="128">
        <f>COUNTIF(N59:W68,10)</f>
        <v>2</v>
      </c>
      <c r="AC62" s="273">
        <f t="shared" si="13"/>
        <v>0.02</v>
      </c>
      <c r="AE62" s="274" t="s">
        <v>2434</v>
      </c>
      <c r="AF62" s="275"/>
      <c r="AG62" s="280" t="s">
        <v>2435</v>
      </c>
      <c r="AH62" s="275" t="s">
        <v>2436</v>
      </c>
      <c r="AI62" s="281"/>
    </row>
    <row r="63" hidden="1" spans="1:34">
      <c r="A63" s="232">
        <v>13.02</v>
      </c>
      <c r="B63" s="233">
        <v>4</v>
      </c>
      <c r="C63" s="233">
        <v>2</v>
      </c>
      <c r="D63" s="233">
        <v>18</v>
      </c>
      <c r="E63" s="233">
        <v>3</v>
      </c>
      <c r="F63" s="233" t="s">
        <v>2313</v>
      </c>
      <c r="H63" s="233" t="s">
        <v>2555</v>
      </c>
      <c r="J63" s="238"/>
      <c r="M63" s="246">
        <v>5</v>
      </c>
      <c r="N63" s="248">
        <v>0</v>
      </c>
      <c r="O63" s="256">
        <v>0</v>
      </c>
      <c r="P63" s="248">
        <v>0</v>
      </c>
      <c r="Q63" s="248">
        <v>0</v>
      </c>
      <c r="R63" s="248">
        <v>0</v>
      </c>
      <c r="S63" s="248">
        <v>0</v>
      </c>
      <c r="T63" s="248">
        <v>0</v>
      </c>
      <c r="U63" s="247">
        <v>0</v>
      </c>
      <c r="V63" s="248">
        <v>0</v>
      </c>
      <c r="W63" s="247">
        <v>0</v>
      </c>
      <c r="X63" s="260">
        <f t="shared" si="11"/>
        <v>0</v>
      </c>
      <c r="Y63" s="272">
        <f t="shared" si="12"/>
        <v>0</v>
      </c>
      <c r="AA63" s="128" t="s">
        <v>2439</v>
      </c>
      <c r="AB63" s="128">
        <f>COUNTIF(N59:W68,15)</f>
        <v>2</v>
      </c>
      <c r="AC63" s="273">
        <f t="shared" si="13"/>
        <v>0.02</v>
      </c>
      <c r="AE63" s="23" t="s">
        <v>2438</v>
      </c>
      <c r="AG63" s="128">
        <v>5</v>
      </c>
      <c r="AH63" s="282">
        <f t="shared" ref="AH63:AH65" si="14">(AG63/100)</f>
        <v>0.05</v>
      </c>
    </row>
    <row r="64" hidden="1" spans="1:34">
      <c r="A64" s="232">
        <v>13.03</v>
      </c>
      <c r="B64" s="233">
        <v>5</v>
      </c>
      <c r="C64" s="233">
        <v>3</v>
      </c>
      <c r="D64" s="233">
        <v>23</v>
      </c>
      <c r="E64" s="233">
        <v>3</v>
      </c>
      <c r="F64" s="233" t="s">
        <v>2313</v>
      </c>
      <c r="H64" s="233" t="s">
        <v>2556</v>
      </c>
      <c r="J64" s="238"/>
      <c r="M64" s="244">
        <v>6</v>
      </c>
      <c r="N64" s="245">
        <v>0</v>
      </c>
      <c r="O64" s="245">
        <v>0</v>
      </c>
      <c r="P64" s="252">
        <v>0</v>
      </c>
      <c r="Q64" s="245">
        <v>15</v>
      </c>
      <c r="R64" s="245">
        <v>0</v>
      </c>
      <c r="S64" s="245">
        <v>0</v>
      </c>
      <c r="T64" s="245">
        <v>0</v>
      </c>
      <c r="U64" s="245">
        <v>0</v>
      </c>
      <c r="V64" s="245">
        <v>0</v>
      </c>
      <c r="W64" s="255">
        <v>0</v>
      </c>
      <c r="X64" s="259">
        <f t="shared" si="11"/>
        <v>1.5</v>
      </c>
      <c r="Y64" s="271">
        <f t="shared" si="12"/>
        <v>15</v>
      </c>
      <c r="AA64" s="128"/>
      <c r="AB64" s="128"/>
      <c r="AC64" s="273"/>
      <c r="AE64" s="23" t="s">
        <v>2440</v>
      </c>
      <c r="AG64" s="128">
        <v>11</v>
      </c>
      <c r="AH64" s="282">
        <f t="shared" si="14"/>
        <v>0.11</v>
      </c>
    </row>
    <row r="65" spans="1:34">
      <c r="A65" s="232">
        <v>13.04</v>
      </c>
      <c r="B65" s="233">
        <v>6</v>
      </c>
      <c r="C65" s="233">
        <v>4</v>
      </c>
      <c r="D65" s="233">
        <v>23</v>
      </c>
      <c r="E65" s="233">
        <v>3</v>
      </c>
      <c r="F65" s="233" t="s">
        <v>1931</v>
      </c>
      <c r="G65" s="233" t="s">
        <v>2394</v>
      </c>
      <c r="H65" s="233">
        <v>6</v>
      </c>
      <c r="J65" s="238"/>
      <c r="M65" s="246">
        <v>7</v>
      </c>
      <c r="N65" s="248">
        <v>0</v>
      </c>
      <c r="O65" s="247">
        <v>0</v>
      </c>
      <c r="P65" s="248">
        <v>0</v>
      </c>
      <c r="Q65" s="248">
        <v>0</v>
      </c>
      <c r="R65" s="248">
        <v>0</v>
      </c>
      <c r="S65" s="248">
        <v>0</v>
      </c>
      <c r="T65" s="248">
        <v>0</v>
      </c>
      <c r="U65" s="247">
        <v>0</v>
      </c>
      <c r="V65" s="248">
        <v>0</v>
      </c>
      <c r="W65" s="248">
        <v>0</v>
      </c>
      <c r="X65" s="260">
        <f t="shared" si="11"/>
        <v>0</v>
      </c>
      <c r="Y65" s="272">
        <f t="shared" si="12"/>
        <v>0</v>
      </c>
      <c r="AA65" s="128"/>
      <c r="AB65" s="128"/>
      <c r="AC65" s="273"/>
      <c r="AE65" s="23" t="s">
        <v>2454</v>
      </c>
      <c r="AG65" s="128">
        <v>0</v>
      </c>
      <c r="AH65" s="282">
        <f t="shared" si="14"/>
        <v>0</v>
      </c>
    </row>
    <row r="66" spans="1:29">
      <c r="A66" s="232">
        <v>13.05</v>
      </c>
      <c r="B66" s="233">
        <v>7</v>
      </c>
      <c r="C66" s="233">
        <v>3</v>
      </c>
      <c r="D66" s="233">
        <v>19</v>
      </c>
      <c r="E66" s="233">
        <v>3</v>
      </c>
      <c r="F66" s="233" t="s">
        <v>1931</v>
      </c>
      <c r="G66" s="233" t="s">
        <v>2394</v>
      </c>
      <c r="H66" s="233" t="s">
        <v>2557</v>
      </c>
      <c r="J66" s="238"/>
      <c r="M66" s="244">
        <v>8</v>
      </c>
      <c r="N66" s="245">
        <v>0</v>
      </c>
      <c r="O66" s="245">
        <v>0</v>
      </c>
      <c r="P66" s="245">
        <v>0</v>
      </c>
      <c r="Q66" s="245">
        <v>0</v>
      </c>
      <c r="R66" s="245">
        <v>0</v>
      </c>
      <c r="S66" s="245">
        <v>0</v>
      </c>
      <c r="T66" s="245">
        <v>0</v>
      </c>
      <c r="U66" s="245">
        <v>0</v>
      </c>
      <c r="V66" s="245">
        <v>0</v>
      </c>
      <c r="W66" s="245">
        <v>0</v>
      </c>
      <c r="X66" s="259">
        <f t="shared" si="11"/>
        <v>0</v>
      </c>
      <c r="Y66" s="271">
        <f t="shared" si="12"/>
        <v>0</v>
      </c>
      <c r="AA66" s="128"/>
      <c r="AB66" s="128"/>
      <c r="AC66" s="273"/>
    </row>
    <row r="67" hidden="1" spans="1:29">
      <c r="A67" s="232"/>
      <c r="J67" s="238"/>
      <c r="M67" s="246">
        <v>9</v>
      </c>
      <c r="N67" s="247">
        <v>0</v>
      </c>
      <c r="O67" s="247">
        <v>0</v>
      </c>
      <c r="P67" s="248">
        <v>10</v>
      </c>
      <c r="Q67" s="247">
        <v>0</v>
      </c>
      <c r="R67" s="248">
        <v>0</v>
      </c>
      <c r="S67" s="248">
        <v>15</v>
      </c>
      <c r="T67" s="248">
        <v>0</v>
      </c>
      <c r="U67" s="248">
        <v>0</v>
      </c>
      <c r="V67" s="248">
        <v>0</v>
      </c>
      <c r="W67" s="248">
        <v>0</v>
      </c>
      <c r="X67" s="260">
        <f t="shared" si="11"/>
        <v>2.5</v>
      </c>
      <c r="Y67" s="272">
        <f t="shared" si="12"/>
        <v>25</v>
      </c>
      <c r="Z67" s="276">
        <f>AVERAGE(N59:W68)</f>
        <v>0.5</v>
      </c>
      <c r="AA67" s="277" t="s">
        <v>2444</v>
      </c>
      <c r="AB67" s="263"/>
      <c r="AC67" s="264"/>
    </row>
    <row r="68" spans="10:30">
      <c r="J68" s="238"/>
      <c r="M68" s="244">
        <v>10</v>
      </c>
      <c r="N68" s="245">
        <v>0</v>
      </c>
      <c r="O68" s="245">
        <v>0</v>
      </c>
      <c r="P68" s="245">
        <v>0</v>
      </c>
      <c r="Q68" s="245">
        <v>0</v>
      </c>
      <c r="R68" s="245">
        <v>0</v>
      </c>
      <c r="S68" s="245">
        <v>0</v>
      </c>
      <c r="T68" s="245">
        <v>0</v>
      </c>
      <c r="U68" s="245">
        <v>0</v>
      </c>
      <c r="V68" s="245">
        <v>0</v>
      </c>
      <c r="W68" s="245">
        <v>0</v>
      </c>
      <c r="X68" s="261">
        <f t="shared" si="11"/>
        <v>0</v>
      </c>
      <c r="Y68" s="271">
        <f t="shared" si="12"/>
        <v>0</v>
      </c>
      <c r="Z68" s="278">
        <f>SUM(Y59:Y68)</f>
        <v>50</v>
      </c>
      <c r="AA68" s="277" t="s">
        <v>2445</v>
      </c>
      <c r="AB68" s="263"/>
      <c r="AC68" s="263"/>
      <c r="AD68" s="264"/>
    </row>
    <row r="69" spans="10:33">
      <c r="J69" s="238"/>
      <c r="M69" s="241">
        <v>11</v>
      </c>
      <c r="N69" s="242">
        <v>0</v>
      </c>
      <c r="O69" s="242">
        <v>0</v>
      </c>
      <c r="P69" s="242">
        <v>0</v>
      </c>
      <c r="Q69" s="257">
        <v>0</v>
      </c>
      <c r="R69" s="242">
        <v>0</v>
      </c>
      <c r="S69" s="242">
        <v>0</v>
      </c>
      <c r="T69" s="242">
        <v>0</v>
      </c>
      <c r="U69" s="242">
        <v>0</v>
      </c>
      <c r="V69" s="242">
        <v>0</v>
      </c>
      <c r="W69" s="242">
        <v>0</v>
      </c>
      <c r="X69" s="258">
        <f t="shared" si="11"/>
        <v>0</v>
      </c>
      <c r="Y69" s="267">
        <f t="shared" si="12"/>
        <v>0</v>
      </c>
      <c r="AA69" s="268" t="s">
        <v>2454</v>
      </c>
      <c r="AB69" s="268"/>
      <c r="AC69" s="269" t="s">
        <v>2425</v>
      </c>
      <c r="AD69" s="269"/>
      <c r="AE69" s="270" t="s">
        <v>2426</v>
      </c>
      <c r="AF69" s="270"/>
      <c r="AG69" s="23" t="s">
        <v>2427</v>
      </c>
    </row>
    <row r="70" spans="10:27">
      <c r="J70" s="238"/>
      <c r="M70" s="244">
        <v>12</v>
      </c>
      <c r="N70" s="245">
        <v>0</v>
      </c>
      <c r="O70" s="245">
        <v>0</v>
      </c>
      <c r="P70" s="245">
        <v>0</v>
      </c>
      <c r="Q70" s="245">
        <v>0</v>
      </c>
      <c r="R70" s="245">
        <v>0</v>
      </c>
      <c r="S70" s="245">
        <v>15</v>
      </c>
      <c r="T70" s="252">
        <v>0</v>
      </c>
      <c r="U70" s="245">
        <v>0</v>
      </c>
      <c r="V70" s="245">
        <v>0</v>
      </c>
      <c r="W70" s="245">
        <v>0</v>
      </c>
      <c r="X70" s="259">
        <f t="shared" si="11"/>
        <v>1.5</v>
      </c>
      <c r="Y70" s="271">
        <f t="shared" si="12"/>
        <v>15</v>
      </c>
      <c r="AA70" s="23" t="s">
        <v>2429</v>
      </c>
    </row>
    <row r="71" spans="10:31">
      <c r="J71" s="238"/>
      <c r="M71" s="246">
        <v>13</v>
      </c>
      <c r="N71" s="248">
        <v>0</v>
      </c>
      <c r="O71" s="248">
        <v>0</v>
      </c>
      <c r="P71" s="248">
        <v>0</v>
      </c>
      <c r="Q71" s="248">
        <v>15</v>
      </c>
      <c r="R71" s="248">
        <v>0</v>
      </c>
      <c r="S71" s="248">
        <v>0</v>
      </c>
      <c r="T71" s="247">
        <v>0</v>
      </c>
      <c r="U71" s="248">
        <v>0</v>
      </c>
      <c r="V71" s="248">
        <v>0</v>
      </c>
      <c r="W71" s="256">
        <v>0</v>
      </c>
      <c r="X71" s="260">
        <f t="shared" si="11"/>
        <v>1.5</v>
      </c>
      <c r="Y71" s="272">
        <f t="shared" si="12"/>
        <v>15</v>
      </c>
      <c r="AA71" s="128" t="s">
        <v>2430</v>
      </c>
      <c r="AB71" s="128">
        <f>COUNTIF(N69:W78,0)</f>
        <v>91</v>
      </c>
      <c r="AC71" s="273">
        <f t="shared" ref="AC71:AC73" si="15">(AB71/100)</f>
        <v>0.91</v>
      </c>
      <c r="AE71" s="23" t="s">
        <v>2431</v>
      </c>
    </row>
    <row r="72" spans="10:35">
      <c r="J72" s="238"/>
      <c r="M72" s="244">
        <v>14</v>
      </c>
      <c r="N72" s="245">
        <v>0</v>
      </c>
      <c r="O72" s="245">
        <v>0</v>
      </c>
      <c r="P72" s="245">
        <v>0</v>
      </c>
      <c r="Q72" s="245">
        <v>0</v>
      </c>
      <c r="R72" s="245">
        <v>10</v>
      </c>
      <c r="S72" s="245">
        <v>0</v>
      </c>
      <c r="T72" s="245">
        <v>0</v>
      </c>
      <c r="U72" s="252">
        <v>0</v>
      </c>
      <c r="V72" s="245">
        <v>0</v>
      </c>
      <c r="W72" s="245">
        <v>0</v>
      </c>
      <c r="X72" s="259">
        <f t="shared" si="11"/>
        <v>1</v>
      </c>
      <c r="Y72" s="271">
        <f t="shared" si="12"/>
        <v>10</v>
      </c>
      <c r="AA72" s="128" t="s">
        <v>2456</v>
      </c>
      <c r="AB72" s="128">
        <f>COUNTIF(N69:W78,10)</f>
        <v>3</v>
      </c>
      <c r="AC72" s="273">
        <f t="shared" si="15"/>
        <v>0.03</v>
      </c>
      <c r="AE72" s="274" t="s">
        <v>2434</v>
      </c>
      <c r="AF72" s="275"/>
      <c r="AG72" s="280" t="s">
        <v>2435</v>
      </c>
      <c r="AH72" s="275" t="s">
        <v>2436</v>
      </c>
      <c r="AI72" s="281"/>
    </row>
    <row r="73" spans="10:34">
      <c r="J73" s="238"/>
      <c r="M73" s="246">
        <v>15</v>
      </c>
      <c r="N73" s="247">
        <v>0</v>
      </c>
      <c r="O73" s="248">
        <v>0</v>
      </c>
      <c r="P73" s="248">
        <v>15</v>
      </c>
      <c r="Q73" s="256">
        <v>0</v>
      </c>
      <c r="R73" s="248">
        <v>0</v>
      </c>
      <c r="S73" s="248">
        <v>0</v>
      </c>
      <c r="T73" s="248">
        <v>0</v>
      </c>
      <c r="U73" s="248">
        <v>0</v>
      </c>
      <c r="V73" s="248">
        <v>0</v>
      </c>
      <c r="W73" s="248">
        <v>0</v>
      </c>
      <c r="X73" s="260">
        <f t="shared" si="11"/>
        <v>1.5</v>
      </c>
      <c r="Y73" s="272">
        <f t="shared" si="12"/>
        <v>15</v>
      </c>
      <c r="AA73" s="128" t="s">
        <v>2439</v>
      </c>
      <c r="AB73" s="128">
        <f>COUNTIF(N69:W78,15)</f>
        <v>6</v>
      </c>
      <c r="AC73" s="273">
        <f t="shared" si="15"/>
        <v>0.06</v>
      </c>
      <c r="AE73" s="23" t="s">
        <v>2438</v>
      </c>
      <c r="AG73" s="128">
        <v>7</v>
      </c>
      <c r="AH73" s="282">
        <f t="shared" ref="AH73:AH75" si="16">(AG73/100)</f>
        <v>0.07</v>
      </c>
    </row>
    <row r="74" spans="10:34">
      <c r="J74" s="238"/>
      <c r="M74" s="244">
        <v>16</v>
      </c>
      <c r="N74" s="245">
        <v>0</v>
      </c>
      <c r="O74" s="245">
        <v>0</v>
      </c>
      <c r="P74" s="245">
        <v>15</v>
      </c>
      <c r="Q74" s="255">
        <v>0</v>
      </c>
      <c r="R74" s="245">
        <v>0</v>
      </c>
      <c r="S74" s="245">
        <v>0</v>
      </c>
      <c r="T74" s="245">
        <v>0</v>
      </c>
      <c r="U74" s="245">
        <v>0</v>
      </c>
      <c r="V74" s="245">
        <v>0</v>
      </c>
      <c r="W74" s="245">
        <v>0</v>
      </c>
      <c r="X74" s="259">
        <f t="shared" si="11"/>
        <v>1.5</v>
      </c>
      <c r="Y74" s="271">
        <f t="shared" si="12"/>
        <v>15</v>
      </c>
      <c r="AA74" s="128"/>
      <c r="AB74" s="128"/>
      <c r="AC74" s="273"/>
      <c r="AE74" s="23" t="s">
        <v>2440</v>
      </c>
      <c r="AG74" s="128">
        <v>6</v>
      </c>
      <c r="AH74" s="282">
        <f t="shared" si="16"/>
        <v>0.06</v>
      </c>
    </row>
    <row r="75" spans="10:34">
      <c r="J75" s="238"/>
      <c r="M75" s="246">
        <v>17</v>
      </c>
      <c r="N75" s="248">
        <v>0</v>
      </c>
      <c r="O75" s="248">
        <v>0</v>
      </c>
      <c r="P75" s="247">
        <v>0</v>
      </c>
      <c r="Q75" s="248">
        <v>0</v>
      </c>
      <c r="R75" s="248">
        <v>0</v>
      </c>
      <c r="S75" s="248">
        <v>0</v>
      </c>
      <c r="T75" s="248">
        <v>0</v>
      </c>
      <c r="U75" s="248">
        <v>0</v>
      </c>
      <c r="V75" s="248">
        <v>0</v>
      </c>
      <c r="W75" s="248">
        <v>0</v>
      </c>
      <c r="X75" s="260">
        <f t="shared" si="11"/>
        <v>0</v>
      </c>
      <c r="Y75" s="272">
        <f t="shared" si="12"/>
        <v>0</v>
      </c>
      <c r="AA75" s="128"/>
      <c r="AB75" s="128"/>
      <c r="AC75" s="273"/>
      <c r="AE75" s="23" t="s">
        <v>2454</v>
      </c>
      <c r="AG75" s="128">
        <v>0</v>
      </c>
      <c r="AH75" s="282">
        <f t="shared" si="16"/>
        <v>0</v>
      </c>
    </row>
    <row r="76" spans="10:29">
      <c r="J76" s="238"/>
      <c r="M76" s="244">
        <v>18</v>
      </c>
      <c r="N76" s="245">
        <v>0</v>
      </c>
      <c r="O76" s="245">
        <v>10</v>
      </c>
      <c r="P76" s="245">
        <v>0</v>
      </c>
      <c r="Q76" s="245">
        <v>0</v>
      </c>
      <c r="R76" s="245">
        <v>10</v>
      </c>
      <c r="S76" s="255">
        <v>0</v>
      </c>
      <c r="T76" s="245">
        <v>0</v>
      </c>
      <c r="U76" s="245">
        <v>0</v>
      </c>
      <c r="V76" s="245">
        <v>0</v>
      </c>
      <c r="W76" s="245">
        <v>0</v>
      </c>
      <c r="X76" s="259">
        <f t="shared" si="11"/>
        <v>2</v>
      </c>
      <c r="Y76" s="271">
        <f t="shared" si="12"/>
        <v>20</v>
      </c>
      <c r="AA76" s="128"/>
      <c r="AB76" s="128"/>
      <c r="AC76" s="273"/>
    </row>
    <row r="77" spans="10:29">
      <c r="J77" s="238"/>
      <c r="M77" s="246">
        <v>19</v>
      </c>
      <c r="N77" s="248">
        <v>0</v>
      </c>
      <c r="O77" s="248">
        <v>15</v>
      </c>
      <c r="P77" s="248">
        <v>0</v>
      </c>
      <c r="Q77" s="248">
        <v>0</v>
      </c>
      <c r="R77" s="248">
        <v>0</v>
      </c>
      <c r="S77" s="248">
        <v>0</v>
      </c>
      <c r="T77" s="248">
        <v>0</v>
      </c>
      <c r="U77" s="248">
        <v>0</v>
      </c>
      <c r="V77" s="248">
        <v>0</v>
      </c>
      <c r="W77" s="247">
        <v>0</v>
      </c>
      <c r="X77" s="260">
        <f t="shared" si="11"/>
        <v>1.5</v>
      </c>
      <c r="Y77" s="272">
        <f t="shared" si="12"/>
        <v>15</v>
      </c>
      <c r="Z77" s="276">
        <f>AVERAGE(N69:W78)</f>
        <v>1.2</v>
      </c>
      <c r="AA77" s="277" t="s">
        <v>2444</v>
      </c>
      <c r="AB77" s="263"/>
      <c r="AC77" s="264"/>
    </row>
    <row r="78" spans="10:30">
      <c r="J78" s="238"/>
      <c r="M78" s="244">
        <v>20</v>
      </c>
      <c r="N78" s="245">
        <v>0</v>
      </c>
      <c r="O78" s="245">
        <v>0</v>
      </c>
      <c r="P78" s="245">
        <v>15</v>
      </c>
      <c r="Q78" s="245">
        <v>0</v>
      </c>
      <c r="R78" s="252">
        <v>0</v>
      </c>
      <c r="S78" s="245">
        <v>0</v>
      </c>
      <c r="T78" s="245">
        <v>0</v>
      </c>
      <c r="U78" s="245">
        <v>0</v>
      </c>
      <c r="V78" s="245">
        <v>0</v>
      </c>
      <c r="W78" s="252">
        <v>0</v>
      </c>
      <c r="X78" s="261">
        <f t="shared" si="11"/>
        <v>1.5</v>
      </c>
      <c r="Y78" s="294">
        <f t="shared" si="12"/>
        <v>15</v>
      </c>
      <c r="Z78" s="278">
        <f>SUM(Y69:Y78)</f>
        <v>120</v>
      </c>
      <c r="AA78" s="277" t="s">
        <v>2516</v>
      </c>
      <c r="AB78" s="263"/>
      <c r="AC78" s="263"/>
      <c r="AD78" s="264"/>
    </row>
    <row r="79" spans="10:33">
      <c r="J79" s="238"/>
      <c r="M79" s="241">
        <v>21</v>
      </c>
      <c r="N79" s="242">
        <v>0</v>
      </c>
      <c r="O79" s="242">
        <v>0</v>
      </c>
      <c r="P79" s="243">
        <v>0</v>
      </c>
      <c r="Q79" s="242">
        <v>0</v>
      </c>
      <c r="R79" s="242">
        <v>0</v>
      </c>
      <c r="S79" s="242">
        <v>0</v>
      </c>
      <c r="T79" s="243">
        <v>0</v>
      </c>
      <c r="U79" s="242">
        <v>15</v>
      </c>
      <c r="V79" s="242">
        <v>0</v>
      </c>
      <c r="W79" s="242">
        <v>10</v>
      </c>
      <c r="X79" s="258">
        <f t="shared" si="11"/>
        <v>2.5</v>
      </c>
      <c r="Y79" s="267">
        <f t="shared" si="12"/>
        <v>25</v>
      </c>
      <c r="AA79" s="268" t="s">
        <v>2454</v>
      </c>
      <c r="AB79" s="268"/>
      <c r="AC79" s="269" t="s">
        <v>2425</v>
      </c>
      <c r="AD79" s="269"/>
      <c r="AE79" s="270" t="s">
        <v>2426</v>
      </c>
      <c r="AF79" s="270"/>
      <c r="AG79" s="23" t="s">
        <v>2427</v>
      </c>
    </row>
    <row r="80" spans="10:27">
      <c r="J80" s="238"/>
      <c r="M80" s="244">
        <v>22</v>
      </c>
      <c r="N80" s="245">
        <v>0</v>
      </c>
      <c r="O80" s="245">
        <v>0</v>
      </c>
      <c r="P80" s="245">
        <v>0</v>
      </c>
      <c r="Q80" s="245">
        <v>0</v>
      </c>
      <c r="R80" s="245">
        <v>0</v>
      </c>
      <c r="S80" s="255">
        <v>0</v>
      </c>
      <c r="T80" s="245">
        <v>10</v>
      </c>
      <c r="U80" s="252">
        <v>0</v>
      </c>
      <c r="V80" s="245">
        <v>0</v>
      </c>
      <c r="W80" s="245">
        <v>15</v>
      </c>
      <c r="X80" s="259">
        <f t="shared" si="11"/>
        <v>2.5</v>
      </c>
      <c r="Y80" s="271">
        <f t="shared" si="12"/>
        <v>25</v>
      </c>
      <c r="AA80" s="23" t="s">
        <v>2429</v>
      </c>
    </row>
    <row r="81" spans="10:31">
      <c r="J81" s="238"/>
      <c r="M81" s="246">
        <v>23</v>
      </c>
      <c r="N81" s="247">
        <v>0</v>
      </c>
      <c r="O81" s="248">
        <v>0</v>
      </c>
      <c r="P81" s="248">
        <v>0</v>
      </c>
      <c r="Q81" s="256">
        <v>0</v>
      </c>
      <c r="R81" s="256">
        <v>0</v>
      </c>
      <c r="S81" s="248">
        <v>15</v>
      </c>
      <c r="T81" s="248">
        <v>0</v>
      </c>
      <c r="U81" s="248">
        <v>0</v>
      </c>
      <c r="V81" s="248">
        <v>0</v>
      </c>
      <c r="W81" s="248">
        <v>0</v>
      </c>
      <c r="X81" s="260">
        <f t="shared" si="11"/>
        <v>1.5</v>
      </c>
      <c r="Y81" s="272">
        <f t="shared" si="12"/>
        <v>15</v>
      </c>
      <c r="AA81" s="128" t="s">
        <v>2430</v>
      </c>
      <c r="AB81" s="128">
        <f>COUNTIF(N79:W88,0)</f>
        <v>90</v>
      </c>
      <c r="AC81" s="273">
        <f t="shared" ref="AC81:AC83" si="17">(AB81/100)</f>
        <v>0.9</v>
      </c>
      <c r="AE81" s="23" t="s">
        <v>2431</v>
      </c>
    </row>
    <row r="82" spans="10:35">
      <c r="J82" s="238"/>
      <c r="M82" s="244">
        <v>24</v>
      </c>
      <c r="N82" s="245">
        <v>0</v>
      </c>
      <c r="O82" s="255">
        <v>0</v>
      </c>
      <c r="P82" s="245">
        <v>0</v>
      </c>
      <c r="Q82" s="245">
        <v>0</v>
      </c>
      <c r="R82" s="245">
        <v>0</v>
      </c>
      <c r="S82" s="245">
        <v>0</v>
      </c>
      <c r="T82" s="245">
        <v>0</v>
      </c>
      <c r="U82" s="245">
        <v>0</v>
      </c>
      <c r="V82" s="245">
        <v>0</v>
      </c>
      <c r="W82" s="245">
        <v>10</v>
      </c>
      <c r="X82" s="259">
        <f t="shared" si="11"/>
        <v>1</v>
      </c>
      <c r="Y82" s="271">
        <f t="shared" si="12"/>
        <v>10</v>
      </c>
      <c r="AA82" s="128" t="s">
        <v>2456</v>
      </c>
      <c r="AB82" s="128">
        <f>COUNTIF(N79:W88,10)</f>
        <v>4</v>
      </c>
      <c r="AC82" s="273">
        <f t="shared" si="17"/>
        <v>0.04</v>
      </c>
      <c r="AE82" s="274" t="s">
        <v>2434</v>
      </c>
      <c r="AF82" s="275"/>
      <c r="AG82" s="280" t="s">
        <v>2435</v>
      </c>
      <c r="AH82" s="275" t="s">
        <v>2436</v>
      </c>
      <c r="AI82" s="281"/>
    </row>
    <row r="83" spans="10:34">
      <c r="J83" s="238"/>
      <c r="M83" s="246">
        <v>25</v>
      </c>
      <c r="N83" s="248">
        <v>0</v>
      </c>
      <c r="O83" s="247">
        <v>0</v>
      </c>
      <c r="P83" s="248">
        <v>10</v>
      </c>
      <c r="Q83" s="248">
        <v>0</v>
      </c>
      <c r="R83" s="248">
        <v>0</v>
      </c>
      <c r="S83" s="248">
        <v>0</v>
      </c>
      <c r="T83" s="248">
        <v>0</v>
      </c>
      <c r="U83" s="248">
        <v>0</v>
      </c>
      <c r="V83" s="248">
        <v>0</v>
      </c>
      <c r="W83" s="248">
        <v>0</v>
      </c>
      <c r="X83" s="260">
        <f t="shared" si="11"/>
        <v>1</v>
      </c>
      <c r="Y83" s="272">
        <f t="shared" si="12"/>
        <v>10</v>
      </c>
      <c r="AA83" s="128" t="s">
        <v>2439</v>
      </c>
      <c r="AB83" s="128">
        <f>COUNTIF(N79:W88,15)</f>
        <v>6</v>
      </c>
      <c r="AC83" s="273">
        <f t="shared" si="17"/>
        <v>0.06</v>
      </c>
      <c r="AE83" s="23" t="s">
        <v>2438</v>
      </c>
      <c r="AG83" s="128">
        <v>6</v>
      </c>
      <c r="AH83" s="282">
        <f t="shared" ref="AH83:AH85" si="18">(AG83/100)</f>
        <v>0.06</v>
      </c>
    </row>
    <row r="84" spans="10:34">
      <c r="J84" s="238"/>
      <c r="M84" s="244">
        <v>26</v>
      </c>
      <c r="N84" s="245">
        <v>0</v>
      </c>
      <c r="O84" s="245">
        <v>0</v>
      </c>
      <c r="P84" s="252">
        <v>0</v>
      </c>
      <c r="Q84" s="245">
        <v>0</v>
      </c>
      <c r="R84" s="245">
        <v>0</v>
      </c>
      <c r="S84" s="245">
        <v>0</v>
      </c>
      <c r="T84" s="245">
        <v>0</v>
      </c>
      <c r="U84" s="245">
        <v>0</v>
      </c>
      <c r="V84" s="245">
        <v>0</v>
      </c>
      <c r="W84" s="245">
        <v>0</v>
      </c>
      <c r="X84" s="259">
        <f t="shared" si="11"/>
        <v>0</v>
      </c>
      <c r="Y84" s="271">
        <f t="shared" si="12"/>
        <v>0</v>
      </c>
      <c r="AA84" s="128"/>
      <c r="AB84" s="128"/>
      <c r="AC84" s="273"/>
      <c r="AE84" s="23" t="s">
        <v>2440</v>
      </c>
      <c r="AG84" s="128">
        <v>9</v>
      </c>
      <c r="AH84" s="282">
        <f t="shared" si="18"/>
        <v>0.09</v>
      </c>
    </row>
    <row r="85" spans="10:34">
      <c r="J85" s="238"/>
      <c r="M85" s="246">
        <v>27</v>
      </c>
      <c r="N85" s="248">
        <v>0</v>
      </c>
      <c r="O85" s="248">
        <v>0</v>
      </c>
      <c r="P85" s="248">
        <v>0</v>
      </c>
      <c r="Q85" s="248">
        <v>0</v>
      </c>
      <c r="R85" s="248">
        <v>0</v>
      </c>
      <c r="S85" s="247">
        <v>0</v>
      </c>
      <c r="T85" s="248">
        <v>0</v>
      </c>
      <c r="U85" s="248">
        <v>0</v>
      </c>
      <c r="V85" s="248">
        <v>0</v>
      </c>
      <c r="W85" s="248">
        <v>0</v>
      </c>
      <c r="X85" s="260">
        <f t="shared" si="11"/>
        <v>0</v>
      </c>
      <c r="Y85" s="272">
        <f t="shared" si="12"/>
        <v>0</v>
      </c>
      <c r="AA85" s="128"/>
      <c r="AB85" s="128"/>
      <c r="AC85" s="273"/>
      <c r="AE85" s="23" t="s">
        <v>2454</v>
      </c>
      <c r="AG85" s="128">
        <v>0</v>
      </c>
      <c r="AH85" s="282">
        <f t="shared" si="18"/>
        <v>0</v>
      </c>
    </row>
    <row r="86" spans="10:29">
      <c r="J86" s="238"/>
      <c r="M86" s="244">
        <v>28</v>
      </c>
      <c r="N86" s="255">
        <v>0</v>
      </c>
      <c r="O86" s="245">
        <v>0</v>
      </c>
      <c r="P86" s="245">
        <v>0</v>
      </c>
      <c r="Q86" s="245">
        <v>0</v>
      </c>
      <c r="R86" s="245">
        <v>0</v>
      </c>
      <c r="S86" s="245">
        <v>0</v>
      </c>
      <c r="T86" s="245">
        <v>0</v>
      </c>
      <c r="U86" s="245">
        <v>0</v>
      </c>
      <c r="V86" s="245">
        <v>0</v>
      </c>
      <c r="W86" s="255">
        <v>0</v>
      </c>
      <c r="X86" s="259">
        <f t="shared" si="11"/>
        <v>0</v>
      </c>
      <c r="Y86" s="271">
        <f t="shared" si="12"/>
        <v>0</v>
      </c>
      <c r="AA86" s="128"/>
      <c r="AB86" s="128"/>
      <c r="AC86" s="273"/>
    </row>
    <row r="87" spans="10:29">
      <c r="J87" s="238"/>
      <c r="M87" s="246">
        <v>29</v>
      </c>
      <c r="N87" s="248">
        <v>0</v>
      </c>
      <c r="O87" s="248">
        <v>0</v>
      </c>
      <c r="P87" s="248">
        <v>0</v>
      </c>
      <c r="Q87" s="248">
        <v>0</v>
      </c>
      <c r="R87" s="248">
        <v>0</v>
      </c>
      <c r="S87" s="248">
        <v>0</v>
      </c>
      <c r="T87" s="248">
        <v>0</v>
      </c>
      <c r="U87" s="256">
        <v>0</v>
      </c>
      <c r="V87" s="248">
        <v>15</v>
      </c>
      <c r="W87" s="248">
        <v>0</v>
      </c>
      <c r="X87" s="260">
        <f t="shared" si="11"/>
        <v>1.5</v>
      </c>
      <c r="Y87" s="272">
        <f t="shared" si="12"/>
        <v>15</v>
      </c>
      <c r="Z87" s="276">
        <f>AVERAGE(N79:W88)</f>
        <v>1.3</v>
      </c>
      <c r="AA87" s="277" t="s">
        <v>2448</v>
      </c>
      <c r="AB87" s="263"/>
      <c r="AC87" s="264"/>
    </row>
    <row r="88" spans="10:30">
      <c r="J88" s="238"/>
      <c r="M88" s="244">
        <v>30</v>
      </c>
      <c r="N88" s="252">
        <v>0</v>
      </c>
      <c r="O88" s="245">
        <v>0</v>
      </c>
      <c r="P88" s="245">
        <v>0</v>
      </c>
      <c r="Q88" s="245">
        <v>15</v>
      </c>
      <c r="R88" s="245">
        <v>0</v>
      </c>
      <c r="S88" s="245">
        <v>0</v>
      </c>
      <c r="T88" s="245">
        <v>0</v>
      </c>
      <c r="U88" s="245">
        <v>15</v>
      </c>
      <c r="V88" s="245">
        <v>0</v>
      </c>
      <c r="W88" s="245">
        <v>0</v>
      </c>
      <c r="X88" s="261">
        <f t="shared" si="11"/>
        <v>3</v>
      </c>
      <c r="Y88" s="294">
        <f t="shared" si="12"/>
        <v>30</v>
      </c>
      <c r="Z88" s="278">
        <f>SUM(Y79:Y88)</f>
        <v>130</v>
      </c>
      <c r="AA88" s="277" t="s">
        <v>2460</v>
      </c>
      <c r="AB88" s="263"/>
      <c r="AC88" s="263"/>
      <c r="AD88" s="264"/>
    </row>
    <row r="89" spans="10:33">
      <c r="J89" s="238"/>
      <c r="M89" s="241">
        <v>31</v>
      </c>
      <c r="N89" s="242">
        <v>15</v>
      </c>
      <c r="O89" s="242">
        <v>0</v>
      </c>
      <c r="P89" s="242">
        <v>0</v>
      </c>
      <c r="Q89" s="242">
        <v>0</v>
      </c>
      <c r="R89" s="242">
        <v>0</v>
      </c>
      <c r="S89" s="242">
        <v>0</v>
      </c>
      <c r="T89" s="242">
        <v>0</v>
      </c>
      <c r="U89" s="242">
        <v>0</v>
      </c>
      <c r="V89" s="242">
        <v>0</v>
      </c>
      <c r="W89" s="243">
        <v>0</v>
      </c>
      <c r="X89" s="258">
        <f t="shared" si="11"/>
        <v>1.5</v>
      </c>
      <c r="Y89" s="267">
        <f t="shared" si="12"/>
        <v>15</v>
      </c>
      <c r="AA89" s="268" t="s">
        <v>2454</v>
      </c>
      <c r="AB89" s="268"/>
      <c r="AC89" s="269" t="s">
        <v>2425</v>
      </c>
      <c r="AD89" s="269"/>
      <c r="AE89" s="270" t="s">
        <v>2426</v>
      </c>
      <c r="AF89" s="270"/>
      <c r="AG89" s="23" t="s">
        <v>2427</v>
      </c>
    </row>
    <row r="90" spans="10:27">
      <c r="J90" s="238"/>
      <c r="M90" s="244">
        <v>32</v>
      </c>
      <c r="N90" s="245">
        <v>0</v>
      </c>
      <c r="O90" s="245">
        <v>0</v>
      </c>
      <c r="P90" s="245">
        <v>0</v>
      </c>
      <c r="Q90" s="245">
        <v>0</v>
      </c>
      <c r="R90" s="245">
        <v>0</v>
      </c>
      <c r="S90" s="245">
        <v>0</v>
      </c>
      <c r="T90" s="245">
        <v>0</v>
      </c>
      <c r="U90" s="245">
        <v>0</v>
      </c>
      <c r="V90" s="245">
        <v>0</v>
      </c>
      <c r="W90" s="245">
        <v>0</v>
      </c>
      <c r="X90" s="259">
        <f t="shared" si="11"/>
        <v>0</v>
      </c>
      <c r="Y90" s="271">
        <f t="shared" si="12"/>
        <v>0</v>
      </c>
      <c r="AA90" s="23" t="s">
        <v>2429</v>
      </c>
    </row>
    <row r="91" spans="10:31">
      <c r="J91" s="238"/>
      <c r="M91" s="246">
        <v>33</v>
      </c>
      <c r="N91" s="248">
        <v>0</v>
      </c>
      <c r="O91" s="248">
        <v>0</v>
      </c>
      <c r="P91" s="248">
        <v>0</v>
      </c>
      <c r="Q91" s="248">
        <v>0</v>
      </c>
      <c r="R91" s="248">
        <v>0</v>
      </c>
      <c r="S91" s="248">
        <v>0</v>
      </c>
      <c r="T91" s="248">
        <v>0</v>
      </c>
      <c r="U91" s="248">
        <v>0</v>
      </c>
      <c r="V91" s="248">
        <v>0</v>
      </c>
      <c r="W91" s="248">
        <v>0</v>
      </c>
      <c r="X91" s="260">
        <f t="shared" si="11"/>
        <v>0</v>
      </c>
      <c r="Y91" s="272">
        <f t="shared" si="12"/>
        <v>0</v>
      </c>
      <c r="AA91" s="128" t="s">
        <v>2430</v>
      </c>
      <c r="AB91" s="128">
        <f>COUNTIF(N89:W98,0)</f>
        <v>95</v>
      </c>
      <c r="AC91" s="273">
        <f t="shared" ref="AC91:AC93" si="19">(AB91/100)</f>
        <v>0.95</v>
      </c>
      <c r="AE91" s="23" t="s">
        <v>2431</v>
      </c>
    </row>
    <row r="92" spans="10:35">
      <c r="J92" s="238"/>
      <c r="M92" s="244">
        <v>34</v>
      </c>
      <c r="N92" s="245">
        <v>0</v>
      </c>
      <c r="O92" s="245">
        <v>0</v>
      </c>
      <c r="P92" s="245">
        <v>0</v>
      </c>
      <c r="Q92" s="245">
        <v>0</v>
      </c>
      <c r="R92" s="245">
        <v>0</v>
      </c>
      <c r="S92" s="245">
        <v>0</v>
      </c>
      <c r="T92" s="245">
        <v>0</v>
      </c>
      <c r="U92" s="245">
        <v>0</v>
      </c>
      <c r="V92" s="245">
        <v>0</v>
      </c>
      <c r="W92" s="245">
        <v>0</v>
      </c>
      <c r="X92" s="259">
        <f t="shared" si="11"/>
        <v>0</v>
      </c>
      <c r="Y92" s="271">
        <f t="shared" si="12"/>
        <v>0</v>
      </c>
      <c r="AA92" s="128" t="s">
        <v>2456</v>
      </c>
      <c r="AB92" s="128">
        <f>COUNTIF(N89:W98,10)</f>
        <v>3</v>
      </c>
      <c r="AC92" s="273">
        <f t="shared" si="19"/>
        <v>0.03</v>
      </c>
      <c r="AE92" s="274" t="s">
        <v>2434</v>
      </c>
      <c r="AF92" s="275"/>
      <c r="AG92" s="280" t="s">
        <v>2435</v>
      </c>
      <c r="AH92" s="275" t="s">
        <v>2436</v>
      </c>
      <c r="AI92" s="281"/>
    </row>
    <row r="93" spans="10:34">
      <c r="J93" s="238"/>
      <c r="M93" s="246">
        <v>35</v>
      </c>
      <c r="N93" s="256">
        <v>0</v>
      </c>
      <c r="O93" s="248">
        <v>0</v>
      </c>
      <c r="P93" s="248">
        <v>0</v>
      </c>
      <c r="Q93" s="248">
        <v>0</v>
      </c>
      <c r="R93" s="248">
        <v>0</v>
      </c>
      <c r="S93" s="248">
        <v>0</v>
      </c>
      <c r="T93" s="248">
        <v>0</v>
      </c>
      <c r="U93" s="248">
        <v>0</v>
      </c>
      <c r="V93" s="247">
        <v>0</v>
      </c>
      <c r="W93" s="248">
        <v>0</v>
      </c>
      <c r="X93" s="260">
        <f t="shared" si="11"/>
        <v>0</v>
      </c>
      <c r="Y93" s="272">
        <f t="shared" si="12"/>
        <v>0</v>
      </c>
      <c r="AA93" s="128" t="s">
        <v>2439</v>
      </c>
      <c r="AB93" s="128">
        <f>COUNTIF(N89:W98,15)</f>
        <v>2</v>
      </c>
      <c r="AC93" s="273">
        <f t="shared" si="19"/>
        <v>0.02</v>
      </c>
      <c r="AE93" s="23" t="s">
        <v>2447</v>
      </c>
      <c r="AG93" s="128">
        <v>3</v>
      </c>
      <c r="AH93" s="282">
        <f t="shared" ref="AH93:AH95" si="20">(AG93/100)</f>
        <v>0.03</v>
      </c>
    </row>
    <row r="94" spans="10:34">
      <c r="J94" s="238"/>
      <c r="M94" s="244">
        <v>36</v>
      </c>
      <c r="N94" s="245">
        <v>15</v>
      </c>
      <c r="O94" s="245">
        <v>0</v>
      </c>
      <c r="P94" s="255">
        <v>0</v>
      </c>
      <c r="Q94" s="245">
        <v>0</v>
      </c>
      <c r="R94" s="252">
        <v>0</v>
      </c>
      <c r="S94" s="245">
        <v>0</v>
      </c>
      <c r="T94" s="245">
        <v>0</v>
      </c>
      <c r="U94" s="245">
        <v>0</v>
      </c>
      <c r="V94" s="245">
        <v>0</v>
      </c>
      <c r="W94" s="245">
        <v>0</v>
      </c>
      <c r="X94" s="259">
        <f t="shared" si="11"/>
        <v>1.5</v>
      </c>
      <c r="Y94" s="271">
        <f t="shared" si="12"/>
        <v>15</v>
      </c>
      <c r="AA94" s="128"/>
      <c r="AB94" s="128"/>
      <c r="AC94" s="273"/>
      <c r="AE94" s="23" t="s">
        <v>2440</v>
      </c>
      <c r="AG94" s="128">
        <v>9</v>
      </c>
      <c r="AH94" s="282">
        <f t="shared" si="20"/>
        <v>0.09</v>
      </c>
    </row>
    <row r="95" spans="10:34">
      <c r="J95" s="238"/>
      <c r="M95" s="246">
        <v>37</v>
      </c>
      <c r="N95" s="248">
        <v>0</v>
      </c>
      <c r="O95" s="248">
        <v>0</v>
      </c>
      <c r="P95" s="256">
        <v>0</v>
      </c>
      <c r="Q95" s="247">
        <v>0</v>
      </c>
      <c r="R95" s="248">
        <v>0</v>
      </c>
      <c r="S95" s="248">
        <v>0</v>
      </c>
      <c r="T95" s="248">
        <v>0</v>
      </c>
      <c r="U95" s="247">
        <v>0</v>
      </c>
      <c r="V95" s="248">
        <v>0</v>
      </c>
      <c r="W95" s="247">
        <v>0</v>
      </c>
      <c r="X95" s="260">
        <f t="shared" si="11"/>
        <v>0</v>
      </c>
      <c r="Y95" s="272">
        <f t="shared" si="12"/>
        <v>0</v>
      </c>
      <c r="AA95" s="128"/>
      <c r="AB95" s="128"/>
      <c r="AC95" s="273"/>
      <c r="AE95" s="23" t="s">
        <v>2442</v>
      </c>
      <c r="AG95" s="128">
        <v>0</v>
      </c>
      <c r="AH95" s="282">
        <f t="shared" si="20"/>
        <v>0</v>
      </c>
    </row>
    <row r="96" spans="10:29">
      <c r="J96" s="238"/>
      <c r="M96" s="244">
        <v>38</v>
      </c>
      <c r="N96" s="245">
        <v>0</v>
      </c>
      <c r="O96" s="245">
        <v>0</v>
      </c>
      <c r="P96" s="245">
        <v>0</v>
      </c>
      <c r="Q96" s="245">
        <v>0</v>
      </c>
      <c r="R96" s="255">
        <v>0</v>
      </c>
      <c r="S96" s="245">
        <v>0</v>
      </c>
      <c r="T96" s="245">
        <v>0</v>
      </c>
      <c r="U96" s="245">
        <v>0</v>
      </c>
      <c r="V96" s="245">
        <v>0</v>
      </c>
      <c r="W96" s="255">
        <v>0</v>
      </c>
      <c r="X96" s="259">
        <f t="shared" si="11"/>
        <v>0</v>
      </c>
      <c r="Y96" s="271">
        <f t="shared" si="12"/>
        <v>0</v>
      </c>
      <c r="AA96" s="128"/>
      <c r="AB96" s="128"/>
      <c r="AC96" s="273"/>
    </row>
    <row r="97" spans="10:29">
      <c r="J97" s="238"/>
      <c r="M97" s="246">
        <v>39</v>
      </c>
      <c r="N97" s="248">
        <v>10</v>
      </c>
      <c r="O97" s="247">
        <v>0</v>
      </c>
      <c r="P97" s="248">
        <v>0</v>
      </c>
      <c r="Q97" s="248">
        <v>0</v>
      </c>
      <c r="R97" s="248">
        <v>0</v>
      </c>
      <c r="S97" s="248">
        <v>0</v>
      </c>
      <c r="T97" s="248">
        <v>0</v>
      </c>
      <c r="U97" s="248">
        <v>0</v>
      </c>
      <c r="V97" s="248">
        <v>0</v>
      </c>
      <c r="W97" s="248">
        <v>0</v>
      </c>
      <c r="X97" s="260">
        <f t="shared" si="11"/>
        <v>1</v>
      </c>
      <c r="Y97" s="272">
        <f t="shared" si="12"/>
        <v>10</v>
      </c>
      <c r="Z97" s="276">
        <f>AVERAGE(N89:W98)</f>
        <v>0.6</v>
      </c>
      <c r="AA97" s="277" t="s">
        <v>2448</v>
      </c>
      <c r="AB97" s="263"/>
      <c r="AC97" s="264"/>
    </row>
    <row r="98" spans="10:30">
      <c r="J98" s="238"/>
      <c r="M98" s="244">
        <v>40</v>
      </c>
      <c r="N98" s="245">
        <v>0</v>
      </c>
      <c r="O98" s="245">
        <v>0</v>
      </c>
      <c r="P98" s="245">
        <v>10</v>
      </c>
      <c r="Q98" s="245">
        <v>0</v>
      </c>
      <c r="R98" s="245">
        <v>0</v>
      </c>
      <c r="S98" s="245">
        <v>0</v>
      </c>
      <c r="T98" s="245">
        <v>0</v>
      </c>
      <c r="U98" s="245">
        <v>10</v>
      </c>
      <c r="V98" s="245">
        <v>0</v>
      </c>
      <c r="W98" s="245">
        <v>0</v>
      </c>
      <c r="X98" s="261">
        <f t="shared" si="11"/>
        <v>2</v>
      </c>
      <c r="Y98" s="294">
        <f t="shared" si="12"/>
        <v>20</v>
      </c>
      <c r="Z98" s="278">
        <f>SUM(Y89:Y98)</f>
        <v>60</v>
      </c>
      <c r="AA98" s="277" t="s">
        <v>2460</v>
      </c>
      <c r="AB98" s="263"/>
      <c r="AC98" s="263"/>
      <c r="AD98" s="264"/>
    </row>
    <row r="99" spans="10:33">
      <c r="J99" s="238"/>
      <c r="M99" s="241">
        <v>41</v>
      </c>
      <c r="N99" s="242">
        <v>15</v>
      </c>
      <c r="O99" s="242">
        <v>10</v>
      </c>
      <c r="P99" s="242">
        <v>15</v>
      </c>
      <c r="Q99" s="242">
        <v>15</v>
      </c>
      <c r="R99" s="242">
        <v>0</v>
      </c>
      <c r="S99" s="242">
        <v>15</v>
      </c>
      <c r="T99" s="242">
        <v>0</v>
      </c>
      <c r="U99" s="242">
        <v>0</v>
      </c>
      <c r="V99" s="242">
        <v>0</v>
      </c>
      <c r="W99" s="242">
        <v>0</v>
      </c>
      <c r="X99" s="258">
        <f t="shared" si="11"/>
        <v>7</v>
      </c>
      <c r="Y99" s="267">
        <f t="shared" si="12"/>
        <v>70</v>
      </c>
      <c r="AA99" s="268" t="s">
        <v>2442</v>
      </c>
      <c r="AB99" s="268"/>
      <c r="AC99" s="269" t="s">
        <v>2425</v>
      </c>
      <c r="AD99" s="269"/>
      <c r="AE99" s="270" t="s">
        <v>2426</v>
      </c>
      <c r="AF99" s="270"/>
      <c r="AG99" s="23" t="s">
        <v>2427</v>
      </c>
    </row>
    <row r="100" spans="10:27">
      <c r="J100" s="238"/>
      <c r="M100" s="244">
        <v>42</v>
      </c>
      <c r="N100" s="245">
        <v>0</v>
      </c>
      <c r="O100" s="245">
        <v>0</v>
      </c>
      <c r="P100" s="245">
        <v>0</v>
      </c>
      <c r="Q100" s="245">
        <v>0</v>
      </c>
      <c r="R100" s="255">
        <v>0</v>
      </c>
      <c r="S100" s="245">
        <v>0</v>
      </c>
      <c r="T100" s="245">
        <v>15</v>
      </c>
      <c r="U100" s="245">
        <v>0</v>
      </c>
      <c r="V100" s="245">
        <v>15</v>
      </c>
      <c r="W100" s="245">
        <v>0</v>
      </c>
      <c r="X100" s="259">
        <f t="shared" si="11"/>
        <v>3</v>
      </c>
      <c r="Y100" s="271">
        <f t="shared" si="12"/>
        <v>30</v>
      </c>
      <c r="AA100" s="23" t="s">
        <v>2429</v>
      </c>
    </row>
    <row r="101" spans="10:31">
      <c r="J101" s="238"/>
      <c r="M101" s="246">
        <v>43</v>
      </c>
      <c r="N101" s="248">
        <v>0</v>
      </c>
      <c r="O101" s="248">
        <v>0</v>
      </c>
      <c r="P101" s="248">
        <v>0</v>
      </c>
      <c r="Q101" s="248">
        <v>0</v>
      </c>
      <c r="R101" s="248">
        <v>0</v>
      </c>
      <c r="S101" s="248">
        <v>0</v>
      </c>
      <c r="T101" s="248">
        <v>0</v>
      </c>
      <c r="U101" s="248">
        <v>0</v>
      </c>
      <c r="V101" s="248">
        <v>0</v>
      </c>
      <c r="W101" s="248">
        <v>0</v>
      </c>
      <c r="X101" s="260">
        <f t="shared" si="11"/>
        <v>0</v>
      </c>
      <c r="Y101" s="272">
        <f t="shared" si="12"/>
        <v>0</v>
      </c>
      <c r="AA101" s="128" t="s">
        <v>2430</v>
      </c>
      <c r="AB101" s="128">
        <f>COUNTIF(N99:W108,0)</f>
        <v>91</v>
      </c>
      <c r="AC101" s="273">
        <f t="shared" ref="AC101:AC103" si="21">(AB101/100)</f>
        <v>0.91</v>
      </c>
      <c r="AE101" s="23" t="s">
        <v>2431</v>
      </c>
    </row>
    <row r="102" spans="10:35">
      <c r="J102" s="238"/>
      <c r="M102" s="244">
        <v>44</v>
      </c>
      <c r="N102" s="245">
        <v>0</v>
      </c>
      <c r="O102" s="245">
        <v>0</v>
      </c>
      <c r="P102" s="252">
        <v>0</v>
      </c>
      <c r="Q102" s="245">
        <v>0</v>
      </c>
      <c r="R102" s="252">
        <v>0</v>
      </c>
      <c r="S102" s="245">
        <v>0</v>
      </c>
      <c r="T102" s="245">
        <v>10</v>
      </c>
      <c r="U102" s="245">
        <v>0</v>
      </c>
      <c r="V102" s="245">
        <v>0</v>
      </c>
      <c r="W102" s="245">
        <v>0</v>
      </c>
      <c r="X102" s="259">
        <f t="shared" si="11"/>
        <v>1</v>
      </c>
      <c r="Y102" s="271">
        <f t="shared" si="12"/>
        <v>10</v>
      </c>
      <c r="AA102" s="128" t="s">
        <v>2456</v>
      </c>
      <c r="AB102" s="128">
        <f>COUNTIF(N99:W108,10)</f>
        <v>3</v>
      </c>
      <c r="AC102" s="273">
        <f t="shared" si="21"/>
        <v>0.03</v>
      </c>
      <c r="AE102" s="274" t="s">
        <v>2434</v>
      </c>
      <c r="AF102" s="275"/>
      <c r="AG102" s="280" t="s">
        <v>2435</v>
      </c>
      <c r="AH102" s="275" t="s">
        <v>2436</v>
      </c>
      <c r="AI102" s="281"/>
    </row>
    <row r="103" spans="10:34">
      <c r="J103" s="238"/>
      <c r="M103" s="246">
        <v>45</v>
      </c>
      <c r="N103" s="247">
        <v>0</v>
      </c>
      <c r="O103" s="248">
        <v>0</v>
      </c>
      <c r="P103" s="248">
        <v>0</v>
      </c>
      <c r="Q103" s="248">
        <v>0</v>
      </c>
      <c r="R103" s="248">
        <v>0</v>
      </c>
      <c r="S103" s="248">
        <v>0</v>
      </c>
      <c r="T103" s="247">
        <v>0</v>
      </c>
      <c r="U103" s="256">
        <v>0</v>
      </c>
      <c r="V103" s="248">
        <v>0</v>
      </c>
      <c r="W103" s="247">
        <v>0</v>
      </c>
      <c r="X103" s="260">
        <f t="shared" si="11"/>
        <v>0</v>
      </c>
      <c r="Y103" s="272">
        <f t="shared" si="12"/>
        <v>0</v>
      </c>
      <c r="AA103" s="128" t="s">
        <v>2439</v>
      </c>
      <c r="AB103" s="128">
        <f>COUNTIF(N99:W108,15)</f>
        <v>6</v>
      </c>
      <c r="AC103" s="273">
        <f t="shared" si="21"/>
        <v>0.06</v>
      </c>
      <c r="AE103" s="23" t="s">
        <v>2438</v>
      </c>
      <c r="AG103" s="128">
        <v>6</v>
      </c>
      <c r="AH103" s="282">
        <f t="shared" ref="AH103:AH105" si="22">(AG103/100)</f>
        <v>0.06</v>
      </c>
    </row>
    <row r="104" spans="10:34">
      <c r="J104" s="238"/>
      <c r="M104" s="244">
        <v>46</v>
      </c>
      <c r="N104" s="245">
        <v>0</v>
      </c>
      <c r="O104" s="245">
        <v>0</v>
      </c>
      <c r="P104" s="245">
        <v>0</v>
      </c>
      <c r="Q104" s="245">
        <v>0</v>
      </c>
      <c r="R104" s="245">
        <v>0</v>
      </c>
      <c r="S104" s="252">
        <v>0</v>
      </c>
      <c r="T104" s="245">
        <v>0</v>
      </c>
      <c r="U104" s="245">
        <v>0</v>
      </c>
      <c r="V104" s="252">
        <v>0</v>
      </c>
      <c r="W104" s="245">
        <v>0</v>
      </c>
      <c r="X104" s="259">
        <f t="shared" si="11"/>
        <v>0</v>
      </c>
      <c r="Y104" s="271">
        <f t="shared" si="12"/>
        <v>0</v>
      </c>
      <c r="AA104" s="128"/>
      <c r="AB104" s="128"/>
      <c r="AC104" s="273"/>
      <c r="AE104" s="23" t="s">
        <v>2440</v>
      </c>
      <c r="AG104" s="128">
        <v>8</v>
      </c>
      <c r="AH104" s="282">
        <f t="shared" si="22"/>
        <v>0.08</v>
      </c>
    </row>
    <row r="105" spans="10:34">
      <c r="J105" s="238"/>
      <c r="M105" s="246">
        <v>47</v>
      </c>
      <c r="N105" s="248">
        <v>0</v>
      </c>
      <c r="O105" s="248">
        <v>0</v>
      </c>
      <c r="P105" s="247">
        <v>0</v>
      </c>
      <c r="Q105" s="248">
        <v>0</v>
      </c>
      <c r="R105" s="247">
        <v>0</v>
      </c>
      <c r="S105" s="248">
        <v>0</v>
      </c>
      <c r="T105" s="248">
        <v>0</v>
      </c>
      <c r="U105" s="248">
        <v>0</v>
      </c>
      <c r="V105" s="248">
        <v>0</v>
      </c>
      <c r="W105" s="248">
        <v>0</v>
      </c>
      <c r="X105" s="260">
        <f t="shared" si="11"/>
        <v>0</v>
      </c>
      <c r="Y105" s="272">
        <f t="shared" si="12"/>
        <v>0</v>
      </c>
      <c r="AA105" s="128"/>
      <c r="AB105" s="128"/>
      <c r="AC105" s="273"/>
      <c r="AE105" s="23" t="s">
        <v>2442</v>
      </c>
      <c r="AG105" s="128">
        <v>0</v>
      </c>
      <c r="AH105" s="282">
        <f t="shared" si="22"/>
        <v>0</v>
      </c>
    </row>
    <row r="106" spans="10:29">
      <c r="J106" s="238"/>
      <c r="M106" s="244">
        <v>48</v>
      </c>
      <c r="N106" s="245">
        <v>0</v>
      </c>
      <c r="O106" s="255">
        <v>0</v>
      </c>
      <c r="P106" s="245">
        <v>0</v>
      </c>
      <c r="Q106" s="245">
        <v>0</v>
      </c>
      <c r="R106" s="245">
        <v>0</v>
      </c>
      <c r="S106" s="245">
        <v>0</v>
      </c>
      <c r="T106" s="245">
        <v>10</v>
      </c>
      <c r="U106" s="245">
        <v>0</v>
      </c>
      <c r="V106" s="245">
        <v>0</v>
      </c>
      <c r="W106" s="245">
        <v>0</v>
      </c>
      <c r="X106" s="259">
        <f t="shared" si="11"/>
        <v>1</v>
      </c>
      <c r="Y106" s="271">
        <f t="shared" si="12"/>
        <v>10</v>
      </c>
      <c r="AA106" s="128"/>
      <c r="AB106" s="128"/>
      <c r="AC106" s="273"/>
    </row>
    <row r="107" spans="10:29">
      <c r="J107" s="238"/>
      <c r="M107" s="246">
        <v>49</v>
      </c>
      <c r="N107" s="248">
        <v>0</v>
      </c>
      <c r="O107" s="248">
        <v>0</v>
      </c>
      <c r="P107" s="248">
        <v>0</v>
      </c>
      <c r="Q107" s="248">
        <v>0</v>
      </c>
      <c r="R107" s="248">
        <v>0</v>
      </c>
      <c r="S107" s="248">
        <v>0</v>
      </c>
      <c r="T107" s="248">
        <v>0</v>
      </c>
      <c r="U107" s="248">
        <v>0</v>
      </c>
      <c r="V107" s="248">
        <v>0</v>
      </c>
      <c r="W107" s="248">
        <v>0</v>
      </c>
      <c r="X107" s="260">
        <f t="shared" si="11"/>
        <v>0</v>
      </c>
      <c r="Y107" s="272">
        <f t="shared" si="12"/>
        <v>0</v>
      </c>
      <c r="Z107" s="276">
        <f>AVERAGE(N99:W108)</f>
        <v>1.2</v>
      </c>
      <c r="AA107" s="277" t="s">
        <v>2444</v>
      </c>
      <c r="AB107" s="263"/>
      <c r="AC107" s="264"/>
    </row>
    <row r="108" ht="15" customHeight="1" spans="10:30">
      <c r="J108" s="238"/>
      <c r="M108" s="283">
        <v>50</v>
      </c>
      <c r="N108" s="284">
        <v>0</v>
      </c>
      <c r="O108" s="285">
        <v>0</v>
      </c>
      <c r="P108" s="286">
        <v>0</v>
      </c>
      <c r="Q108" s="286">
        <v>0</v>
      </c>
      <c r="R108" s="286">
        <v>0</v>
      </c>
      <c r="S108" s="286">
        <v>0</v>
      </c>
      <c r="T108" s="286">
        <v>0</v>
      </c>
      <c r="U108" s="286">
        <v>0</v>
      </c>
      <c r="V108" s="289">
        <v>0</v>
      </c>
      <c r="W108" s="290">
        <v>0</v>
      </c>
      <c r="X108" s="291">
        <f t="shared" si="11"/>
        <v>0</v>
      </c>
      <c r="Y108" s="295">
        <f t="shared" si="12"/>
        <v>0</v>
      </c>
      <c r="Z108" s="278">
        <f>SUM(Y99:Y108)</f>
        <v>120</v>
      </c>
      <c r="AA108" s="277" t="s">
        <v>2460</v>
      </c>
      <c r="AB108" s="263"/>
      <c r="AC108" s="263"/>
      <c r="AD108" s="264"/>
    </row>
    <row r="109" spans="10:33">
      <c r="J109" s="238"/>
      <c r="M109" s="246">
        <v>51</v>
      </c>
      <c r="N109" s="248">
        <v>0</v>
      </c>
      <c r="O109" s="248">
        <v>0</v>
      </c>
      <c r="P109" s="248">
        <v>0</v>
      </c>
      <c r="Q109" s="248">
        <v>0</v>
      </c>
      <c r="R109" s="248">
        <v>0</v>
      </c>
      <c r="S109" s="248">
        <v>0</v>
      </c>
      <c r="T109" s="248">
        <v>0</v>
      </c>
      <c r="U109" s="248">
        <v>0</v>
      </c>
      <c r="V109" s="248">
        <v>0</v>
      </c>
      <c r="W109" s="248">
        <v>0</v>
      </c>
      <c r="X109" s="260">
        <f t="shared" si="11"/>
        <v>0</v>
      </c>
      <c r="Y109" s="272">
        <f t="shared" si="12"/>
        <v>0</v>
      </c>
      <c r="AA109" s="268" t="s">
        <v>2442</v>
      </c>
      <c r="AB109" s="268"/>
      <c r="AC109" s="269" t="s">
        <v>2425</v>
      </c>
      <c r="AD109" s="269"/>
      <c r="AE109" s="270" t="s">
        <v>2426</v>
      </c>
      <c r="AF109" s="270"/>
      <c r="AG109" s="23" t="s">
        <v>2427</v>
      </c>
    </row>
    <row r="110" s="23" customFormat="1" spans="10:27">
      <c r="J110" s="238"/>
      <c r="M110" s="244">
        <v>52</v>
      </c>
      <c r="N110" s="245">
        <v>0</v>
      </c>
      <c r="O110" s="245">
        <v>0</v>
      </c>
      <c r="P110" s="245">
        <v>0</v>
      </c>
      <c r="Q110" s="245">
        <v>0</v>
      </c>
      <c r="R110" s="245">
        <v>0</v>
      </c>
      <c r="S110" s="245">
        <v>0</v>
      </c>
      <c r="T110" s="255">
        <v>0</v>
      </c>
      <c r="U110" s="245">
        <v>0</v>
      </c>
      <c r="V110" s="245">
        <v>0</v>
      </c>
      <c r="W110" s="245">
        <v>0</v>
      </c>
      <c r="X110" s="259">
        <f t="shared" si="11"/>
        <v>0</v>
      </c>
      <c r="Y110" s="271">
        <f t="shared" si="12"/>
        <v>0</v>
      </c>
      <c r="AA110" s="23" t="s">
        <v>2429</v>
      </c>
    </row>
    <row r="111" s="23" customFormat="1" spans="10:31">
      <c r="J111" s="238"/>
      <c r="M111" s="246">
        <v>53</v>
      </c>
      <c r="N111" s="248">
        <v>0</v>
      </c>
      <c r="O111" s="248">
        <v>0</v>
      </c>
      <c r="P111" s="248">
        <v>0</v>
      </c>
      <c r="Q111" s="248">
        <v>0</v>
      </c>
      <c r="R111" s="248">
        <v>0</v>
      </c>
      <c r="S111" s="248">
        <v>0</v>
      </c>
      <c r="T111" s="248">
        <v>0</v>
      </c>
      <c r="U111" s="248">
        <v>0</v>
      </c>
      <c r="V111" s="248">
        <v>0</v>
      </c>
      <c r="W111" s="247">
        <v>0</v>
      </c>
      <c r="X111" s="260">
        <f t="shared" si="11"/>
        <v>0</v>
      </c>
      <c r="Y111" s="272">
        <f t="shared" si="12"/>
        <v>0</v>
      </c>
      <c r="AA111" s="128" t="s">
        <v>2430</v>
      </c>
      <c r="AB111" s="128">
        <f>COUNTIF(N109:W118,0)</f>
        <v>92</v>
      </c>
      <c r="AC111" s="273">
        <f t="shared" ref="AC111:AC113" si="23">(AB111/100)</f>
        <v>0.92</v>
      </c>
      <c r="AE111" s="23" t="s">
        <v>2431</v>
      </c>
    </row>
    <row r="112" s="23" customFormat="1" spans="10:35">
      <c r="J112" s="238"/>
      <c r="M112" s="244">
        <v>54</v>
      </c>
      <c r="N112" s="245">
        <v>0</v>
      </c>
      <c r="O112" s="245">
        <v>0</v>
      </c>
      <c r="P112" s="252">
        <v>0</v>
      </c>
      <c r="Q112" s="245">
        <v>0</v>
      </c>
      <c r="R112" s="245">
        <v>15</v>
      </c>
      <c r="S112" s="245">
        <v>0</v>
      </c>
      <c r="T112" s="245">
        <v>0</v>
      </c>
      <c r="U112" s="245">
        <v>0</v>
      </c>
      <c r="V112" s="255">
        <v>0</v>
      </c>
      <c r="W112" s="245">
        <v>10</v>
      </c>
      <c r="X112" s="259">
        <f t="shared" si="11"/>
        <v>2.5</v>
      </c>
      <c r="Y112" s="271">
        <f t="shared" si="12"/>
        <v>25</v>
      </c>
      <c r="AA112" s="128" t="s">
        <v>2456</v>
      </c>
      <c r="AB112" s="128">
        <f>COUNTIF(N109:W118,10)</f>
        <v>5</v>
      </c>
      <c r="AC112" s="273">
        <f t="shared" si="23"/>
        <v>0.05</v>
      </c>
      <c r="AE112" s="274" t="s">
        <v>2434</v>
      </c>
      <c r="AF112" s="275"/>
      <c r="AG112" s="280" t="s">
        <v>2435</v>
      </c>
      <c r="AH112" s="275" t="s">
        <v>2436</v>
      </c>
      <c r="AI112" s="281"/>
    </row>
    <row r="113" s="23" customFormat="1" spans="10:34">
      <c r="J113" s="238"/>
      <c r="M113" s="246">
        <v>55</v>
      </c>
      <c r="N113" s="248">
        <v>15</v>
      </c>
      <c r="O113" s="248">
        <v>0</v>
      </c>
      <c r="P113" s="248">
        <v>0</v>
      </c>
      <c r="Q113" s="248">
        <v>0</v>
      </c>
      <c r="R113" s="248">
        <v>10</v>
      </c>
      <c r="S113" s="256">
        <v>0</v>
      </c>
      <c r="T113" s="248">
        <v>0</v>
      </c>
      <c r="U113" s="248">
        <v>0</v>
      </c>
      <c r="V113" s="248">
        <v>0</v>
      </c>
      <c r="W113" s="248">
        <v>0</v>
      </c>
      <c r="X113" s="260">
        <f t="shared" si="11"/>
        <v>2.5</v>
      </c>
      <c r="Y113" s="272">
        <f t="shared" si="12"/>
        <v>25</v>
      </c>
      <c r="AA113" s="128" t="s">
        <v>2439</v>
      </c>
      <c r="AB113" s="128">
        <f>COUNTIF(N109:W118,15)</f>
        <v>3</v>
      </c>
      <c r="AC113" s="273">
        <f t="shared" si="23"/>
        <v>0.03</v>
      </c>
      <c r="AE113" s="23" t="s">
        <v>2438</v>
      </c>
      <c r="AG113" s="128">
        <v>4</v>
      </c>
      <c r="AH113" s="282">
        <f t="shared" ref="AH113:AH115" si="24">(AG113/100)</f>
        <v>0.04</v>
      </c>
    </row>
    <row r="114" s="23" customFormat="1" spans="10:34">
      <c r="J114" s="238"/>
      <c r="M114" s="244">
        <v>56</v>
      </c>
      <c r="N114" s="245">
        <v>0</v>
      </c>
      <c r="O114" s="245">
        <v>0</v>
      </c>
      <c r="P114" s="245">
        <v>0</v>
      </c>
      <c r="Q114" s="245">
        <v>10</v>
      </c>
      <c r="R114" s="245">
        <v>0</v>
      </c>
      <c r="S114" s="245">
        <v>0</v>
      </c>
      <c r="T114" s="245">
        <v>0</v>
      </c>
      <c r="U114" s="255">
        <v>0</v>
      </c>
      <c r="V114" s="245">
        <v>0</v>
      </c>
      <c r="W114" s="255">
        <v>0</v>
      </c>
      <c r="X114" s="259">
        <f t="shared" si="11"/>
        <v>1</v>
      </c>
      <c r="Y114" s="271">
        <f t="shared" si="12"/>
        <v>10</v>
      </c>
      <c r="AA114" s="128"/>
      <c r="AB114" s="128"/>
      <c r="AC114" s="273"/>
      <c r="AE114" s="23" t="s">
        <v>2440</v>
      </c>
      <c r="AG114" s="128">
        <v>7</v>
      </c>
      <c r="AH114" s="282">
        <f t="shared" si="24"/>
        <v>0.07</v>
      </c>
    </row>
    <row r="115" s="23" customFormat="1" spans="10:34">
      <c r="J115" s="238"/>
      <c r="M115" s="246">
        <v>57</v>
      </c>
      <c r="N115" s="248">
        <v>0</v>
      </c>
      <c r="O115" s="247">
        <v>0</v>
      </c>
      <c r="P115" s="248">
        <v>0</v>
      </c>
      <c r="Q115" s="248">
        <v>0</v>
      </c>
      <c r="R115" s="248">
        <v>0</v>
      </c>
      <c r="S115" s="248">
        <v>0</v>
      </c>
      <c r="T115" s="248">
        <v>0</v>
      </c>
      <c r="U115" s="248">
        <v>0</v>
      </c>
      <c r="V115" s="248">
        <v>0</v>
      </c>
      <c r="W115" s="248">
        <v>10</v>
      </c>
      <c r="X115" s="260">
        <f t="shared" si="11"/>
        <v>1</v>
      </c>
      <c r="Y115" s="272">
        <f t="shared" si="12"/>
        <v>10</v>
      </c>
      <c r="AA115" s="128"/>
      <c r="AB115" s="128"/>
      <c r="AC115" s="273"/>
      <c r="AE115" s="23" t="s">
        <v>2442</v>
      </c>
      <c r="AG115" s="128">
        <v>0</v>
      </c>
      <c r="AH115" s="282">
        <f t="shared" si="24"/>
        <v>0</v>
      </c>
    </row>
    <row r="116" s="23" customFormat="1" spans="10:29">
      <c r="J116" s="238"/>
      <c r="M116" s="244">
        <v>58</v>
      </c>
      <c r="N116" s="245">
        <v>0</v>
      </c>
      <c r="O116" s="245">
        <v>0</v>
      </c>
      <c r="P116" s="245">
        <v>0</v>
      </c>
      <c r="Q116" s="252">
        <v>0</v>
      </c>
      <c r="R116" s="245">
        <v>0</v>
      </c>
      <c r="S116" s="245">
        <v>15</v>
      </c>
      <c r="T116" s="245">
        <v>0</v>
      </c>
      <c r="U116" s="245">
        <v>0</v>
      </c>
      <c r="V116" s="245">
        <v>0</v>
      </c>
      <c r="W116" s="245">
        <v>0</v>
      </c>
      <c r="X116" s="259">
        <f t="shared" si="11"/>
        <v>1.5</v>
      </c>
      <c r="Y116" s="271">
        <f t="shared" si="12"/>
        <v>15</v>
      </c>
      <c r="AA116" s="128"/>
      <c r="AB116" s="128"/>
      <c r="AC116" s="273"/>
    </row>
    <row r="117" s="23" customFormat="1" spans="10:29">
      <c r="J117" s="238"/>
      <c r="M117" s="246">
        <v>59</v>
      </c>
      <c r="N117" s="248">
        <v>0</v>
      </c>
      <c r="O117" s="248">
        <v>10</v>
      </c>
      <c r="P117" s="256">
        <v>0</v>
      </c>
      <c r="Q117" s="248">
        <v>0</v>
      </c>
      <c r="R117" s="248">
        <v>0</v>
      </c>
      <c r="S117" s="248">
        <v>0</v>
      </c>
      <c r="T117" s="248">
        <v>0</v>
      </c>
      <c r="U117" s="248">
        <v>0</v>
      </c>
      <c r="V117" s="248">
        <v>0</v>
      </c>
      <c r="W117" s="248">
        <v>0</v>
      </c>
      <c r="X117" s="260">
        <f t="shared" si="11"/>
        <v>1</v>
      </c>
      <c r="Y117" s="272">
        <f t="shared" si="12"/>
        <v>10</v>
      </c>
      <c r="Z117" s="276">
        <f>AVERAGE(N109:W118)</f>
        <v>0.95</v>
      </c>
      <c r="AA117" s="277" t="s">
        <v>2448</v>
      </c>
      <c r="AB117" s="263"/>
      <c r="AC117" s="264"/>
    </row>
    <row r="118" s="23" customFormat="1" spans="10:30">
      <c r="J118" s="238"/>
      <c r="M118" s="244">
        <v>60</v>
      </c>
      <c r="N118" s="287">
        <v>0</v>
      </c>
      <c r="O118" s="288">
        <v>0</v>
      </c>
      <c r="P118" s="288">
        <v>0</v>
      </c>
      <c r="Q118" s="288">
        <v>0</v>
      </c>
      <c r="R118" s="288">
        <v>0</v>
      </c>
      <c r="S118" s="288">
        <v>0</v>
      </c>
      <c r="T118" s="288">
        <v>0</v>
      </c>
      <c r="U118" s="292">
        <v>0</v>
      </c>
      <c r="V118" s="288">
        <v>0</v>
      </c>
      <c r="W118" s="293">
        <v>0</v>
      </c>
      <c r="X118" s="261">
        <f t="shared" si="11"/>
        <v>0</v>
      </c>
      <c r="Y118" s="294">
        <f t="shared" si="12"/>
        <v>0</v>
      </c>
      <c r="Z118" s="278">
        <f>SUM(Y109:Y118)</f>
        <v>95</v>
      </c>
      <c r="AA118" s="277" t="s">
        <v>2460</v>
      </c>
      <c r="AB118" s="263"/>
      <c r="AC118" s="263"/>
      <c r="AD118" s="264"/>
    </row>
    <row r="119" s="23" customFormat="1" spans="10:33">
      <c r="J119" s="238"/>
      <c r="M119" s="241">
        <v>61</v>
      </c>
      <c r="N119" s="248">
        <v>0</v>
      </c>
      <c r="O119" s="248">
        <v>0</v>
      </c>
      <c r="P119" s="248">
        <v>10</v>
      </c>
      <c r="Q119" s="248">
        <v>0</v>
      </c>
      <c r="R119" s="248">
        <v>0</v>
      </c>
      <c r="S119" s="248">
        <v>0</v>
      </c>
      <c r="T119" s="247">
        <v>0</v>
      </c>
      <c r="U119" s="248">
        <v>10</v>
      </c>
      <c r="V119" s="248">
        <v>0</v>
      </c>
      <c r="W119" s="248">
        <v>0</v>
      </c>
      <c r="X119" s="258">
        <f t="shared" si="11"/>
        <v>2</v>
      </c>
      <c r="Y119" s="267">
        <f t="shared" si="12"/>
        <v>20</v>
      </c>
      <c r="AA119" s="268" t="s">
        <v>2454</v>
      </c>
      <c r="AB119" s="268"/>
      <c r="AC119" s="269" t="s">
        <v>2425</v>
      </c>
      <c r="AD119" s="269"/>
      <c r="AE119" s="270" t="s">
        <v>2426</v>
      </c>
      <c r="AF119" s="270"/>
      <c r="AG119" s="23" t="s">
        <v>2427</v>
      </c>
    </row>
    <row r="120" s="23" customFormat="1" spans="10:27">
      <c r="J120" s="238"/>
      <c r="M120" s="244">
        <v>62</v>
      </c>
      <c r="N120" s="245">
        <v>0</v>
      </c>
      <c r="O120" s="245">
        <v>0</v>
      </c>
      <c r="P120" s="245">
        <v>0</v>
      </c>
      <c r="Q120" s="245">
        <v>0</v>
      </c>
      <c r="R120" s="245">
        <v>0</v>
      </c>
      <c r="S120" s="245">
        <v>0</v>
      </c>
      <c r="T120" s="245">
        <v>0</v>
      </c>
      <c r="U120" s="245">
        <v>0</v>
      </c>
      <c r="V120" s="245">
        <v>0</v>
      </c>
      <c r="W120" s="245">
        <v>0</v>
      </c>
      <c r="X120" s="259">
        <f t="shared" si="11"/>
        <v>0</v>
      </c>
      <c r="Y120" s="271">
        <f t="shared" si="12"/>
        <v>0</v>
      </c>
      <c r="AA120" s="23" t="s">
        <v>2429</v>
      </c>
    </row>
    <row r="121" s="23" customFormat="1" spans="10:31">
      <c r="J121" s="238"/>
      <c r="M121" s="246">
        <v>63</v>
      </c>
      <c r="N121" s="248">
        <v>0</v>
      </c>
      <c r="O121" s="248">
        <v>0</v>
      </c>
      <c r="P121" s="248">
        <v>0</v>
      </c>
      <c r="Q121" s="248">
        <v>15</v>
      </c>
      <c r="R121" s="247">
        <v>0</v>
      </c>
      <c r="S121" s="247">
        <v>0</v>
      </c>
      <c r="T121" s="247">
        <v>0</v>
      </c>
      <c r="U121" s="248">
        <v>0</v>
      </c>
      <c r="V121" s="248">
        <v>0</v>
      </c>
      <c r="W121" s="248">
        <v>0</v>
      </c>
      <c r="X121" s="260">
        <f t="shared" si="11"/>
        <v>1.5</v>
      </c>
      <c r="Y121" s="272">
        <f t="shared" si="12"/>
        <v>15</v>
      </c>
      <c r="AA121" s="128" t="s">
        <v>2430</v>
      </c>
      <c r="AB121" s="128">
        <f>COUNTIF(N119:W128,0)</f>
        <v>91</v>
      </c>
      <c r="AC121" s="273">
        <f t="shared" ref="AC121:AC123" si="25">(AB121/100)</f>
        <v>0.91</v>
      </c>
      <c r="AE121" s="23" t="s">
        <v>2431</v>
      </c>
    </row>
    <row r="122" s="23" customFormat="1" spans="10:35">
      <c r="J122" s="238"/>
      <c r="M122" s="244">
        <v>64</v>
      </c>
      <c r="N122" s="252">
        <v>0</v>
      </c>
      <c r="O122" s="245">
        <v>0</v>
      </c>
      <c r="P122" s="245">
        <v>0</v>
      </c>
      <c r="Q122" s="245">
        <v>0</v>
      </c>
      <c r="R122" s="245">
        <v>0</v>
      </c>
      <c r="S122" s="245">
        <v>0</v>
      </c>
      <c r="T122" s="245">
        <v>0</v>
      </c>
      <c r="U122" s="245">
        <v>0</v>
      </c>
      <c r="V122" s="245">
        <v>0</v>
      </c>
      <c r="W122" s="252">
        <v>0</v>
      </c>
      <c r="X122" s="259">
        <f t="shared" si="11"/>
        <v>0</v>
      </c>
      <c r="Y122" s="271">
        <f t="shared" si="12"/>
        <v>0</v>
      </c>
      <c r="AA122" s="128" t="s">
        <v>2456</v>
      </c>
      <c r="AB122" s="128">
        <f>COUNTIF(N119:W128,10)</f>
        <v>7</v>
      </c>
      <c r="AC122" s="273">
        <f t="shared" si="25"/>
        <v>0.07</v>
      </c>
      <c r="AE122" s="274" t="s">
        <v>2434</v>
      </c>
      <c r="AF122" s="275"/>
      <c r="AG122" s="280" t="s">
        <v>2435</v>
      </c>
      <c r="AH122" s="275" t="s">
        <v>2436</v>
      </c>
      <c r="AI122" s="281"/>
    </row>
    <row r="123" s="23" customFormat="1" spans="10:34">
      <c r="J123" s="238"/>
      <c r="M123" s="246">
        <v>65</v>
      </c>
      <c r="N123" s="248">
        <v>0</v>
      </c>
      <c r="O123" s="248">
        <v>0</v>
      </c>
      <c r="P123" s="256">
        <v>0</v>
      </c>
      <c r="Q123" s="248">
        <v>0</v>
      </c>
      <c r="R123" s="256">
        <v>0</v>
      </c>
      <c r="S123" s="248">
        <v>0</v>
      </c>
      <c r="T123" s="248">
        <v>0</v>
      </c>
      <c r="U123" s="248">
        <v>0</v>
      </c>
      <c r="V123" s="248">
        <v>0</v>
      </c>
      <c r="W123" s="248">
        <v>0</v>
      </c>
      <c r="X123" s="260">
        <f t="shared" ref="X123:X186" si="26">AVERAGE(N123:W123)</f>
        <v>0</v>
      </c>
      <c r="Y123" s="272">
        <f t="shared" ref="Y123:Y186" si="27">SUM(N123:W123)</f>
        <v>0</v>
      </c>
      <c r="AA123" s="128" t="s">
        <v>2439</v>
      </c>
      <c r="AB123" s="128">
        <f>COUNTIF(N119:W128,15)</f>
        <v>2</v>
      </c>
      <c r="AC123" s="273">
        <f t="shared" si="25"/>
        <v>0.02</v>
      </c>
      <c r="AE123" s="23" t="s">
        <v>2447</v>
      </c>
      <c r="AG123" s="128">
        <v>6</v>
      </c>
      <c r="AH123" s="282">
        <f t="shared" ref="AH123:AH125" si="28">(AG123/100)</f>
        <v>0.06</v>
      </c>
    </row>
    <row r="124" s="23" customFormat="1" spans="10:34">
      <c r="J124" s="238"/>
      <c r="M124" s="244">
        <v>66</v>
      </c>
      <c r="N124" s="245">
        <v>0</v>
      </c>
      <c r="O124" s="245">
        <v>0</v>
      </c>
      <c r="P124" s="245">
        <v>0</v>
      </c>
      <c r="Q124" s="245">
        <v>0</v>
      </c>
      <c r="R124" s="245">
        <v>0</v>
      </c>
      <c r="S124" s="245">
        <v>0</v>
      </c>
      <c r="T124" s="245">
        <v>0</v>
      </c>
      <c r="U124" s="245">
        <v>10</v>
      </c>
      <c r="V124" s="245">
        <v>0</v>
      </c>
      <c r="W124" s="245">
        <v>0</v>
      </c>
      <c r="X124" s="259">
        <f t="shared" si="26"/>
        <v>1</v>
      </c>
      <c r="Y124" s="271">
        <f t="shared" si="27"/>
        <v>10</v>
      </c>
      <c r="AA124" s="128"/>
      <c r="AB124" s="128"/>
      <c r="AC124" s="273"/>
      <c r="AE124" s="23" t="s">
        <v>2440</v>
      </c>
      <c r="AG124" s="128">
        <v>6</v>
      </c>
      <c r="AH124" s="282">
        <f t="shared" si="28"/>
        <v>0.06</v>
      </c>
    </row>
    <row r="125" s="23" customFormat="1" spans="10:34">
      <c r="J125" s="238"/>
      <c r="M125" s="246">
        <v>67</v>
      </c>
      <c r="N125" s="248">
        <v>0</v>
      </c>
      <c r="O125" s="248">
        <v>0</v>
      </c>
      <c r="P125" s="248">
        <v>0</v>
      </c>
      <c r="Q125" s="256">
        <v>0</v>
      </c>
      <c r="R125" s="248">
        <v>0</v>
      </c>
      <c r="S125" s="248">
        <v>0</v>
      </c>
      <c r="T125" s="248">
        <v>0</v>
      </c>
      <c r="U125" s="248">
        <v>10</v>
      </c>
      <c r="V125" s="248">
        <v>0</v>
      </c>
      <c r="W125" s="248">
        <v>0</v>
      </c>
      <c r="X125" s="260">
        <f t="shared" si="26"/>
        <v>1</v>
      </c>
      <c r="Y125" s="272">
        <f t="shared" si="27"/>
        <v>10</v>
      </c>
      <c r="AA125" s="128"/>
      <c r="AB125" s="128"/>
      <c r="AC125" s="273"/>
      <c r="AE125" s="23" t="s">
        <v>2454</v>
      </c>
      <c r="AG125" s="128">
        <v>0</v>
      </c>
      <c r="AH125" s="282">
        <f t="shared" si="28"/>
        <v>0</v>
      </c>
    </row>
    <row r="126" s="23" customFormat="1" spans="10:29">
      <c r="J126" s="238"/>
      <c r="M126" s="244">
        <v>68</v>
      </c>
      <c r="N126" s="245">
        <v>10</v>
      </c>
      <c r="O126" s="245">
        <v>0</v>
      </c>
      <c r="P126" s="245">
        <v>0</v>
      </c>
      <c r="Q126" s="245">
        <v>0</v>
      </c>
      <c r="R126" s="245">
        <v>0</v>
      </c>
      <c r="S126" s="245">
        <v>0</v>
      </c>
      <c r="T126" s="245">
        <v>15</v>
      </c>
      <c r="U126" s="255">
        <v>0</v>
      </c>
      <c r="V126" s="245">
        <v>0</v>
      </c>
      <c r="W126" s="245">
        <v>0</v>
      </c>
      <c r="X126" s="259">
        <f t="shared" si="26"/>
        <v>2.5</v>
      </c>
      <c r="Y126" s="271">
        <f t="shared" si="27"/>
        <v>25</v>
      </c>
      <c r="AA126" s="128"/>
      <c r="AB126" s="128"/>
      <c r="AC126" s="273"/>
    </row>
    <row r="127" s="23" customFormat="1" spans="10:29">
      <c r="J127" s="238"/>
      <c r="M127" s="246">
        <v>69</v>
      </c>
      <c r="N127" s="248">
        <v>0</v>
      </c>
      <c r="O127" s="248">
        <v>0</v>
      </c>
      <c r="P127" s="248">
        <v>0</v>
      </c>
      <c r="Q127" s="248">
        <v>0</v>
      </c>
      <c r="R127" s="248">
        <v>0</v>
      </c>
      <c r="S127" s="248">
        <v>0</v>
      </c>
      <c r="T127" s="248">
        <v>0</v>
      </c>
      <c r="U127" s="248">
        <v>0</v>
      </c>
      <c r="V127" s="256">
        <v>0</v>
      </c>
      <c r="W127" s="248">
        <v>0</v>
      </c>
      <c r="X127" s="260">
        <f t="shared" si="26"/>
        <v>0</v>
      </c>
      <c r="Y127" s="272">
        <f t="shared" si="27"/>
        <v>0</v>
      </c>
      <c r="Z127" s="276">
        <f>AVERAGE(N119:W128)</f>
        <v>1</v>
      </c>
      <c r="AA127" s="277" t="s">
        <v>2444</v>
      </c>
      <c r="AB127" s="263"/>
      <c r="AC127" s="264"/>
    </row>
    <row r="128" s="23" customFormat="1" spans="10:30">
      <c r="J128" s="238"/>
      <c r="M128" s="244">
        <v>70</v>
      </c>
      <c r="N128" s="287">
        <v>0</v>
      </c>
      <c r="O128" s="288">
        <v>10</v>
      </c>
      <c r="P128" s="288">
        <v>0</v>
      </c>
      <c r="Q128" s="288">
        <v>0</v>
      </c>
      <c r="R128" s="288">
        <v>0</v>
      </c>
      <c r="S128" s="288">
        <v>0</v>
      </c>
      <c r="T128" s="288">
        <v>10</v>
      </c>
      <c r="U128" s="292">
        <v>0</v>
      </c>
      <c r="V128" s="288">
        <v>0</v>
      </c>
      <c r="W128" s="293">
        <v>0</v>
      </c>
      <c r="X128" s="261">
        <f t="shared" si="26"/>
        <v>2</v>
      </c>
      <c r="Y128" s="294">
        <f t="shared" si="27"/>
        <v>20</v>
      </c>
      <c r="Z128" s="278">
        <f>SUM(Y119:Y128)</f>
        <v>100</v>
      </c>
      <c r="AA128" s="277" t="s">
        <v>2445</v>
      </c>
      <c r="AB128" s="263"/>
      <c r="AC128" s="263"/>
      <c r="AD128" s="264"/>
    </row>
    <row r="129" s="23" customFormat="1" spans="10:33">
      <c r="J129" s="238"/>
      <c r="M129" s="241">
        <v>71</v>
      </c>
      <c r="N129" s="248">
        <v>15</v>
      </c>
      <c r="O129" s="248">
        <v>0</v>
      </c>
      <c r="P129" s="248">
        <v>0</v>
      </c>
      <c r="Q129" s="248">
        <v>0</v>
      </c>
      <c r="R129" s="248">
        <v>0</v>
      </c>
      <c r="S129" s="248">
        <v>0</v>
      </c>
      <c r="T129" s="248">
        <v>0</v>
      </c>
      <c r="U129" s="247">
        <v>0</v>
      </c>
      <c r="V129" s="248">
        <v>0</v>
      </c>
      <c r="W129" s="248">
        <v>10</v>
      </c>
      <c r="X129" s="258">
        <f t="shared" si="26"/>
        <v>2.5</v>
      </c>
      <c r="Y129" s="267">
        <f t="shared" si="27"/>
        <v>25</v>
      </c>
      <c r="AA129" s="268" t="s">
        <v>2454</v>
      </c>
      <c r="AB129" s="268"/>
      <c r="AC129" s="269" t="s">
        <v>2425</v>
      </c>
      <c r="AD129" s="269"/>
      <c r="AE129" s="270" t="s">
        <v>2426</v>
      </c>
      <c r="AF129" s="270"/>
      <c r="AG129" s="23" t="s">
        <v>2427</v>
      </c>
    </row>
    <row r="130" s="23" customFormat="1" spans="10:27">
      <c r="J130" s="238"/>
      <c r="M130" s="244">
        <v>72</v>
      </c>
      <c r="N130" s="255">
        <v>0</v>
      </c>
      <c r="O130" s="245">
        <v>0</v>
      </c>
      <c r="P130" s="245">
        <v>0</v>
      </c>
      <c r="Q130" s="245">
        <v>0</v>
      </c>
      <c r="R130" s="245">
        <v>0</v>
      </c>
      <c r="S130" s="245">
        <v>0</v>
      </c>
      <c r="T130" s="245">
        <v>0</v>
      </c>
      <c r="U130" s="245">
        <v>0</v>
      </c>
      <c r="V130" s="245">
        <v>0</v>
      </c>
      <c r="W130" s="252">
        <v>0</v>
      </c>
      <c r="X130" s="259">
        <f t="shared" si="26"/>
        <v>0</v>
      </c>
      <c r="Y130" s="271">
        <f t="shared" si="27"/>
        <v>0</v>
      </c>
      <c r="AA130" s="23" t="s">
        <v>2429</v>
      </c>
    </row>
    <row r="131" s="23" customFormat="1" spans="10:31">
      <c r="J131" s="238"/>
      <c r="M131" s="246">
        <v>73</v>
      </c>
      <c r="N131" s="248">
        <v>0</v>
      </c>
      <c r="O131" s="248">
        <v>10</v>
      </c>
      <c r="P131" s="248">
        <v>0</v>
      </c>
      <c r="Q131" s="248">
        <v>0</v>
      </c>
      <c r="R131" s="248">
        <v>0</v>
      </c>
      <c r="S131" s="248">
        <v>0</v>
      </c>
      <c r="T131" s="248">
        <v>0</v>
      </c>
      <c r="U131" s="248">
        <v>0</v>
      </c>
      <c r="V131" s="248">
        <v>0</v>
      </c>
      <c r="W131" s="248">
        <v>15</v>
      </c>
      <c r="X131" s="260">
        <f t="shared" si="26"/>
        <v>2.5</v>
      </c>
      <c r="Y131" s="272">
        <f t="shared" si="27"/>
        <v>25</v>
      </c>
      <c r="AA131" s="128" t="s">
        <v>2430</v>
      </c>
      <c r="AB131" s="128">
        <f>COUNTIF(N129:W138,0)</f>
        <v>89</v>
      </c>
      <c r="AC131" s="273">
        <f t="shared" ref="AC131:AC133" si="29">(AB131/100)</f>
        <v>0.89</v>
      </c>
      <c r="AE131" s="23" t="s">
        <v>2431</v>
      </c>
    </row>
    <row r="132" s="23" customFormat="1" spans="10:35">
      <c r="J132" s="238"/>
      <c r="M132" s="244">
        <v>74</v>
      </c>
      <c r="N132" s="245">
        <v>0</v>
      </c>
      <c r="O132" s="252">
        <v>0</v>
      </c>
      <c r="P132" s="245">
        <v>0</v>
      </c>
      <c r="Q132" s="245">
        <v>0</v>
      </c>
      <c r="R132" s="245">
        <v>0</v>
      </c>
      <c r="S132" s="245">
        <v>0</v>
      </c>
      <c r="T132" s="252">
        <v>0</v>
      </c>
      <c r="U132" s="245">
        <v>0</v>
      </c>
      <c r="V132" s="245">
        <v>0</v>
      </c>
      <c r="W132" s="245">
        <v>15</v>
      </c>
      <c r="X132" s="259">
        <f t="shared" si="26"/>
        <v>1.5</v>
      </c>
      <c r="Y132" s="271">
        <f t="shared" si="27"/>
        <v>15</v>
      </c>
      <c r="AA132" s="128" t="s">
        <v>2456</v>
      </c>
      <c r="AB132" s="128">
        <f>COUNTIF(N129:W138,10)</f>
        <v>6</v>
      </c>
      <c r="AC132" s="273">
        <f t="shared" si="29"/>
        <v>0.06</v>
      </c>
      <c r="AE132" s="274" t="s">
        <v>2434</v>
      </c>
      <c r="AF132" s="275"/>
      <c r="AG132" s="280" t="s">
        <v>2435</v>
      </c>
      <c r="AH132" s="275" t="s">
        <v>2436</v>
      </c>
      <c r="AI132" s="281"/>
    </row>
    <row r="133" s="23" customFormat="1" spans="10:34">
      <c r="J133" s="238"/>
      <c r="M133" s="246">
        <v>75</v>
      </c>
      <c r="N133" s="256">
        <v>0</v>
      </c>
      <c r="O133" s="248">
        <v>0</v>
      </c>
      <c r="P133" s="248">
        <v>0</v>
      </c>
      <c r="Q133" s="248">
        <v>0</v>
      </c>
      <c r="R133" s="248">
        <v>0</v>
      </c>
      <c r="S133" s="248">
        <v>0</v>
      </c>
      <c r="T133" s="256">
        <v>0</v>
      </c>
      <c r="U133" s="248">
        <v>0</v>
      </c>
      <c r="V133" s="248">
        <v>0</v>
      </c>
      <c r="W133" s="248">
        <v>0</v>
      </c>
      <c r="X133" s="260">
        <f t="shared" si="26"/>
        <v>0</v>
      </c>
      <c r="Y133" s="272">
        <f t="shared" si="27"/>
        <v>0</v>
      </c>
      <c r="AA133" s="128" t="s">
        <v>2439</v>
      </c>
      <c r="AB133" s="128">
        <f>COUNTIF(N129:W138,15)</f>
        <v>5</v>
      </c>
      <c r="AC133" s="273">
        <f t="shared" si="29"/>
        <v>0.05</v>
      </c>
      <c r="AE133" s="23" t="s">
        <v>2438</v>
      </c>
      <c r="AG133" s="128">
        <v>7</v>
      </c>
      <c r="AH133" s="282">
        <v>0.02</v>
      </c>
    </row>
    <row r="134" s="23" customFormat="1" spans="10:34">
      <c r="J134" s="238"/>
      <c r="M134" s="244">
        <v>76</v>
      </c>
      <c r="N134" s="245">
        <v>10</v>
      </c>
      <c r="O134" s="245">
        <v>0</v>
      </c>
      <c r="P134" s="245">
        <v>0</v>
      </c>
      <c r="Q134" s="245">
        <v>0</v>
      </c>
      <c r="R134" s="245">
        <v>0</v>
      </c>
      <c r="S134" s="255">
        <v>0</v>
      </c>
      <c r="T134" s="245">
        <v>0</v>
      </c>
      <c r="U134" s="245">
        <v>0</v>
      </c>
      <c r="V134" s="245">
        <v>0</v>
      </c>
      <c r="W134" s="245">
        <v>0</v>
      </c>
      <c r="X134" s="259">
        <f t="shared" si="26"/>
        <v>1</v>
      </c>
      <c r="Y134" s="271">
        <f t="shared" si="27"/>
        <v>10</v>
      </c>
      <c r="AA134" s="128"/>
      <c r="AB134" s="128"/>
      <c r="AC134" s="273"/>
      <c r="AE134" s="23" t="s">
        <v>2440</v>
      </c>
      <c r="AG134" s="128">
        <v>6</v>
      </c>
      <c r="AH134" s="282">
        <f>(AG134/100)</f>
        <v>0.06</v>
      </c>
    </row>
    <row r="135" s="23" customFormat="1" spans="10:34">
      <c r="J135" s="238"/>
      <c r="M135" s="246">
        <v>77</v>
      </c>
      <c r="N135" s="247">
        <v>0</v>
      </c>
      <c r="O135" s="248">
        <v>0</v>
      </c>
      <c r="P135" s="248">
        <v>0</v>
      </c>
      <c r="Q135" s="248">
        <v>0</v>
      </c>
      <c r="R135" s="248">
        <v>0</v>
      </c>
      <c r="S135" s="248">
        <v>0</v>
      </c>
      <c r="T135" s="248">
        <v>10</v>
      </c>
      <c r="U135" s="248">
        <v>0</v>
      </c>
      <c r="V135" s="248">
        <v>0</v>
      </c>
      <c r="W135" s="248">
        <v>0</v>
      </c>
      <c r="X135" s="260">
        <f t="shared" si="26"/>
        <v>1</v>
      </c>
      <c r="Y135" s="272">
        <f t="shared" si="27"/>
        <v>10</v>
      </c>
      <c r="AA135" s="128"/>
      <c r="AB135" s="128"/>
      <c r="AC135" s="273"/>
      <c r="AE135" s="23" t="s">
        <v>2454</v>
      </c>
      <c r="AG135" s="128">
        <v>0</v>
      </c>
      <c r="AH135" s="282">
        <f>(AG135/100)</f>
        <v>0</v>
      </c>
    </row>
    <row r="136" s="23" customFormat="1" spans="10:29">
      <c r="J136" s="238"/>
      <c r="M136" s="244">
        <v>78</v>
      </c>
      <c r="N136" s="245">
        <v>0</v>
      </c>
      <c r="O136" s="245">
        <v>0</v>
      </c>
      <c r="P136" s="255">
        <v>0</v>
      </c>
      <c r="Q136" s="245">
        <v>0</v>
      </c>
      <c r="R136" s="245">
        <v>0</v>
      </c>
      <c r="S136" s="252">
        <v>0</v>
      </c>
      <c r="T136" s="245">
        <v>0</v>
      </c>
      <c r="U136" s="255">
        <v>0</v>
      </c>
      <c r="V136" s="245">
        <v>10</v>
      </c>
      <c r="W136" s="245">
        <v>0</v>
      </c>
      <c r="X136" s="259">
        <f t="shared" si="26"/>
        <v>1</v>
      </c>
      <c r="Y136" s="271">
        <f t="shared" si="27"/>
        <v>10</v>
      </c>
      <c r="AA136" s="128" t="s">
        <v>2458</v>
      </c>
      <c r="AB136" s="128">
        <f>COUNTBLANK(N129:W138)</f>
        <v>0</v>
      </c>
      <c r="AC136" s="273">
        <f>(AB136/100)</f>
        <v>0</v>
      </c>
    </row>
    <row r="137" s="23" customFormat="1" spans="10:29">
      <c r="J137" s="238"/>
      <c r="M137" s="246">
        <v>79</v>
      </c>
      <c r="N137" s="248">
        <v>0</v>
      </c>
      <c r="O137" s="248">
        <v>0</v>
      </c>
      <c r="P137" s="248">
        <v>0</v>
      </c>
      <c r="Q137" s="248">
        <v>0</v>
      </c>
      <c r="R137" s="248">
        <v>0</v>
      </c>
      <c r="S137" s="248">
        <v>0</v>
      </c>
      <c r="T137" s="248">
        <v>0</v>
      </c>
      <c r="U137" s="248">
        <v>0</v>
      </c>
      <c r="V137" s="248">
        <v>0</v>
      </c>
      <c r="W137" s="248">
        <v>0</v>
      </c>
      <c r="X137" s="260">
        <f t="shared" si="26"/>
        <v>0</v>
      </c>
      <c r="Y137" s="272">
        <f t="shared" si="27"/>
        <v>0</v>
      </c>
      <c r="Z137" s="276">
        <f>AVERAGE(N129:W138)</f>
        <v>1.35</v>
      </c>
      <c r="AA137" s="277" t="s">
        <v>2444</v>
      </c>
      <c r="AB137" s="263"/>
      <c r="AC137" s="264"/>
    </row>
    <row r="138" s="23" customFormat="1" spans="10:30">
      <c r="J138" s="238"/>
      <c r="M138" s="244">
        <v>80</v>
      </c>
      <c r="N138" s="288">
        <v>0</v>
      </c>
      <c r="O138" s="288">
        <v>0</v>
      </c>
      <c r="P138" s="288">
        <v>0</v>
      </c>
      <c r="Q138" s="288">
        <v>0</v>
      </c>
      <c r="R138" s="288">
        <v>15</v>
      </c>
      <c r="S138" s="288">
        <v>0</v>
      </c>
      <c r="T138" s="288">
        <v>15</v>
      </c>
      <c r="U138" s="301">
        <v>0</v>
      </c>
      <c r="V138" s="288">
        <v>10</v>
      </c>
      <c r="W138" s="293">
        <v>0</v>
      </c>
      <c r="X138" s="261">
        <f t="shared" si="26"/>
        <v>4</v>
      </c>
      <c r="Y138" s="294">
        <f t="shared" si="27"/>
        <v>40</v>
      </c>
      <c r="Z138" s="278">
        <f>SUM(Y129:Y138)</f>
        <v>135</v>
      </c>
      <c r="AA138" s="277" t="s">
        <v>2445</v>
      </c>
      <c r="AB138" s="263"/>
      <c r="AC138" s="263"/>
      <c r="AD138" s="264"/>
    </row>
    <row r="139" spans="10:33">
      <c r="J139" s="238"/>
      <c r="M139" s="241">
        <v>81</v>
      </c>
      <c r="N139" s="248">
        <v>0</v>
      </c>
      <c r="O139" s="248">
        <v>0</v>
      </c>
      <c r="P139" s="248">
        <v>15</v>
      </c>
      <c r="Q139" s="248">
        <v>0</v>
      </c>
      <c r="R139" s="248">
        <v>0</v>
      </c>
      <c r="S139" s="248">
        <v>0</v>
      </c>
      <c r="T139" s="248">
        <v>0</v>
      </c>
      <c r="U139" s="248">
        <v>0</v>
      </c>
      <c r="V139" s="248">
        <v>0</v>
      </c>
      <c r="W139" s="248">
        <v>0</v>
      </c>
      <c r="X139" s="258">
        <f t="shared" si="26"/>
        <v>1.5</v>
      </c>
      <c r="Y139" s="267">
        <f t="shared" si="27"/>
        <v>15</v>
      </c>
      <c r="AA139" s="268" t="s">
        <v>2454</v>
      </c>
      <c r="AB139" s="268"/>
      <c r="AC139" s="269" t="s">
        <v>2425</v>
      </c>
      <c r="AD139" s="269"/>
      <c r="AE139" s="270" t="s">
        <v>2426</v>
      </c>
      <c r="AF139" s="270"/>
      <c r="AG139" s="23" t="s">
        <v>2427</v>
      </c>
    </row>
    <row r="140" spans="10:27">
      <c r="J140" s="238"/>
      <c r="M140" s="244">
        <v>82</v>
      </c>
      <c r="N140" s="245">
        <v>0</v>
      </c>
      <c r="O140" s="245">
        <v>0</v>
      </c>
      <c r="P140" s="245">
        <v>0</v>
      </c>
      <c r="Q140" s="245">
        <v>0</v>
      </c>
      <c r="R140" s="245">
        <v>0</v>
      </c>
      <c r="S140" s="252">
        <v>0</v>
      </c>
      <c r="T140" s="245">
        <v>0</v>
      </c>
      <c r="U140" s="245">
        <v>0</v>
      </c>
      <c r="V140" s="245">
        <v>10</v>
      </c>
      <c r="W140" s="245">
        <v>0</v>
      </c>
      <c r="X140" s="259">
        <f t="shared" si="26"/>
        <v>1</v>
      </c>
      <c r="Y140" s="271">
        <f t="shared" si="27"/>
        <v>10</v>
      </c>
      <c r="AA140" s="23" t="s">
        <v>2429</v>
      </c>
    </row>
    <row r="141" s="23" customFormat="1" spans="10:31">
      <c r="J141" s="238"/>
      <c r="M141" s="246">
        <v>83</v>
      </c>
      <c r="N141" s="248">
        <v>0</v>
      </c>
      <c r="O141" s="248">
        <v>0</v>
      </c>
      <c r="P141" s="248">
        <v>0</v>
      </c>
      <c r="Q141" s="248">
        <v>0</v>
      </c>
      <c r="R141" s="248">
        <v>0</v>
      </c>
      <c r="S141" s="247">
        <v>0</v>
      </c>
      <c r="T141" s="248">
        <v>0</v>
      </c>
      <c r="U141" s="248">
        <v>0</v>
      </c>
      <c r="V141" s="256">
        <v>0</v>
      </c>
      <c r="W141" s="248">
        <v>0</v>
      </c>
      <c r="X141" s="260">
        <f t="shared" si="26"/>
        <v>0</v>
      </c>
      <c r="Y141" s="272">
        <f t="shared" si="27"/>
        <v>0</v>
      </c>
      <c r="AA141" s="128" t="s">
        <v>2430</v>
      </c>
      <c r="AB141" s="128">
        <f>COUNTIF(N139:W148,0)</f>
        <v>90</v>
      </c>
      <c r="AC141" s="273">
        <f t="shared" ref="AC141:AC143" si="30">(AB141/100)</f>
        <v>0.9</v>
      </c>
      <c r="AE141" s="23" t="s">
        <v>2431</v>
      </c>
    </row>
    <row r="142" s="23" customFormat="1" spans="10:35">
      <c r="J142" s="238"/>
      <c r="M142" s="244">
        <v>84</v>
      </c>
      <c r="N142" s="245">
        <v>0</v>
      </c>
      <c r="O142" s="245">
        <v>0</v>
      </c>
      <c r="P142" s="245">
        <v>0</v>
      </c>
      <c r="Q142" s="245">
        <v>0</v>
      </c>
      <c r="R142" s="245">
        <v>0</v>
      </c>
      <c r="S142" s="245">
        <v>0</v>
      </c>
      <c r="T142" s="245">
        <v>0</v>
      </c>
      <c r="U142" s="245">
        <v>0</v>
      </c>
      <c r="V142" s="245">
        <v>0</v>
      </c>
      <c r="W142" s="245">
        <v>0</v>
      </c>
      <c r="X142" s="259">
        <f t="shared" si="26"/>
        <v>0</v>
      </c>
      <c r="Y142" s="271">
        <f t="shared" si="27"/>
        <v>0</v>
      </c>
      <c r="AA142" s="128" t="s">
        <v>2456</v>
      </c>
      <c r="AB142" s="128">
        <f>COUNTIF(N139:W148,10)</f>
        <v>6</v>
      </c>
      <c r="AC142" s="273">
        <f t="shared" si="30"/>
        <v>0.06</v>
      </c>
      <c r="AE142" s="274" t="s">
        <v>2434</v>
      </c>
      <c r="AF142" s="275"/>
      <c r="AG142" s="280" t="s">
        <v>2435</v>
      </c>
      <c r="AH142" s="275" t="s">
        <v>2436</v>
      </c>
      <c r="AI142" s="281"/>
    </row>
    <row r="143" s="23" customFormat="1" spans="10:34">
      <c r="J143" s="238"/>
      <c r="M143" s="246">
        <v>85</v>
      </c>
      <c r="N143" s="248">
        <v>0</v>
      </c>
      <c r="O143" s="248">
        <v>0</v>
      </c>
      <c r="P143" s="248">
        <v>0</v>
      </c>
      <c r="Q143" s="247">
        <v>0</v>
      </c>
      <c r="R143" s="248">
        <v>10</v>
      </c>
      <c r="S143" s="247">
        <v>0</v>
      </c>
      <c r="T143" s="248">
        <v>0</v>
      </c>
      <c r="U143" s="248">
        <v>0</v>
      </c>
      <c r="V143" s="248">
        <v>0</v>
      </c>
      <c r="W143" s="247">
        <v>0</v>
      </c>
      <c r="X143" s="260">
        <f t="shared" si="26"/>
        <v>1</v>
      </c>
      <c r="Y143" s="272">
        <f t="shared" si="27"/>
        <v>10</v>
      </c>
      <c r="AA143" s="128" t="s">
        <v>2439</v>
      </c>
      <c r="AB143" s="128">
        <f>COUNTIF(N139:W148,15)</f>
        <v>4</v>
      </c>
      <c r="AC143" s="273">
        <f t="shared" si="30"/>
        <v>0.04</v>
      </c>
      <c r="AE143" s="23" t="s">
        <v>2438</v>
      </c>
      <c r="AG143" s="128">
        <v>5</v>
      </c>
      <c r="AH143" s="282">
        <f t="shared" ref="AH143:AH145" si="31">(AG143/100)</f>
        <v>0.05</v>
      </c>
    </row>
    <row r="144" s="23" customFormat="1" spans="10:34">
      <c r="J144" s="238"/>
      <c r="M144" s="244">
        <v>86</v>
      </c>
      <c r="N144" s="245">
        <v>0</v>
      </c>
      <c r="O144" s="245">
        <v>10</v>
      </c>
      <c r="P144" s="255">
        <v>0</v>
      </c>
      <c r="Q144" s="245">
        <v>0</v>
      </c>
      <c r="R144" s="245">
        <v>0</v>
      </c>
      <c r="S144" s="245">
        <v>0</v>
      </c>
      <c r="T144" s="245">
        <v>0</v>
      </c>
      <c r="U144" s="245">
        <v>0</v>
      </c>
      <c r="V144" s="245">
        <v>0</v>
      </c>
      <c r="W144" s="245">
        <v>0</v>
      </c>
      <c r="X144" s="259">
        <f t="shared" si="26"/>
        <v>1</v>
      </c>
      <c r="Y144" s="271">
        <f t="shared" si="27"/>
        <v>10</v>
      </c>
      <c r="AA144" s="128"/>
      <c r="AB144" s="128"/>
      <c r="AC144" s="273"/>
      <c r="AE144" s="23" t="s">
        <v>2440</v>
      </c>
      <c r="AG144" s="128">
        <v>9</v>
      </c>
      <c r="AH144" s="282">
        <f t="shared" si="31"/>
        <v>0.09</v>
      </c>
    </row>
    <row r="145" s="23" customFormat="1" spans="10:34">
      <c r="J145" s="238"/>
      <c r="M145" s="246">
        <v>87</v>
      </c>
      <c r="N145" s="248">
        <v>0</v>
      </c>
      <c r="O145" s="248">
        <v>0</v>
      </c>
      <c r="P145" s="248">
        <v>0</v>
      </c>
      <c r="Q145" s="247">
        <v>0</v>
      </c>
      <c r="R145" s="248">
        <v>0</v>
      </c>
      <c r="S145" s="248">
        <v>0</v>
      </c>
      <c r="T145" s="248">
        <v>0</v>
      </c>
      <c r="U145" s="248">
        <v>0</v>
      </c>
      <c r="V145" s="248">
        <v>0</v>
      </c>
      <c r="W145" s="248">
        <v>0</v>
      </c>
      <c r="X145" s="260">
        <f t="shared" si="26"/>
        <v>0</v>
      </c>
      <c r="Y145" s="272">
        <f t="shared" si="27"/>
        <v>0</v>
      </c>
      <c r="AA145" s="128"/>
      <c r="AB145" s="128"/>
      <c r="AC145" s="273"/>
      <c r="AE145" s="23" t="s">
        <v>2424</v>
      </c>
      <c r="AG145" s="128">
        <v>0</v>
      </c>
      <c r="AH145" s="282">
        <f t="shared" si="31"/>
        <v>0</v>
      </c>
    </row>
    <row r="146" s="23" customFormat="1" spans="10:29">
      <c r="J146" s="238"/>
      <c r="M146" s="244">
        <v>88</v>
      </c>
      <c r="N146" s="245">
        <v>15</v>
      </c>
      <c r="O146" s="245">
        <v>15</v>
      </c>
      <c r="P146" s="245">
        <v>0</v>
      </c>
      <c r="Q146" s="245">
        <v>0</v>
      </c>
      <c r="R146" s="245">
        <v>0</v>
      </c>
      <c r="S146" s="245">
        <v>0</v>
      </c>
      <c r="T146" s="255">
        <v>0</v>
      </c>
      <c r="U146" s="245">
        <v>0</v>
      </c>
      <c r="V146" s="245">
        <v>0</v>
      </c>
      <c r="W146" s="245">
        <v>0</v>
      </c>
      <c r="X146" s="259">
        <f t="shared" si="26"/>
        <v>3</v>
      </c>
      <c r="Y146" s="271">
        <f t="shared" si="27"/>
        <v>30</v>
      </c>
      <c r="AA146" s="128"/>
      <c r="AB146" s="128"/>
      <c r="AC146" s="273"/>
    </row>
    <row r="147" s="23" customFormat="1" spans="10:29">
      <c r="J147" s="238"/>
      <c r="M147" s="246">
        <v>89</v>
      </c>
      <c r="N147" s="248">
        <v>10</v>
      </c>
      <c r="O147" s="248">
        <v>0</v>
      </c>
      <c r="P147" s="248">
        <v>0</v>
      </c>
      <c r="Q147" s="248">
        <v>0</v>
      </c>
      <c r="R147" s="247">
        <v>0</v>
      </c>
      <c r="S147" s="256">
        <v>0</v>
      </c>
      <c r="T147" s="248">
        <v>0</v>
      </c>
      <c r="U147" s="248">
        <v>0</v>
      </c>
      <c r="V147" s="248">
        <v>0</v>
      </c>
      <c r="W147" s="248">
        <v>0</v>
      </c>
      <c r="X147" s="260">
        <f t="shared" si="26"/>
        <v>1</v>
      </c>
      <c r="Y147" s="272">
        <f t="shared" si="27"/>
        <v>10</v>
      </c>
      <c r="Z147" s="276">
        <f>AVERAGE(N139:W148)</f>
        <v>1.2</v>
      </c>
      <c r="AA147" s="277" t="s">
        <v>2448</v>
      </c>
      <c r="AB147" s="263"/>
      <c r="AC147" s="264"/>
    </row>
    <row r="148" s="23" customFormat="1" spans="10:30">
      <c r="J148" s="238"/>
      <c r="M148" s="244">
        <v>90</v>
      </c>
      <c r="N148" s="288">
        <v>0</v>
      </c>
      <c r="O148" s="288">
        <v>10</v>
      </c>
      <c r="P148" s="288">
        <v>0</v>
      </c>
      <c r="Q148" s="301">
        <v>0</v>
      </c>
      <c r="R148" s="288">
        <v>15</v>
      </c>
      <c r="S148" s="288">
        <v>10</v>
      </c>
      <c r="T148" s="292">
        <v>0</v>
      </c>
      <c r="U148" s="288">
        <v>0</v>
      </c>
      <c r="V148" s="301">
        <v>0</v>
      </c>
      <c r="W148" s="293">
        <v>0</v>
      </c>
      <c r="X148" s="261">
        <f t="shared" si="26"/>
        <v>3.5</v>
      </c>
      <c r="Y148" s="294">
        <f t="shared" si="27"/>
        <v>35</v>
      </c>
      <c r="Z148" s="278">
        <f>SUM(Y139:Y148)</f>
        <v>120</v>
      </c>
      <c r="AA148" s="277" t="s">
        <v>2460</v>
      </c>
      <c r="AB148" s="263"/>
      <c r="AC148" s="263"/>
      <c r="AD148" s="264"/>
    </row>
    <row r="149" s="23" customFormat="1" spans="10:33">
      <c r="J149" s="238"/>
      <c r="M149" s="241">
        <v>91</v>
      </c>
      <c r="N149" s="248">
        <v>0</v>
      </c>
      <c r="O149" s="248">
        <v>0</v>
      </c>
      <c r="P149" s="248">
        <v>0</v>
      </c>
      <c r="Q149" s="248">
        <v>0</v>
      </c>
      <c r="R149" s="247">
        <v>0</v>
      </c>
      <c r="S149" s="248">
        <v>0</v>
      </c>
      <c r="T149" s="248">
        <v>0</v>
      </c>
      <c r="U149" s="248">
        <v>0</v>
      </c>
      <c r="V149" s="247">
        <v>0</v>
      </c>
      <c r="W149" s="248">
        <v>0</v>
      </c>
      <c r="X149" s="258">
        <f t="shared" si="26"/>
        <v>0</v>
      </c>
      <c r="Y149" s="267">
        <f t="shared" si="27"/>
        <v>0</v>
      </c>
      <c r="AA149" s="268" t="s">
        <v>2454</v>
      </c>
      <c r="AB149" s="268"/>
      <c r="AC149" s="269" t="s">
        <v>2425</v>
      </c>
      <c r="AD149" s="269"/>
      <c r="AE149" s="270" t="s">
        <v>2426</v>
      </c>
      <c r="AF149" s="270"/>
      <c r="AG149" s="23" t="s">
        <v>2427</v>
      </c>
    </row>
    <row r="150" s="23" customFormat="1" spans="10:27">
      <c r="J150" s="238"/>
      <c r="M150" s="244">
        <v>92</v>
      </c>
      <c r="N150" s="245">
        <v>0</v>
      </c>
      <c r="O150" s="245">
        <v>10</v>
      </c>
      <c r="P150" s="245">
        <v>0</v>
      </c>
      <c r="Q150" s="245">
        <v>0</v>
      </c>
      <c r="R150" s="245">
        <v>10</v>
      </c>
      <c r="S150" s="245">
        <v>0</v>
      </c>
      <c r="T150" s="245">
        <v>0</v>
      </c>
      <c r="U150" s="255">
        <v>0</v>
      </c>
      <c r="V150" s="245">
        <v>0</v>
      </c>
      <c r="W150" s="252">
        <v>0</v>
      </c>
      <c r="X150" s="259">
        <f t="shared" si="26"/>
        <v>2</v>
      </c>
      <c r="Y150" s="271">
        <f t="shared" si="27"/>
        <v>20</v>
      </c>
      <c r="AA150" s="23" t="s">
        <v>2429</v>
      </c>
    </row>
    <row r="151" s="23" customFormat="1" spans="10:31">
      <c r="J151" s="238"/>
      <c r="M151" s="246">
        <v>93</v>
      </c>
      <c r="N151" s="248">
        <v>0</v>
      </c>
      <c r="O151" s="248">
        <v>0</v>
      </c>
      <c r="P151" s="248">
        <v>0</v>
      </c>
      <c r="Q151" s="248">
        <v>10</v>
      </c>
      <c r="R151" s="248">
        <v>0</v>
      </c>
      <c r="S151" s="248">
        <v>0</v>
      </c>
      <c r="T151" s="248">
        <v>0</v>
      </c>
      <c r="U151" s="248">
        <v>0</v>
      </c>
      <c r="V151" s="248">
        <v>0</v>
      </c>
      <c r="W151" s="248">
        <v>0</v>
      </c>
      <c r="X151" s="260">
        <f t="shared" si="26"/>
        <v>1</v>
      </c>
      <c r="Y151" s="272">
        <f t="shared" si="27"/>
        <v>10</v>
      </c>
      <c r="AA151" s="128" t="s">
        <v>2430</v>
      </c>
      <c r="AB151" s="128">
        <f>COUNTIF(N149:W158,0)</f>
        <v>86</v>
      </c>
      <c r="AC151" s="273">
        <f t="shared" ref="AC151:AC153" si="32">(AB151/100)</f>
        <v>0.86</v>
      </c>
      <c r="AE151" s="23" t="s">
        <v>2431</v>
      </c>
    </row>
    <row r="152" s="23" customFormat="1" spans="10:35">
      <c r="J152" s="238"/>
      <c r="M152" s="244">
        <v>94</v>
      </c>
      <c r="N152" s="245">
        <v>0</v>
      </c>
      <c r="O152" s="245">
        <v>0</v>
      </c>
      <c r="P152" s="252">
        <v>0</v>
      </c>
      <c r="Q152" s="245">
        <v>0</v>
      </c>
      <c r="R152" s="245">
        <v>0</v>
      </c>
      <c r="S152" s="252">
        <v>0</v>
      </c>
      <c r="T152" s="245">
        <v>0</v>
      </c>
      <c r="U152" s="245">
        <v>10</v>
      </c>
      <c r="V152" s="245">
        <v>0</v>
      </c>
      <c r="W152" s="255">
        <v>0</v>
      </c>
      <c r="X152" s="259">
        <f t="shared" si="26"/>
        <v>1</v>
      </c>
      <c r="Y152" s="271">
        <f t="shared" si="27"/>
        <v>10</v>
      </c>
      <c r="AA152" s="128" t="s">
        <v>2456</v>
      </c>
      <c r="AB152" s="128">
        <f>COUNTIF(N149:W158,10)</f>
        <v>10</v>
      </c>
      <c r="AC152" s="273">
        <f t="shared" si="32"/>
        <v>0.1</v>
      </c>
      <c r="AE152" s="274" t="s">
        <v>2434</v>
      </c>
      <c r="AF152" s="275"/>
      <c r="AG152" s="280" t="s">
        <v>2435</v>
      </c>
      <c r="AH152" s="275" t="s">
        <v>2436</v>
      </c>
      <c r="AI152" s="281"/>
    </row>
    <row r="153" s="23" customFormat="1" spans="10:34">
      <c r="J153" s="238"/>
      <c r="M153" s="246">
        <v>95</v>
      </c>
      <c r="N153" s="248">
        <v>0</v>
      </c>
      <c r="O153" s="248">
        <v>0</v>
      </c>
      <c r="P153" s="247">
        <v>0</v>
      </c>
      <c r="Q153" s="248">
        <v>0</v>
      </c>
      <c r="R153" s="248">
        <v>0</v>
      </c>
      <c r="S153" s="248">
        <v>10</v>
      </c>
      <c r="T153" s="248">
        <v>0</v>
      </c>
      <c r="U153" s="248">
        <v>0</v>
      </c>
      <c r="V153" s="248">
        <v>0</v>
      </c>
      <c r="W153" s="248">
        <v>0</v>
      </c>
      <c r="X153" s="260">
        <f t="shared" si="26"/>
        <v>1</v>
      </c>
      <c r="Y153" s="272">
        <f t="shared" si="27"/>
        <v>10</v>
      </c>
      <c r="AA153" s="128" t="s">
        <v>2439</v>
      </c>
      <c r="AB153" s="128">
        <f>COUNTIF(N149:W158,15)</f>
        <v>4</v>
      </c>
      <c r="AC153" s="273">
        <f t="shared" si="32"/>
        <v>0.04</v>
      </c>
      <c r="AE153" s="23" t="s">
        <v>2438</v>
      </c>
      <c r="AG153" s="128">
        <v>7</v>
      </c>
      <c r="AH153" s="282">
        <f t="shared" ref="AH153:AH155" si="33">(AG153/100)</f>
        <v>0.07</v>
      </c>
    </row>
    <row r="154" s="23" customFormat="1" spans="10:34">
      <c r="J154" s="238"/>
      <c r="M154" s="244">
        <v>96</v>
      </c>
      <c r="N154" s="252">
        <v>0</v>
      </c>
      <c r="O154" s="245">
        <v>0</v>
      </c>
      <c r="P154" s="245">
        <v>0</v>
      </c>
      <c r="Q154" s="245">
        <v>0</v>
      </c>
      <c r="R154" s="245">
        <v>0</v>
      </c>
      <c r="S154" s="245">
        <v>0</v>
      </c>
      <c r="T154" s="245">
        <v>0</v>
      </c>
      <c r="U154" s="245">
        <v>0</v>
      </c>
      <c r="V154" s="245">
        <v>15</v>
      </c>
      <c r="W154" s="245">
        <v>0</v>
      </c>
      <c r="X154" s="259">
        <f t="shared" si="26"/>
        <v>1.5</v>
      </c>
      <c r="Y154" s="271">
        <f t="shared" si="27"/>
        <v>15</v>
      </c>
      <c r="AA154" s="128"/>
      <c r="AB154" s="128"/>
      <c r="AC154" s="273"/>
      <c r="AE154" s="23" t="s">
        <v>2440</v>
      </c>
      <c r="AG154" s="128">
        <v>9</v>
      </c>
      <c r="AH154" s="282">
        <f t="shared" si="33"/>
        <v>0.09</v>
      </c>
    </row>
    <row r="155" s="23" customFormat="1" spans="10:34">
      <c r="J155" s="238"/>
      <c r="M155" s="246">
        <v>97</v>
      </c>
      <c r="N155" s="248">
        <v>10</v>
      </c>
      <c r="O155" s="248">
        <v>0</v>
      </c>
      <c r="P155" s="248">
        <v>0</v>
      </c>
      <c r="Q155" s="248">
        <v>0</v>
      </c>
      <c r="R155" s="247">
        <v>0</v>
      </c>
      <c r="S155" s="248">
        <v>0</v>
      </c>
      <c r="T155" s="256">
        <v>0</v>
      </c>
      <c r="U155" s="248">
        <v>0</v>
      </c>
      <c r="V155" s="248">
        <v>0</v>
      </c>
      <c r="W155" s="248">
        <v>0</v>
      </c>
      <c r="X155" s="260">
        <f t="shared" si="26"/>
        <v>1</v>
      </c>
      <c r="Y155" s="272">
        <f t="shared" si="27"/>
        <v>10</v>
      </c>
      <c r="AA155" s="128"/>
      <c r="AB155" s="128"/>
      <c r="AC155" s="273"/>
      <c r="AE155" s="23" t="s">
        <v>2454</v>
      </c>
      <c r="AG155" s="128">
        <v>0</v>
      </c>
      <c r="AH155" s="282">
        <f t="shared" si="33"/>
        <v>0</v>
      </c>
    </row>
    <row r="156" s="23" customFormat="1" spans="10:29">
      <c r="J156" s="238"/>
      <c r="M156" s="244">
        <v>98</v>
      </c>
      <c r="N156" s="245">
        <v>0</v>
      </c>
      <c r="O156" s="245">
        <v>0</v>
      </c>
      <c r="P156" s="245">
        <v>10</v>
      </c>
      <c r="Q156" s="255">
        <v>0</v>
      </c>
      <c r="R156" s="245">
        <v>0</v>
      </c>
      <c r="S156" s="245">
        <v>0</v>
      </c>
      <c r="T156" s="245">
        <v>15</v>
      </c>
      <c r="U156" s="245">
        <v>0</v>
      </c>
      <c r="V156" s="245">
        <v>15</v>
      </c>
      <c r="W156" s="255">
        <v>0</v>
      </c>
      <c r="X156" s="259">
        <f t="shared" si="26"/>
        <v>4</v>
      </c>
      <c r="Y156" s="271">
        <f t="shared" si="27"/>
        <v>40</v>
      </c>
      <c r="AA156" s="128"/>
      <c r="AB156" s="128"/>
      <c r="AC156" s="273"/>
    </row>
    <row r="157" s="23" customFormat="1" spans="10:38">
      <c r="J157" s="238"/>
      <c r="M157" s="246">
        <v>99</v>
      </c>
      <c r="N157" s="248">
        <v>0</v>
      </c>
      <c r="O157" s="248">
        <v>0</v>
      </c>
      <c r="P157" s="248">
        <v>10</v>
      </c>
      <c r="Q157" s="248">
        <v>0</v>
      </c>
      <c r="R157" s="248">
        <v>0</v>
      </c>
      <c r="S157" s="248">
        <v>0</v>
      </c>
      <c r="T157" s="248">
        <v>0</v>
      </c>
      <c r="U157" s="248">
        <v>0</v>
      </c>
      <c r="V157" s="248">
        <v>0</v>
      </c>
      <c r="W157" s="248">
        <v>0</v>
      </c>
      <c r="X157" s="260">
        <f t="shared" si="26"/>
        <v>1</v>
      </c>
      <c r="Y157" s="272">
        <f t="shared" si="27"/>
        <v>10</v>
      </c>
      <c r="Z157" s="276">
        <f>AVERAGE(N149:W158)</f>
        <v>1.6</v>
      </c>
      <c r="AA157" s="277" t="s">
        <v>2448</v>
      </c>
      <c r="AB157" s="263"/>
      <c r="AC157" s="264"/>
      <c r="AH157" s="265">
        <f>AVERAGE(N59:W158)</f>
        <v>1.09</v>
      </c>
      <c r="AI157" s="309" t="s">
        <v>2507</v>
      </c>
      <c r="AJ157" s="263"/>
      <c r="AK157" s="263"/>
      <c r="AL157" s="310"/>
    </row>
    <row r="158" s="23" customFormat="1" ht="15" customHeight="1" spans="10:38">
      <c r="J158" s="238"/>
      <c r="M158" s="296">
        <v>100</v>
      </c>
      <c r="N158" s="297">
        <v>0</v>
      </c>
      <c r="O158" s="298">
        <v>0</v>
      </c>
      <c r="P158" s="299">
        <v>0</v>
      </c>
      <c r="Q158" s="299">
        <v>0</v>
      </c>
      <c r="R158" s="298">
        <v>0</v>
      </c>
      <c r="S158" s="299">
        <v>10</v>
      </c>
      <c r="T158" s="299">
        <v>10</v>
      </c>
      <c r="U158" s="299">
        <v>0</v>
      </c>
      <c r="V158" s="299">
        <v>15</v>
      </c>
      <c r="W158" s="299">
        <v>0</v>
      </c>
      <c r="X158" s="302">
        <f t="shared" si="26"/>
        <v>3.5</v>
      </c>
      <c r="Y158" s="303">
        <f t="shared" si="27"/>
        <v>35</v>
      </c>
      <c r="Z158" s="304">
        <f>SUM(Y149:Y158)</f>
        <v>160</v>
      </c>
      <c r="AA158" s="305" t="s">
        <v>2460</v>
      </c>
      <c r="AB158" s="306"/>
      <c r="AC158" s="306"/>
      <c r="AD158" s="307"/>
      <c r="AE158" s="308"/>
      <c r="AF158" s="308"/>
      <c r="AG158" s="308"/>
      <c r="AH158" s="311">
        <f>SUM(Y59:Y158)</f>
        <v>1090</v>
      </c>
      <c r="AI158" s="312" t="s">
        <v>2508</v>
      </c>
      <c r="AJ158" s="306"/>
      <c r="AK158" s="306"/>
      <c r="AL158" s="313"/>
    </row>
    <row r="159" s="23" customFormat="1" ht="15" customHeight="1" spans="10:33">
      <c r="J159" s="238"/>
      <c r="M159" s="241">
        <v>101</v>
      </c>
      <c r="N159" s="248">
        <v>0</v>
      </c>
      <c r="O159" s="248">
        <v>15</v>
      </c>
      <c r="P159" s="248">
        <v>0</v>
      </c>
      <c r="Q159" s="248">
        <v>0</v>
      </c>
      <c r="R159" s="248">
        <v>0</v>
      </c>
      <c r="S159" s="248">
        <v>0</v>
      </c>
      <c r="T159" s="248">
        <v>0</v>
      </c>
      <c r="U159" s="248">
        <v>0</v>
      </c>
      <c r="V159" s="248">
        <v>15</v>
      </c>
      <c r="W159" s="248">
        <v>0</v>
      </c>
      <c r="X159" s="258">
        <f t="shared" si="26"/>
        <v>3</v>
      </c>
      <c r="Y159" s="267">
        <f t="shared" si="27"/>
        <v>30</v>
      </c>
      <c r="AA159" s="268" t="s">
        <v>2454</v>
      </c>
      <c r="AB159" s="268"/>
      <c r="AC159" s="269" t="s">
        <v>2425</v>
      </c>
      <c r="AD159" s="269"/>
      <c r="AE159" s="270" t="s">
        <v>2426</v>
      </c>
      <c r="AF159" s="270"/>
      <c r="AG159" s="23" t="s">
        <v>2427</v>
      </c>
    </row>
    <row r="160" s="23" customFormat="1" spans="10:27">
      <c r="J160" s="238"/>
      <c r="M160" s="244">
        <v>102</v>
      </c>
      <c r="N160" s="245">
        <v>10</v>
      </c>
      <c r="O160" s="245">
        <v>0</v>
      </c>
      <c r="P160" s="245">
        <v>0</v>
      </c>
      <c r="Q160" s="245">
        <v>0</v>
      </c>
      <c r="R160" s="252">
        <v>0</v>
      </c>
      <c r="S160" s="245">
        <v>0</v>
      </c>
      <c r="T160" s="255">
        <v>0</v>
      </c>
      <c r="U160" s="245">
        <v>0</v>
      </c>
      <c r="V160" s="245">
        <v>0</v>
      </c>
      <c r="W160" s="245">
        <v>0</v>
      </c>
      <c r="X160" s="259">
        <f t="shared" si="26"/>
        <v>1</v>
      </c>
      <c r="Y160" s="271">
        <f t="shared" si="27"/>
        <v>10</v>
      </c>
      <c r="AA160" s="23" t="s">
        <v>2429</v>
      </c>
    </row>
    <row r="161" s="23" customFormat="1" spans="10:31">
      <c r="J161" s="238"/>
      <c r="M161" s="246">
        <v>103</v>
      </c>
      <c r="N161" s="248">
        <v>10</v>
      </c>
      <c r="O161" s="248">
        <v>0</v>
      </c>
      <c r="P161" s="247">
        <v>0</v>
      </c>
      <c r="Q161" s="248">
        <v>0</v>
      </c>
      <c r="R161" s="248">
        <v>0</v>
      </c>
      <c r="S161" s="247">
        <v>0</v>
      </c>
      <c r="T161" s="248">
        <v>0</v>
      </c>
      <c r="U161" s="248">
        <v>0</v>
      </c>
      <c r="V161" s="248">
        <v>0</v>
      </c>
      <c r="W161" s="248">
        <v>0</v>
      </c>
      <c r="X161" s="260">
        <f t="shared" si="26"/>
        <v>1</v>
      </c>
      <c r="Y161" s="272">
        <f t="shared" si="27"/>
        <v>10</v>
      </c>
      <c r="AA161" s="128" t="s">
        <v>2430</v>
      </c>
      <c r="AB161" s="128">
        <f>COUNTIF(N159:W168,0)</f>
        <v>89</v>
      </c>
      <c r="AC161" s="273">
        <f t="shared" ref="AC161:AC163" si="34">(AB161/100)</f>
        <v>0.89</v>
      </c>
      <c r="AE161" s="23" t="s">
        <v>2431</v>
      </c>
    </row>
    <row r="162" s="23" customFormat="1" spans="10:35">
      <c r="J162" s="238"/>
      <c r="M162" s="244">
        <v>104</v>
      </c>
      <c r="N162" s="252">
        <v>0</v>
      </c>
      <c r="O162" s="245">
        <v>0</v>
      </c>
      <c r="P162" s="245">
        <v>0</v>
      </c>
      <c r="Q162" s="245">
        <v>10</v>
      </c>
      <c r="R162" s="245">
        <v>0</v>
      </c>
      <c r="S162" s="245">
        <v>0</v>
      </c>
      <c r="T162" s="252">
        <v>0</v>
      </c>
      <c r="U162" s="245">
        <v>15</v>
      </c>
      <c r="V162" s="245">
        <v>0</v>
      </c>
      <c r="W162" s="245">
        <v>10</v>
      </c>
      <c r="X162" s="259">
        <f t="shared" si="26"/>
        <v>3.5</v>
      </c>
      <c r="Y162" s="271">
        <f t="shared" si="27"/>
        <v>35</v>
      </c>
      <c r="AA162" s="128" t="s">
        <v>2456</v>
      </c>
      <c r="AB162" s="128">
        <f>COUNTIF(N159:W168,10)</f>
        <v>5</v>
      </c>
      <c r="AC162" s="273">
        <f t="shared" si="34"/>
        <v>0.05</v>
      </c>
      <c r="AE162" s="274" t="s">
        <v>2434</v>
      </c>
      <c r="AF162" s="275"/>
      <c r="AG162" s="280" t="s">
        <v>2435</v>
      </c>
      <c r="AH162" s="275" t="s">
        <v>2436</v>
      </c>
      <c r="AI162" s="281"/>
    </row>
    <row r="163" s="23" customFormat="1" spans="10:34">
      <c r="J163" s="238"/>
      <c r="M163" s="246">
        <v>105</v>
      </c>
      <c r="N163" s="248">
        <v>0</v>
      </c>
      <c r="O163" s="248">
        <v>0</v>
      </c>
      <c r="P163" s="248">
        <v>0</v>
      </c>
      <c r="Q163" s="248">
        <v>0</v>
      </c>
      <c r="R163" s="248">
        <v>0</v>
      </c>
      <c r="S163" s="256">
        <v>0</v>
      </c>
      <c r="T163" s="248">
        <v>0</v>
      </c>
      <c r="U163" s="248">
        <v>0</v>
      </c>
      <c r="V163" s="248">
        <v>0</v>
      </c>
      <c r="W163" s="248">
        <v>0</v>
      </c>
      <c r="X163" s="260">
        <f t="shared" si="26"/>
        <v>0</v>
      </c>
      <c r="Y163" s="272">
        <f t="shared" si="27"/>
        <v>0</v>
      </c>
      <c r="AA163" s="128" t="s">
        <v>2439</v>
      </c>
      <c r="AB163" s="128">
        <f>COUNTIF(N159:W168,15)</f>
        <v>6</v>
      </c>
      <c r="AC163" s="273">
        <f t="shared" si="34"/>
        <v>0.06</v>
      </c>
      <c r="AE163" s="23" t="s">
        <v>2438</v>
      </c>
      <c r="AG163" s="128">
        <v>8</v>
      </c>
      <c r="AH163" s="282">
        <v>0.02</v>
      </c>
    </row>
    <row r="164" s="23" customFormat="1" spans="10:34">
      <c r="J164" s="238"/>
      <c r="M164" s="244">
        <v>106</v>
      </c>
      <c r="N164" s="245">
        <v>0</v>
      </c>
      <c r="O164" s="245">
        <v>0</v>
      </c>
      <c r="P164" s="245">
        <v>0</v>
      </c>
      <c r="Q164" s="245">
        <v>0</v>
      </c>
      <c r="R164" s="245">
        <v>0</v>
      </c>
      <c r="S164" s="245">
        <v>10</v>
      </c>
      <c r="T164" s="245">
        <v>15</v>
      </c>
      <c r="U164" s="245">
        <v>0</v>
      </c>
      <c r="V164" s="245">
        <v>15</v>
      </c>
      <c r="W164" s="245">
        <v>0</v>
      </c>
      <c r="X164" s="259">
        <f t="shared" si="26"/>
        <v>4</v>
      </c>
      <c r="Y164" s="271">
        <f t="shared" si="27"/>
        <v>40</v>
      </c>
      <c r="AA164" s="128"/>
      <c r="AB164" s="128"/>
      <c r="AC164" s="273"/>
      <c r="AE164" s="23" t="s">
        <v>2440</v>
      </c>
      <c r="AG164" s="128">
        <v>5</v>
      </c>
      <c r="AH164" s="282">
        <f>(AG164/100)</f>
        <v>0.05</v>
      </c>
    </row>
    <row r="165" s="23" customFormat="1" spans="10:34">
      <c r="J165" s="238"/>
      <c r="M165" s="246">
        <v>107</v>
      </c>
      <c r="N165" s="248">
        <v>0</v>
      </c>
      <c r="O165" s="248">
        <v>0</v>
      </c>
      <c r="P165" s="248">
        <v>15</v>
      </c>
      <c r="Q165" s="248">
        <v>0</v>
      </c>
      <c r="R165" s="256">
        <v>0</v>
      </c>
      <c r="S165" s="256">
        <v>0</v>
      </c>
      <c r="T165" s="248">
        <v>0</v>
      </c>
      <c r="U165" s="248">
        <v>0</v>
      </c>
      <c r="V165" s="247">
        <v>0</v>
      </c>
      <c r="W165" s="248">
        <v>0</v>
      </c>
      <c r="X165" s="260">
        <f t="shared" si="26"/>
        <v>1.5</v>
      </c>
      <c r="Y165" s="272">
        <f t="shared" si="27"/>
        <v>15</v>
      </c>
      <c r="AA165" s="128"/>
      <c r="AB165" s="128"/>
      <c r="AC165" s="273"/>
      <c r="AE165" s="23" t="s">
        <v>2442</v>
      </c>
      <c r="AG165" s="128">
        <v>0</v>
      </c>
      <c r="AH165" s="282">
        <f>(AG165/100)</f>
        <v>0</v>
      </c>
    </row>
    <row r="166" s="23" customFormat="1" spans="10:29">
      <c r="J166" s="238"/>
      <c r="M166" s="244">
        <v>108</v>
      </c>
      <c r="N166" s="245">
        <v>0</v>
      </c>
      <c r="O166" s="245">
        <v>0</v>
      </c>
      <c r="P166" s="245">
        <v>0</v>
      </c>
      <c r="Q166" s="245">
        <v>0</v>
      </c>
      <c r="R166" s="245">
        <v>0</v>
      </c>
      <c r="S166" s="245">
        <v>0</v>
      </c>
      <c r="T166" s="245">
        <v>0</v>
      </c>
      <c r="U166" s="245">
        <v>0</v>
      </c>
      <c r="V166" s="245">
        <v>0</v>
      </c>
      <c r="W166" s="245">
        <v>0</v>
      </c>
      <c r="X166" s="259">
        <f t="shared" si="26"/>
        <v>0</v>
      </c>
      <c r="Y166" s="271">
        <f t="shared" si="27"/>
        <v>0</v>
      </c>
      <c r="AA166" s="128"/>
      <c r="AB166" s="128"/>
      <c r="AC166" s="273"/>
    </row>
    <row r="167" s="23" customFormat="1" spans="10:29">
      <c r="J167" s="238"/>
      <c r="M167" s="246">
        <v>109</v>
      </c>
      <c r="N167" s="248">
        <v>0</v>
      </c>
      <c r="O167" s="248">
        <v>0</v>
      </c>
      <c r="P167" s="248">
        <v>0</v>
      </c>
      <c r="Q167" s="248">
        <v>0</v>
      </c>
      <c r="R167" s="256">
        <v>0</v>
      </c>
      <c r="S167" s="248">
        <v>0</v>
      </c>
      <c r="T167" s="248">
        <v>0</v>
      </c>
      <c r="U167" s="248">
        <v>0</v>
      </c>
      <c r="V167" s="248">
        <v>0</v>
      </c>
      <c r="W167" s="248">
        <v>0</v>
      </c>
      <c r="X167" s="260">
        <f t="shared" si="26"/>
        <v>0</v>
      </c>
      <c r="Y167" s="272">
        <f t="shared" si="27"/>
        <v>0</v>
      </c>
      <c r="Z167" s="276">
        <f>AVERAGE(N159:W168)</f>
        <v>1.4</v>
      </c>
      <c r="AA167" s="277" t="s">
        <v>2448</v>
      </c>
      <c r="AB167" s="263"/>
      <c r="AC167" s="264"/>
    </row>
    <row r="168" s="23" customFormat="1" spans="10:30">
      <c r="J168" s="238"/>
      <c r="M168" s="300">
        <v>110</v>
      </c>
      <c r="N168" s="288">
        <v>0</v>
      </c>
      <c r="O168" s="292">
        <v>0</v>
      </c>
      <c r="P168" s="288">
        <v>0</v>
      </c>
      <c r="Q168" s="288">
        <v>0</v>
      </c>
      <c r="R168" s="288">
        <v>0</v>
      </c>
      <c r="S168" s="301">
        <v>0</v>
      </c>
      <c r="T168" s="288">
        <v>0</v>
      </c>
      <c r="U168" s="288">
        <v>0</v>
      </c>
      <c r="V168" s="288">
        <v>0</v>
      </c>
      <c r="W168" s="288">
        <v>0</v>
      </c>
      <c r="X168" s="261">
        <f t="shared" si="26"/>
        <v>0</v>
      </c>
      <c r="Y168" s="294">
        <f t="shared" si="27"/>
        <v>0</v>
      </c>
      <c r="Z168" s="278">
        <f>SUM(Y159:Y168)</f>
        <v>140</v>
      </c>
      <c r="AA168" s="277" t="s">
        <v>2460</v>
      </c>
      <c r="AB168" s="263"/>
      <c r="AC168" s="263"/>
      <c r="AD168" s="264"/>
    </row>
    <row r="169" s="23" customFormat="1" spans="10:33">
      <c r="J169" s="238"/>
      <c r="M169" s="241">
        <v>111</v>
      </c>
      <c r="N169" s="248">
        <v>0</v>
      </c>
      <c r="O169" s="248">
        <v>0</v>
      </c>
      <c r="P169" s="248">
        <v>0</v>
      </c>
      <c r="Q169" s="248">
        <v>0</v>
      </c>
      <c r="R169" s="248">
        <v>0</v>
      </c>
      <c r="S169" s="248">
        <v>0</v>
      </c>
      <c r="T169" s="248">
        <v>0</v>
      </c>
      <c r="U169" s="248">
        <v>0</v>
      </c>
      <c r="V169" s="248">
        <v>0</v>
      </c>
      <c r="W169" s="248">
        <v>0</v>
      </c>
      <c r="X169" s="258">
        <f t="shared" si="26"/>
        <v>0</v>
      </c>
      <c r="Y169" s="267">
        <f t="shared" si="27"/>
        <v>0</v>
      </c>
      <c r="AA169" s="268" t="s">
        <v>2454</v>
      </c>
      <c r="AB169" s="268"/>
      <c r="AC169" s="269" t="s">
        <v>2425</v>
      </c>
      <c r="AD169" s="269"/>
      <c r="AE169" s="270" t="s">
        <v>2426</v>
      </c>
      <c r="AF169" s="270"/>
      <c r="AG169" s="23" t="s">
        <v>2427</v>
      </c>
    </row>
    <row r="170" s="23" customFormat="1" spans="10:27">
      <c r="J170" s="238"/>
      <c r="M170" s="244">
        <v>112</v>
      </c>
      <c r="N170" s="245">
        <v>0</v>
      </c>
      <c r="O170" s="245">
        <v>0</v>
      </c>
      <c r="P170" s="245">
        <v>0</v>
      </c>
      <c r="Q170" s="245">
        <v>0</v>
      </c>
      <c r="R170" s="245">
        <v>15</v>
      </c>
      <c r="S170" s="245">
        <v>10</v>
      </c>
      <c r="T170" s="245">
        <v>0</v>
      </c>
      <c r="U170" s="255">
        <v>0</v>
      </c>
      <c r="V170" s="245">
        <v>0</v>
      </c>
      <c r="W170" s="255">
        <v>0</v>
      </c>
      <c r="X170" s="259">
        <f t="shared" si="26"/>
        <v>2.5</v>
      </c>
      <c r="Y170" s="271">
        <f t="shared" si="27"/>
        <v>25</v>
      </c>
      <c r="AA170" s="23" t="s">
        <v>2429</v>
      </c>
    </row>
    <row r="171" s="23" customFormat="1" spans="10:31">
      <c r="J171" s="238"/>
      <c r="M171" s="246">
        <v>113</v>
      </c>
      <c r="N171" s="248">
        <v>0</v>
      </c>
      <c r="O171" s="248">
        <v>0</v>
      </c>
      <c r="P171" s="248">
        <v>0</v>
      </c>
      <c r="Q171" s="248">
        <v>0</v>
      </c>
      <c r="R171" s="248">
        <v>0</v>
      </c>
      <c r="S171" s="248">
        <v>10</v>
      </c>
      <c r="T171" s="248">
        <v>0</v>
      </c>
      <c r="U171" s="248">
        <v>0</v>
      </c>
      <c r="V171" s="248">
        <v>0</v>
      </c>
      <c r="W171" s="248">
        <v>0</v>
      </c>
      <c r="X171" s="260">
        <f t="shared" si="26"/>
        <v>1</v>
      </c>
      <c r="Y171" s="272">
        <f t="shared" si="27"/>
        <v>10</v>
      </c>
      <c r="AA171" s="128" t="s">
        <v>2430</v>
      </c>
      <c r="AB171" s="128">
        <f>COUNTIF(N169:W178,0)</f>
        <v>92</v>
      </c>
      <c r="AC171" s="273">
        <f t="shared" ref="AC171:AC173" si="35">(AB171/100)</f>
        <v>0.92</v>
      </c>
      <c r="AE171" s="23" t="s">
        <v>2431</v>
      </c>
    </row>
    <row r="172" s="23" customFormat="1" spans="10:35">
      <c r="J172" s="238"/>
      <c r="M172" s="244">
        <v>114</v>
      </c>
      <c r="N172" s="252">
        <v>0</v>
      </c>
      <c r="O172" s="245">
        <v>0</v>
      </c>
      <c r="P172" s="245">
        <v>0</v>
      </c>
      <c r="Q172" s="255">
        <v>0</v>
      </c>
      <c r="R172" s="245">
        <v>10</v>
      </c>
      <c r="S172" s="245">
        <v>0</v>
      </c>
      <c r="T172" s="245">
        <v>0</v>
      </c>
      <c r="U172" s="255">
        <v>0</v>
      </c>
      <c r="V172" s="245">
        <v>0</v>
      </c>
      <c r="W172" s="245">
        <v>0</v>
      </c>
      <c r="X172" s="259">
        <f t="shared" si="26"/>
        <v>1</v>
      </c>
      <c r="Y172" s="271">
        <f t="shared" si="27"/>
        <v>10</v>
      </c>
      <c r="AA172" s="128" t="s">
        <v>2456</v>
      </c>
      <c r="AB172" s="128">
        <f>COUNTIF(N169:W178,10)</f>
        <v>4</v>
      </c>
      <c r="AC172" s="273">
        <f t="shared" si="35"/>
        <v>0.04</v>
      </c>
      <c r="AE172" s="274" t="s">
        <v>2434</v>
      </c>
      <c r="AF172" s="275"/>
      <c r="AG172" s="280" t="s">
        <v>2435</v>
      </c>
      <c r="AH172" s="275" t="s">
        <v>2436</v>
      </c>
      <c r="AI172" s="281"/>
    </row>
    <row r="173" s="23" customFormat="1" spans="10:34">
      <c r="J173" s="238"/>
      <c r="M173" s="246">
        <v>115</v>
      </c>
      <c r="N173" s="248">
        <v>0</v>
      </c>
      <c r="O173" s="248">
        <v>0</v>
      </c>
      <c r="P173" s="247">
        <v>0</v>
      </c>
      <c r="Q173" s="248">
        <v>15</v>
      </c>
      <c r="R173" s="248">
        <v>0</v>
      </c>
      <c r="S173" s="248">
        <v>0</v>
      </c>
      <c r="T173" s="248">
        <v>0</v>
      </c>
      <c r="U173" s="248">
        <v>0</v>
      </c>
      <c r="V173" s="248">
        <v>0</v>
      </c>
      <c r="W173" s="248">
        <v>0</v>
      </c>
      <c r="X173" s="260">
        <f t="shared" si="26"/>
        <v>1.5</v>
      </c>
      <c r="Y173" s="272">
        <f t="shared" si="27"/>
        <v>15</v>
      </c>
      <c r="AA173" s="128" t="s">
        <v>2439</v>
      </c>
      <c r="AB173" s="128">
        <f>COUNTIF(N169:W178,15)</f>
        <v>4</v>
      </c>
      <c r="AC173" s="273">
        <f t="shared" si="35"/>
        <v>0.04</v>
      </c>
      <c r="AE173" s="23" t="s">
        <v>2438</v>
      </c>
      <c r="AG173" s="128">
        <v>5</v>
      </c>
      <c r="AH173" s="282">
        <v>0.02</v>
      </c>
    </row>
    <row r="174" s="23" customFormat="1" spans="10:34">
      <c r="J174" s="238"/>
      <c r="M174" s="244">
        <v>116</v>
      </c>
      <c r="N174" s="245">
        <v>0</v>
      </c>
      <c r="O174" s="245">
        <v>0</v>
      </c>
      <c r="P174" s="245">
        <v>0</v>
      </c>
      <c r="Q174" s="245">
        <v>0</v>
      </c>
      <c r="R174" s="245">
        <v>0</v>
      </c>
      <c r="S174" s="245">
        <v>0</v>
      </c>
      <c r="T174" s="245">
        <v>0</v>
      </c>
      <c r="U174" s="255">
        <v>0</v>
      </c>
      <c r="V174" s="245">
        <v>0</v>
      </c>
      <c r="W174" s="245">
        <v>0</v>
      </c>
      <c r="X174" s="259">
        <f t="shared" si="26"/>
        <v>0</v>
      </c>
      <c r="Y174" s="271">
        <f t="shared" si="27"/>
        <v>0</v>
      </c>
      <c r="AA174" s="128"/>
      <c r="AB174" s="128"/>
      <c r="AC174" s="273"/>
      <c r="AE174" s="23" t="s">
        <v>2440</v>
      </c>
      <c r="AG174" s="128">
        <v>6</v>
      </c>
      <c r="AH174" s="282">
        <f>(AG174/100)</f>
        <v>0.06</v>
      </c>
    </row>
    <row r="175" s="23" customFormat="1" spans="10:34">
      <c r="J175" s="238"/>
      <c r="M175" s="246">
        <v>117</v>
      </c>
      <c r="N175" s="248">
        <v>0</v>
      </c>
      <c r="O175" s="248">
        <v>0</v>
      </c>
      <c r="P175" s="248">
        <v>0</v>
      </c>
      <c r="Q175" s="248">
        <v>0</v>
      </c>
      <c r="R175" s="248">
        <v>0</v>
      </c>
      <c r="S175" s="248">
        <v>0</v>
      </c>
      <c r="T175" s="248">
        <v>0</v>
      </c>
      <c r="U175" s="248">
        <v>0</v>
      </c>
      <c r="V175" s="248">
        <v>0</v>
      </c>
      <c r="W175" s="248">
        <v>0</v>
      </c>
      <c r="X175" s="260">
        <f t="shared" si="26"/>
        <v>0</v>
      </c>
      <c r="Y175" s="272">
        <f t="shared" si="27"/>
        <v>0</v>
      </c>
      <c r="AA175" s="128"/>
      <c r="AB175" s="128"/>
      <c r="AC175" s="273"/>
      <c r="AE175" s="23" t="s">
        <v>2424</v>
      </c>
      <c r="AG175" s="128">
        <v>0</v>
      </c>
      <c r="AH175" s="282">
        <f>(AG175/100)</f>
        <v>0</v>
      </c>
    </row>
    <row r="176" s="23" customFormat="1" spans="10:29">
      <c r="J176" s="238"/>
      <c r="M176" s="244">
        <v>118</v>
      </c>
      <c r="N176" s="245">
        <v>0</v>
      </c>
      <c r="O176" s="252">
        <v>0</v>
      </c>
      <c r="P176" s="245">
        <v>0</v>
      </c>
      <c r="Q176" s="245">
        <v>0</v>
      </c>
      <c r="R176" s="252">
        <v>0</v>
      </c>
      <c r="S176" s="245">
        <v>0</v>
      </c>
      <c r="T176" s="245">
        <v>0</v>
      </c>
      <c r="U176" s="252">
        <v>0</v>
      </c>
      <c r="V176" s="245">
        <v>15</v>
      </c>
      <c r="W176" s="245">
        <v>0</v>
      </c>
      <c r="X176" s="259">
        <f t="shared" si="26"/>
        <v>1.5</v>
      </c>
      <c r="Y176" s="271">
        <f t="shared" si="27"/>
        <v>15</v>
      </c>
      <c r="AA176" s="128"/>
      <c r="AB176" s="128"/>
      <c r="AC176" s="273"/>
    </row>
    <row r="177" s="23" customFormat="1" spans="10:29">
      <c r="J177" s="238"/>
      <c r="M177" s="246">
        <v>119</v>
      </c>
      <c r="N177" s="248">
        <v>0</v>
      </c>
      <c r="O177" s="248">
        <v>0</v>
      </c>
      <c r="P177" s="248">
        <v>0</v>
      </c>
      <c r="Q177" s="248">
        <v>0</v>
      </c>
      <c r="R177" s="248">
        <v>0</v>
      </c>
      <c r="S177" s="256">
        <v>0</v>
      </c>
      <c r="T177" s="248">
        <v>0</v>
      </c>
      <c r="U177" s="248">
        <v>0</v>
      </c>
      <c r="V177" s="248">
        <v>0</v>
      </c>
      <c r="W177" s="248">
        <v>10</v>
      </c>
      <c r="X177" s="260">
        <f t="shared" si="26"/>
        <v>1</v>
      </c>
      <c r="Y177" s="272">
        <f t="shared" si="27"/>
        <v>10</v>
      </c>
      <c r="Z177" s="276">
        <f>AVERAGE(N169:W178)</f>
        <v>1</v>
      </c>
      <c r="AA177" s="277" t="s">
        <v>2444</v>
      </c>
      <c r="AB177" s="263"/>
      <c r="AC177" s="264"/>
    </row>
    <row r="178" s="23" customFormat="1" spans="10:30">
      <c r="J178" s="238"/>
      <c r="M178" s="300">
        <v>120</v>
      </c>
      <c r="N178" s="288">
        <v>0</v>
      </c>
      <c r="O178" s="288">
        <v>0</v>
      </c>
      <c r="P178" s="288">
        <v>0</v>
      </c>
      <c r="Q178" s="288">
        <v>15</v>
      </c>
      <c r="R178" s="288">
        <v>0</v>
      </c>
      <c r="S178" s="288">
        <v>0</v>
      </c>
      <c r="T178" s="288">
        <v>0</v>
      </c>
      <c r="U178" s="288">
        <v>0</v>
      </c>
      <c r="V178" s="288">
        <v>0</v>
      </c>
      <c r="W178" s="288">
        <v>0</v>
      </c>
      <c r="X178" s="261">
        <f t="shared" si="26"/>
        <v>1.5</v>
      </c>
      <c r="Y178" s="294">
        <f t="shared" si="27"/>
        <v>15</v>
      </c>
      <c r="Z178" s="278">
        <f>SUM(Y169:Y178)</f>
        <v>100</v>
      </c>
      <c r="AA178" s="277" t="s">
        <v>2460</v>
      </c>
      <c r="AB178" s="263"/>
      <c r="AC178" s="263"/>
      <c r="AD178" s="264"/>
    </row>
    <row r="179" s="23" customFormat="1" spans="10:33">
      <c r="J179" s="238"/>
      <c r="M179" s="241">
        <v>121</v>
      </c>
      <c r="N179" s="248">
        <v>0</v>
      </c>
      <c r="O179" s="248">
        <v>0</v>
      </c>
      <c r="P179" s="248">
        <v>15</v>
      </c>
      <c r="Q179" s="248">
        <v>0</v>
      </c>
      <c r="R179" s="248">
        <v>0</v>
      </c>
      <c r="S179" s="248">
        <v>0</v>
      </c>
      <c r="T179" s="248">
        <v>0</v>
      </c>
      <c r="U179" s="248">
        <v>0</v>
      </c>
      <c r="V179" s="248">
        <v>0</v>
      </c>
      <c r="W179" s="248">
        <v>0</v>
      </c>
      <c r="X179" s="258">
        <f t="shared" si="26"/>
        <v>1.5</v>
      </c>
      <c r="Y179" s="267">
        <f t="shared" si="27"/>
        <v>15</v>
      </c>
      <c r="AA179" s="268" t="s">
        <v>2424</v>
      </c>
      <c r="AB179" s="268"/>
      <c r="AC179" s="269" t="s">
        <v>2425</v>
      </c>
      <c r="AD179" s="269"/>
      <c r="AE179" s="270" t="s">
        <v>2426</v>
      </c>
      <c r="AF179" s="270"/>
      <c r="AG179" s="23" t="s">
        <v>2427</v>
      </c>
    </row>
    <row r="180" s="23" customFormat="1" spans="10:27">
      <c r="J180" s="238"/>
      <c r="M180" s="244">
        <v>122</v>
      </c>
      <c r="N180" s="245">
        <v>0</v>
      </c>
      <c r="O180" s="245">
        <v>0</v>
      </c>
      <c r="P180" s="245">
        <v>0</v>
      </c>
      <c r="Q180" s="245">
        <v>0</v>
      </c>
      <c r="R180" s="245">
        <v>0</v>
      </c>
      <c r="S180" s="245">
        <v>0</v>
      </c>
      <c r="T180" s="245">
        <v>0</v>
      </c>
      <c r="U180" s="245">
        <v>0</v>
      </c>
      <c r="V180" s="245">
        <v>0</v>
      </c>
      <c r="W180" s="245">
        <v>0</v>
      </c>
      <c r="X180" s="259">
        <f t="shared" si="26"/>
        <v>0</v>
      </c>
      <c r="Y180" s="271">
        <f t="shared" si="27"/>
        <v>0</v>
      </c>
      <c r="AA180" s="23" t="s">
        <v>2429</v>
      </c>
    </row>
    <row r="181" s="23" customFormat="1" spans="10:31">
      <c r="J181" s="238"/>
      <c r="M181" s="246">
        <v>123</v>
      </c>
      <c r="N181" s="248">
        <v>0</v>
      </c>
      <c r="O181" s="248">
        <v>0</v>
      </c>
      <c r="P181" s="256">
        <v>0</v>
      </c>
      <c r="Q181" s="248">
        <v>0</v>
      </c>
      <c r="R181" s="248">
        <v>0</v>
      </c>
      <c r="S181" s="248">
        <v>0</v>
      </c>
      <c r="T181" s="248">
        <v>0</v>
      </c>
      <c r="U181" s="247">
        <v>0</v>
      </c>
      <c r="V181" s="248">
        <v>0</v>
      </c>
      <c r="W181" s="248">
        <v>0</v>
      </c>
      <c r="X181" s="260">
        <f t="shared" si="26"/>
        <v>0</v>
      </c>
      <c r="Y181" s="272">
        <f t="shared" si="27"/>
        <v>0</v>
      </c>
      <c r="AA181" s="128" t="s">
        <v>2430</v>
      </c>
      <c r="AB181" s="128">
        <f>COUNTIF(N179:W188,0)</f>
        <v>93</v>
      </c>
      <c r="AC181" s="273">
        <f t="shared" ref="AC181:AC183" si="36">(AB181/100)</f>
        <v>0.93</v>
      </c>
      <c r="AE181" s="23" t="s">
        <v>2431</v>
      </c>
    </row>
    <row r="182" s="23" customFormat="1" spans="10:35">
      <c r="J182" s="238"/>
      <c r="M182" s="244">
        <v>124</v>
      </c>
      <c r="N182" s="245">
        <v>0</v>
      </c>
      <c r="O182" s="245">
        <v>15</v>
      </c>
      <c r="P182" s="245">
        <v>0</v>
      </c>
      <c r="Q182" s="245">
        <v>0</v>
      </c>
      <c r="R182" s="245">
        <v>0</v>
      </c>
      <c r="S182" s="245">
        <v>0</v>
      </c>
      <c r="T182" s="245">
        <v>0</v>
      </c>
      <c r="U182" s="245">
        <v>0</v>
      </c>
      <c r="V182" s="245">
        <v>0</v>
      </c>
      <c r="W182" s="245">
        <v>0</v>
      </c>
      <c r="X182" s="259">
        <f t="shared" si="26"/>
        <v>1.5</v>
      </c>
      <c r="Y182" s="271">
        <f t="shared" si="27"/>
        <v>15</v>
      </c>
      <c r="AA182" s="128" t="s">
        <v>2456</v>
      </c>
      <c r="AB182" s="128">
        <f>COUNTIF(N179:W188,10)</f>
        <v>4</v>
      </c>
      <c r="AC182" s="273">
        <f t="shared" si="36"/>
        <v>0.04</v>
      </c>
      <c r="AE182" s="274" t="s">
        <v>2434</v>
      </c>
      <c r="AF182" s="275"/>
      <c r="AG182" s="280" t="s">
        <v>2435</v>
      </c>
      <c r="AH182" s="275" t="s">
        <v>2436</v>
      </c>
      <c r="AI182" s="281"/>
    </row>
    <row r="183" s="23" customFormat="1" spans="10:34">
      <c r="J183" s="238"/>
      <c r="M183" s="246">
        <v>125</v>
      </c>
      <c r="N183" s="248">
        <v>0</v>
      </c>
      <c r="O183" s="248">
        <v>0</v>
      </c>
      <c r="P183" s="248">
        <v>10</v>
      </c>
      <c r="Q183" s="256">
        <v>0</v>
      </c>
      <c r="R183" s="248">
        <v>0</v>
      </c>
      <c r="S183" s="248">
        <v>0</v>
      </c>
      <c r="T183" s="256">
        <v>0</v>
      </c>
      <c r="U183" s="248">
        <v>0</v>
      </c>
      <c r="V183" s="248">
        <v>0</v>
      </c>
      <c r="W183" s="248">
        <v>0</v>
      </c>
      <c r="X183" s="260">
        <f t="shared" si="26"/>
        <v>1</v>
      </c>
      <c r="Y183" s="272">
        <f t="shared" si="27"/>
        <v>10</v>
      </c>
      <c r="AA183" s="128" t="s">
        <v>2439</v>
      </c>
      <c r="AB183" s="128">
        <f>COUNTIF(N179:W188,15)</f>
        <v>3</v>
      </c>
      <c r="AC183" s="273">
        <f t="shared" si="36"/>
        <v>0.03</v>
      </c>
      <c r="AE183" s="23" t="s">
        <v>2447</v>
      </c>
      <c r="AG183" s="128">
        <v>6</v>
      </c>
      <c r="AH183" s="282">
        <v>0.02</v>
      </c>
    </row>
    <row r="184" s="23" customFormat="1" spans="10:34">
      <c r="J184" s="238"/>
      <c r="M184" s="244">
        <v>126</v>
      </c>
      <c r="N184" s="245">
        <v>0</v>
      </c>
      <c r="O184" s="245">
        <v>0</v>
      </c>
      <c r="P184" s="245">
        <v>0</v>
      </c>
      <c r="Q184" s="245">
        <v>0</v>
      </c>
      <c r="R184" s="245">
        <v>0</v>
      </c>
      <c r="S184" s="245">
        <v>0</v>
      </c>
      <c r="T184" s="245">
        <v>0</v>
      </c>
      <c r="U184" s="245">
        <v>0</v>
      </c>
      <c r="V184" s="252">
        <v>0</v>
      </c>
      <c r="W184" s="245">
        <v>0</v>
      </c>
      <c r="X184" s="259">
        <f t="shared" si="26"/>
        <v>0</v>
      </c>
      <c r="Y184" s="271">
        <f t="shared" si="27"/>
        <v>0</v>
      </c>
      <c r="AA184" s="128"/>
      <c r="AB184" s="128"/>
      <c r="AC184" s="273"/>
      <c r="AE184" s="23" t="s">
        <v>2440</v>
      </c>
      <c r="AG184" s="128">
        <v>6</v>
      </c>
      <c r="AH184" s="282">
        <f>(AG184/100)</f>
        <v>0.06</v>
      </c>
    </row>
    <row r="185" s="23" customFormat="1" spans="10:34">
      <c r="J185" s="238"/>
      <c r="M185" s="246">
        <v>127</v>
      </c>
      <c r="N185" s="248">
        <v>0</v>
      </c>
      <c r="O185" s="256">
        <v>0</v>
      </c>
      <c r="P185" s="248">
        <v>0</v>
      </c>
      <c r="Q185" s="248">
        <v>0</v>
      </c>
      <c r="R185" s="248">
        <v>0</v>
      </c>
      <c r="S185" s="248">
        <v>0</v>
      </c>
      <c r="T185" s="248">
        <v>0</v>
      </c>
      <c r="U185" s="248">
        <v>10</v>
      </c>
      <c r="V185" s="248">
        <v>0</v>
      </c>
      <c r="W185" s="256">
        <v>0</v>
      </c>
      <c r="X185" s="260">
        <f t="shared" si="26"/>
        <v>1</v>
      </c>
      <c r="Y185" s="272">
        <f t="shared" si="27"/>
        <v>10</v>
      </c>
      <c r="AA185" s="128"/>
      <c r="AB185" s="128"/>
      <c r="AC185" s="273"/>
      <c r="AE185" s="23" t="s">
        <v>2442</v>
      </c>
      <c r="AG185" s="128">
        <v>0</v>
      </c>
      <c r="AH185" s="282">
        <f>(AG185/100)</f>
        <v>0</v>
      </c>
    </row>
    <row r="186" s="23" customFormat="1" spans="10:29">
      <c r="J186" s="238"/>
      <c r="M186" s="244">
        <v>128</v>
      </c>
      <c r="N186" s="245">
        <v>0</v>
      </c>
      <c r="O186" s="245">
        <v>0</v>
      </c>
      <c r="P186" s="245">
        <v>0</v>
      </c>
      <c r="Q186" s="245">
        <v>0</v>
      </c>
      <c r="R186" s="245">
        <v>0</v>
      </c>
      <c r="S186" s="255">
        <v>0</v>
      </c>
      <c r="T186" s="245">
        <v>0</v>
      </c>
      <c r="U186" s="245">
        <v>0</v>
      </c>
      <c r="V186" s="245">
        <v>0</v>
      </c>
      <c r="W186" s="245">
        <v>10</v>
      </c>
      <c r="X186" s="259">
        <f t="shared" si="26"/>
        <v>1</v>
      </c>
      <c r="Y186" s="271">
        <f t="shared" si="27"/>
        <v>10</v>
      </c>
      <c r="AA186" s="128"/>
      <c r="AB186" s="128"/>
      <c r="AC186" s="273"/>
    </row>
    <row r="187" s="23" customFormat="1" spans="10:29">
      <c r="J187" s="238"/>
      <c r="M187" s="246">
        <v>129</v>
      </c>
      <c r="N187" s="248">
        <v>0</v>
      </c>
      <c r="O187" s="248">
        <v>0</v>
      </c>
      <c r="P187" s="248">
        <v>0</v>
      </c>
      <c r="Q187" s="247">
        <v>0</v>
      </c>
      <c r="R187" s="248">
        <v>0</v>
      </c>
      <c r="S187" s="248">
        <v>15</v>
      </c>
      <c r="T187" s="248">
        <v>0</v>
      </c>
      <c r="U187" s="248">
        <v>0</v>
      </c>
      <c r="V187" s="247">
        <v>0</v>
      </c>
      <c r="W187" s="248">
        <v>0</v>
      </c>
      <c r="X187" s="260">
        <f t="shared" ref="X187:X216" si="37">AVERAGE(N187:W187)</f>
        <v>1.5</v>
      </c>
      <c r="Y187" s="272">
        <f t="shared" ref="Y187:Y250" si="38">SUM(N187:W187)</f>
        <v>15</v>
      </c>
      <c r="Z187" s="276">
        <f>AVERAGE(N179:W188)</f>
        <v>0.85</v>
      </c>
      <c r="AA187" s="277" t="s">
        <v>2448</v>
      </c>
      <c r="AB187" s="263"/>
      <c r="AC187" s="264"/>
    </row>
    <row r="188" s="23" customFormat="1" spans="10:30">
      <c r="J188" s="238"/>
      <c r="M188" s="300">
        <v>130</v>
      </c>
      <c r="N188" s="288">
        <v>0</v>
      </c>
      <c r="O188" s="292">
        <v>0</v>
      </c>
      <c r="P188" s="288">
        <v>0</v>
      </c>
      <c r="Q188" s="288">
        <v>0</v>
      </c>
      <c r="R188" s="288">
        <v>10</v>
      </c>
      <c r="S188" s="288">
        <v>0</v>
      </c>
      <c r="T188" s="292">
        <v>0</v>
      </c>
      <c r="U188" s="288">
        <v>0</v>
      </c>
      <c r="V188" s="288">
        <v>0</v>
      </c>
      <c r="W188" s="288">
        <v>0</v>
      </c>
      <c r="X188" s="261">
        <f t="shared" si="37"/>
        <v>1</v>
      </c>
      <c r="Y188" s="294">
        <f t="shared" si="38"/>
        <v>10</v>
      </c>
      <c r="Z188" s="278">
        <f>SUM(Y179:Y188)</f>
        <v>85</v>
      </c>
      <c r="AA188" s="277" t="s">
        <v>2516</v>
      </c>
      <c r="AB188" s="263"/>
      <c r="AC188" s="263"/>
      <c r="AD188" s="264"/>
    </row>
    <row r="189" s="23" customFormat="1" spans="10:33">
      <c r="J189" s="238"/>
      <c r="M189" s="241">
        <v>131</v>
      </c>
      <c r="N189" s="248">
        <v>0</v>
      </c>
      <c r="O189" s="248">
        <v>10</v>
      </c>
      <c r="P189" s="247">
        <v>0</v>
      </c>
      <c r="Q189" s="248">
        <v>0</v>
      </c>
      <c r="R189" s="248">
        <v>10</v>
      </c>
      <c r="S189" s="248">
        <v>0</v>
      </c>
      <c r="T189" s="247">
        <v>0</v>
      </c>
      <c r="U189" s="248">
        <v>0</v>
      </c>
      <c r="V189" s="248">
        <v>0</v>
      </c>
      <c r="W189" s="248">
        <v>0</v>
      </c>
      <c r="X189" s="258">
        <f t="shared" si="37"/>
        <v>2</v>
      </c>
      <c r="Y189" s="267">
        <f t="shared" si="38"/>
        <v>20</v>
      </c>
      <c r="AA189" s="268" t="s">
        <v>2442</v>
      </c>
      <c r="AB189" s="268"/>
      <c r="AC189" s="269" t="s">
        <v>2425</v>
      </c>
      <c r="AD189" s="269"/>
      <c r="AE189" s="270" t="s">
        <v>2426</v>
      </c>
      <c r="AF189" s="270"/>
      <c r="AG189" s="23" t="s">
        <v>2427</v>
      </c>
    </row>
    <row r="190" s="23" customFormat="1" spans="10:27">
      <c r="J190" s="238"/>
      <c r="M190" s="244">
        <v>132</v>
      </c>
      <c r="N190" s="255">
        <v>0</v>
      </c>
      <c r="O190" s="245">
        <v>0</v>
      </c>
      <c r="P190" s="245">
        <v>0</v>
      </c>
      <c r="Q190" s="245">
        <v>0</v>
      </c>
      <c r="R190" s="255">
        <v>0</v>
      </c>
      <c r="S190" s="245">
        <v>0</v>
      </c>
      <c r="T190" s="245">
        <v>0</v>
      </c>
      <c r="U190" s="245">
        <v>0</v>
      </c>
      <c r="V190" s="245">
        <v>0</v>
      </c>
      <c r="W190" s="245">
        <v>0</v>
      </c>
      <c r="X190" s="259">
        <f t="shared" si="37"/>
        <v>0</v>
      </c>
      <c r="Y190" s="271">
        <f t="shared" si="38"/>
        <v>0</v>
      </c>
      <c r="AA190" s="23" t="s">
        <v>2429</v>
      </c>
    </row>
    <row r="191" s="23" customFormat="1" spans="10:31">
      <c r="J191" s="238"/>
      <c r="M191" s="246">
        <v>133</v>
      </c>
      <c r="N191" s="247">
        <v>0</v>
      </c>
      <c r="O191" s="256">
        <v>0</v>
      </c>
      <c r="P191" s="248">
        <v>0</v>
      </c>
      <c r="Q191" s="248">
        <v>0</v>
      </c>
      <c r="R191" s="248">
        <v>0</v>
      </c>
      <c r="S191" s="248">
        <v>0</v>
      </c>
      <c r="T191" s="248">
        <v>0</v>
      </c>
      <c r="U191" s="248">
        <v>0</v>
      </c>
      <c r="V191" s="248">
        <v>0</v>
      </c>
      <c r="W191" s="247">
        <v>0</v>
      </c>
      <c r="X191" s="260">
        <f t="shared" si="37"/>
        <v>0</v>
      </c>
      <c r="Y191" s="272">
        <f t="shared" si="38"/>
        <v>0</v>
      </c>
      <c r="AA191" s="128" t="s">
        <v>2430</v>
      </c>
      <c r="AB191" s="128">
        <f>COUNTIF(N189:W198,0)</f>
        <v>91</v>
      </c>
      <c r="AC191" s="273">
        <f t="shared" ref="AC191:AC193" si="39">(AB191/100)</f>
        <v>0.91</v>
      </c>
      <c r="AE191" s="23" t="s">
        <v>2431</v>
      </c>
    </row>
    <row r="192" s="23" customFormat="1" spans="10:35">
      <c r="J192" s="238"/>
      <c r="M192" s="244">
        <v>134</v>
      </c>
      <c r="N192" s="255">
        <v>0</v>
      </c>
      <c r="O192" s="252">
        <v>0</v>
      </c>
      <c r="P192" s="245">
        <v>0</v>
      </c>
      <c r="Q192" s="245">
        <v>0</v>
      </c>
      <c r="R192" s="245">
        <v>0</v>
      </c>
      <c r="S192" s="245">
        <v>0</v>
      </c>
      <c r="T192" s="245">
        <v>0</v>
      </c>
      <c r="U192" s="245">
        <v>10</v>
      </c>
      <c r="V192" s="245">
        <v>0</v>
      </c>
      <c r="W192" s="245">
        <v>0</v>
      </c>
      <c r="X192" s="259">
        <f t="shared" si="37"/>
        <v>1</v>
      </c>
      <c r="Y192" s="271">
        <f t="shared" si="38"/>
        <v>10</v>
      </c>
      <c r="AA192" s="128" t="s">
        <v>2456</v>
      </c>
      <c r="AB192" s="128">
        <f>COUNTIF(N189:W198,10)</f>
        <v>6</v>
      </c>
      <c r="AC192" s="273">
        <f t="shared" si="39"/>
        <v>0.06</v>
      </c>
      <c r="AE192" s="274" t="s">
        <v>2434</v>
      </c>
      <c r="AF192" s="275"/>
      <c r="AG192" s="280" t="s">
        <v>2435</v>
      </c>
      <c r="AH192" s="275" t="s">
        <v>2436</v>
      </c>
      <c r="AI192" s="281"/>
    </row>
    <row r="193" s="23" customFormat="1" spans="10:34">
      <c r="J193" s="238"/>
      <c r="M193" s="246">
        <v>135</v>
      </c>
      <c r="N193" s="248">
        <v>0</v>
      </c>
      <c r="O193" s="248">
        <v>10</v>
      </c>
      <c r="P193" s="248">
        <v>15</v>
      </c>
      <c r="Q193" s="248">
        <v>0</v>
      </c>
      <c r="R193" s="248">
        <v>0</v>
      </c>
      <c r="S193" s="248">
        <v>0</v>
      </c>
      <c r="T193" s="248">
        <v>0</v>
      </c>
      <c r="U193" s="248">
        <v>0</v>
      </c>
      <c r="V193" s="248">
        <v>0</v>
      </c>
      <c r="W193" s="248">
        <v>0</v>
      </c>
      <c r="X193" s="260">
        <f t="shared" si="37"/>
        <v>2.5</v>
      </c>
      <c r="Y193" s="272">
        <f t="shared" si="38"/>
        <v>25</v>
      </c>
      <c r="AA193" s="128" t="s">
        <v>2439</v>
      </c>
      <c r="AB193" s="128">
        <f>COUNTIF(N189:W198,15)</f>
        <v>3</v>
      </c>
      <c r="AC193" s="273">
        <f t="shared" si="39"/>
        <v>0.03</v>
      </c>
      <c r="AE193" s="23" t="s">
        <v>2438</v>
      </c>
      <c r="AG193" s="128">
        <v>5</v>
      </c>
      <c r="AH193" s="282">
        <v>0.02</v>
      </c>
    </row>
    <row r="194" s="23" customFormat="1" spans="10:34">
      <c r="J194" s="238"/>
      <c r="M194" s="244">
        <v>136</v>
      </c>
      <c r="N194" s="245">
        <v>0</v>
      </c>
      <c r="O194" s="245">
        <v>0</v>
      </c>
      <c r="P194" s="245">
        <v>0</v>
      </c>
      <c r="Q194" s="245">
        <v>0</v>
      </c>
      <c r="R194" s="245">
        <v>0</v>
      </c>
      <c r="S194" s="245">
        <v>0</v>
      </c>
      <c r="T194" s="252">
        <v>0</v>
      </c>
      <c r="U194" s="245">
        <v>0</v>
      </c>
      <c r="V194" s="245">
        <v>0</v>
      </c>
      <c r="W194" s="245">
        <v>0</v>
      </c>
      <c r="X194" s="259">
        <f t="shared" si="37"/>
        <v>0</v>
      </c>
      <c r="Y194" s="271">
        <f t="shared" si="38"/>
        <v>0</v>
      </c>
      <c r="AA194" s="128"/>
      <c r="AB194" s="128"/>
      <c r="AC194" s="273"/>
      <c r="AE194" s="23" t="s">
        <v>2440</v>
      </c>
      <c r="AG194" s="128">
        <v>13</v>
      </c>
      <c r="AH194" s="282">
        <f>(AG194/100)</f>
        <v>0.13</v>
      </c>
    </row>
    <row r="195" s="23" customFormat="1" spans="10:34">
      <c r="J195" s="238"/>
      <c r="M195" s="246">
        <v>137</v>
      </c>
      <c r="N195" s="247">
        <v>0</v>
      </c>
      <c r="O195" s="248">
        <v>0</v>
      </c>
      <c r="P195" s="248">
        <v>0</v>
      </c>
      <c r="Q195" s="247">
        <v>0</v>
      </c>
      <c r="R195" s="248">
        <v>0</v>
      </c>
      <c r="S195" s="248">
        <v>15</v>
      </c>
      <c r="T195" s="248">
        <v>0</v>
      </c>
      <c r="U195" s="248">
        <v>0</v>
      </c>
      <c r="V195" s="248">
        <v>0</v>
      </c>
      <c r="W195" s="248">
        <v>0</v>
      </c>
      <c r="X195" s="260">
        <f t="shared" si="37"/>
        <v>1.5</v>
      </c>
      <c r="Y195" s="272">
        <f t="shared" si="38"/>
        <v>15</v>
      </c>
      <c r="AA195" s="128"/>
      <c r="AB195" s="128"/>
      <c r="AC195" s="273"/>
      <c r="AE195" s="23" t="s">
        <v>2454</v>
      </c>
      <c r="AG195" s="128">
        <v>0</v>
      </c>
      <c r="AH195" s="282">
        <f>(AG195/100)</f>
        <v>0</v>
      </c>
    </row>
    <row r="196" s="23" customFormat="1" spans="10:29">
      <c r="J196" s="238"/>
      <c r="M196" s="244">
        <v>138</v>
      </c>
      <c r="N196" s="245">
        <v>0</v>
      </c>
      <c r="O196" s="245">
        <v>10</v>
      </c>
      <c r="P196" s="245">
        <v>0</v>
      </c>
      <c r="Q196" s="245">
        <v>0</v>
      </c>
      <c r="R196" s="245">
        <v>0</v>
      </c>
      <c r="S196" s="245">
        <v>10</v>
      </c>
      <c r="T196" s="245">
        <v>0</v>
      </c>
      <c r="U196" s="245">
        <v>0</v>
      </c>
      <c r="V196" s="252">
        <v>0</v>
      </c>
      <c r="W196" s="245">
        <v>15</v>
      </c>
      <c r="X196" s="259">
        <f t="shared" si="37"/>
        <v>3.5</v>
      </c>
      <c r="Y196" s="271">
        <f t="shared" si="38"/>
        <v>35</v>
      </c>
      <c r="AA196" s="128"/>
      <c r="AB196" s="128"/>
      <c r="AC196" s="273"/>
    </row>
    <row r="197" s="23" customFormat="1" spans="10:29">
      <c r="J197" s="238"/>
      <c r="M197" s="246">
        <v>139</v>
      </c>
      <c r="N197" s="248">
        <v>0</v>
      </c>
      <c r="O197" s="248">
        <v>0</v>
      </c>
      <c r="P197" s="248">
        <v>0</v>
      </c>
      <c r="Q197" s="248">
        <v>0</v>
      </c>
      <c r="R197" s="248">
        <v>0</v>
      </c>
      <c r="S197" s="248">
        <v>0</v>
      </c>
      <c r="T197" s="248">
        <v>0</v>
      </c>
      <c r="U197" s="247">
        <v>0</v>
      </c>
      <c r="V197" s="248">
        <v>0</v>
      </c>
      <c r="W197" s="248">
        <v>0</v>
      </c>
      <c r="X197" s="260">
        <f t="shared" si="37"/>
        <v>0</v>
      </c>
      <c r="Y197" s="272">
        <f t="shared" si="38"/>
        <v>0</v>
      </c>
      <c r="Z197" s="276">
        <f>AVERAGE(N189:W198)</f>
        <v>1.05</v>
      </c>
      <c r="AA197" s="277" t="s">
        <v>2444</v>
      </c>
      <c r="AB197" s="263"/>
      <c r="AC197" s="264"/>
    </row>
    <row r="198" s="23" customFormat="1" spans="10:30">
      <c r="J198" s="238"/>
      <c r="M198" s="300">
        <v>140</v>
      </c>
      <c r="N198" s="292">
        <v>0</v>
      </c>
      <c r="O198" s="288">
        <v>0</v>
      </c>
      <c r="P198" s="292">
        <v>0</v>
      </c>
      <c r="Q198" s="288">
        <v>0</v>
      </c>
      <c r="R198" s="288">
        <v>0</v>
      </c>
      <c r="S198" s="314">
        <v>0</v>
      </c>
      <c r="T198" s="288">
        <v>0</v>
      </c>
      <c r="U198" s="288">
        <v>0</v>
      </c>
      <c r="V198" s="292">
        <v>0</v>
      </c>
      <c r="W198" s="288">
        <v>0</v>
      </c>
      <c r="X198" s="261">
        <f t="shared" si="37"/>
        <v>0</v>
      </c>
      <c r="Y198" s="294">
        <f t="shared" si="38"/>
        <v>0</v>
      </c>
      <c r="Z198" s="278">
        <f>SUM(Y189:Y198)</f>
        <v>105</v>
      </c>
      <c r="AA198" s="277" t="s">
        <v>2516</v>
      </c>
      <c r="AB198" s="263"/>
      <c r="AC198" s="263"/>
      <c r="AD198" s="264"/>
    </row>
    <row r="199" s="23" customFormat="1" spans="10:33">
      <c r="J199" s="238"/>
      <c r="M199" s="241">
        <v>141</v>
      </c>
      <c r="N199" s="248">
        <v>0</v>
      </c>
      <c r="O199" s="248">
        <v>0</v>
      </c>
      <c r="P199" s="247">
        <v>0</v>
      </c>
      <c r="Q199" s="248">
        <v>0</v>
      </c>
      <c r="R199" s="248">
        <v>15</v>
      </c>
      <c r="S199" s="247">
        <v>0</v>
      </c>
      <c r="T199" s="248">
        <v>10</v>
      </c>
      <c r="U199" s="248">
        <v>0</v>
      </c>
      <c r="V199" s="248">
        <v>0</v>
      </c>
      <c r="W199" s="248">
        <v>0</v>
      </c>
      <c r="X199" s="258">
        <f t="shared" si="37"/>
        <v>2.5</v>
      </c>
      <c r="Y199" s="267">
        <f t="shared" si="38"/>
        <v>25</v>
      </c>
      <c r="AA199" s="268" t="s">
        <v>2454</v>
      </c>
      <c r="AB199" s="268"/>
      <c r="AC199" s="269" t="s">
        <v>2558</v>
      </c>
      <c r="AD199" s="269"/>
      <c r="AE199" s="270" t="s">
        <v>2506</v>
      </c>
      <c r="AF199" s="270"/>
      <c r="AG199" s="23" t="s">
        <v>2427</v>
      </c>
    </row>
    <row r="200" s="23" customFormat="1" spans="10:27">
      <c r="J200" s="238"/>
      <c r="M200" s="244">
        <v>142</v>
      </c>
      <c r="N200" s="245">
        <v>0</v>
      </c>
      <c r="O200" s="245">
        <v>0</v>
      </c>
      <c r="P200" s="245">
        <v>0</v>
      </c>
      <c r="Q200" s="245">
        <v>0</v>
      </c>
      <c r="R200" s="245">
        <v>0</v>
      </c>
      <c r="S200" s="245">
        <v>0</v>
      </c>
      <c r="T200" s="245">
        <v>0</v>
      </c>
      <c r="U200" s="252">
        <v>0</v>
      </c>
      <c r="V200" s="245">
        <v>0</v>
      </c>
      <c r="W200" s="245">
        <v>0</v>
      </c>
      <c r="X200" s="259">
        <f t="shared" si="37"/>
        <v>0</v>
      </c>
      <c r="Y200" s="271">
        <f t="shared" si="38"/>
        <v>0</v>
      </c>
      <c r="AA200" s="23" t="s">
        <v>2429</v>
      </c>
    </row>
    <row r="201" s="23" customFormat="1" spans="10:31">
      <c r="J201" s="238"/>
      <c r="M201" s="246">
        <v>143</v>
      </c>
      <c r="N201" s="256">
        <v>0</v>
      </c>
      <c r="O201" s="248">
        <v>0</v>
      </c>
      <c r="P201" s="248">
        <v>0</v>
      </c>
      <c r="Q201" s="248">
        <v>0</v>
      </c>
      <c r="R201" s="256">
        <v>0</v>
      </c>
      <c r="S201" s="248">
        <v>0</v>
      </c>
      <c r="T201" s="248">
        <v>0</v>
      </c>
      <c r="U201" s="248">
        <v>0</v>
      </c>
      <c r="V201" s="248">
        <v>0</v>
      </c>
      <c r="W201" s="248">
        <v>0</v>
      </c>
      <c r="X201" s="260">
        <f t="shared" si="37"/>
        <v>0</v>
      </c>
      <c r="Y201" s="272">
        <f t="shared" si="38"/>
        <v>0</v>
      </c>
      <c r="AA201" s="128" t="s">
        <v>2430</v>
      </c>
      <c r="AB201" s="128">
        <f>COUNTIF(N199:W208,0)</f>
        <v>94</v>
      </c>
      <c r="AC201" s="273">
        <f t="shared" ref="AC201:AC203" si="40">(AB201/100)</f>
        <v>0.94</v>
      </c>
      <c r="AE201" s="23" t="s">
        <v>2431</v>
      </c>
    </row>
    <row r="202" s="23" customFormat="1" spans="10:35">
      <c r="J202" s="238"/>
      <c r="M202" s="244">
        <v>144</v>
      </c>
      <c r="N202" s="245">
        <v>0</v>
      </c>
      <c r="O202" s="245">
        <v>0</v>
      </c>
      <c r="P202" s="245">
        <v>0</v>
      </c>
      <c r="Q202" s="245">
        <v>15</v>
      </c>
      <c r="R202" s="245">
        <v>0</v>
      </c>
      <c r="S202" s="245">
        <v>0</v>
      </c>
      <c r="T202" s="245">
        <v>0</v>
      </c>
      <c r="U202" s="245">
        <v>0</v>
      </c>
      <c r="V202" s="245">
        <v>0</v>
      </c>
      <c r="W202" s="245">
        <v>10</v>
      </c>
      <c r="X202" s="259">
        <f t="shared" si="37"/>
        <v>2.5</v>
      </c>
      <c r="Y202" s="271">
        <f t="shared" si="38"/>
        <v>25</v>
      </c>
      <c r="AA202" s="128" t="s">
        <v>2456</v>
      </c>
      <c r="AB202" s="128">
        <f>COUNTIF(N199:W208,10)</f>
        <v>2</v>
      </c>
      <c r="AC202" s="273">
        <f t="shared" si="40"/>
        <v>0.02</v>
      </c>
      <c r="AE202" s="274" t="s">
        <v>2434</v>
      </c>
      <c r="AF202" s="275"/>
      <c r="AG202" s="280" t="s">
        <v>2435</v>
      </c>
      <c r="AH202" s="275" t="s">
        <v>2436</v>
      </c>
      <c r="AI202" s="281"/>
    </row>
    <row r="203" s="23" customFormat="1" spans="10:34">
      <c r="J203" s="238"/>
      <c r="M203" s="246">
        <v>145</v>
      </c>
      <c r="N203" s="248">
        <v>0</v>
      </c>
      <c r="O203" s="248">
        <v>0</v>
      </c>
      <c r="P203" s="248">
        <v>0</v>
      </c>
      <c r="Q203" s="247">
        <v>0</v>
      </c>
      <c r="R203" s="248">
        <v>0</v>
      </c>
      <c r="S203" s="248">
        <v>0</v>
      </c>
      <c r="T203" s="248">
        <v>0</v>
      </c>
      <c r="U203" s="248">
        <v>0</v>
      </c>
      <c r="V203" s="248">
        <v>0</v>
      </c>
      <c r="W203" s="248">
        <v>0</v>
      </c>
      <c r="X203" s="260">
        <f t="shared" si="37"/>
        <v>0</v>
      </c>
      <c r="Y203" s="272">
        <f t="shared" si="38"/>
        <v>0</v>
      </c>
      <c r="AA203" s="128" t="s">
        <v>2439</v>
      </c>
      <c r="AB203" s="128">
        <f>COUNTIF(N199:W208,15)</f>
        <v>4</v>
      </c>
      <c r="AC203" s="273">
        <f t="shared" si="40"/>
        <v>0.04</v>
      </c>
      <c r="AE203" s="23" t="s">
        <v>2509</v>
      </c>
      <c r="AG203" s="128">
        <v>5</v>
      </c>
      <c r="AH203" s="282">
        <v>0.02</v>
      </c>
    </row>
    <row r="204" s="23" customFormat="1" spans="10:34">
      <c r="J204" s="238"/>
      <c r="M204" s="244">
        <v>146</v>
      </c>
      <c r="N204" s="245">
        <v>0</v>
      </c>
      <c r="O204" s="252">
        <v>0</v>
      </c>
      <c r="P204" s="245">
        <v>0</v>
      </c>
      <c r="Q204" s="245">
        <v>0</v>
      </c>
      <c r="R204" s="245">
        <v>0</v>
      </c>
      <c r="S204" s="245">
        <v>0</v>
      </c>
      <c r="T204" s="245">
        <v>15</v>
      </c>
      <c r="U204" s="245">
        <v>0</v>
      </c>
      <c r="V204" s="245">
        <v>0</v>
      </c>
      <c r="W204" s="245">
        <v>0</v>
      </c>
      <c r="X204" s="259">
        <f t="shared" si="37"/>
        <v>1.5</v>
      </c>
      <c r="Y204" s="271">
        <f t="shared" si="38"/>
        <v>15</v>
      </c>
      <c r="AA204" s="128"/>
      <c r="AB204" s="128"/>
      <c r="AC204" s="273"/>
      <c r="AE204" s="23" t="s">
        <v>2440</v>
      </c>
      <c r="AG204" s="128">
        <v>6</v>
      </c>
      <c r="AH204" s="282">
        <f>(AG204/100)</f>
        <v>0.06</v>
      </c>
    </row>
    <row r="205" s="23" customFormat="1" spans="10:34">
      <c r="J205" s="238"/>
      <c r="M205" s="246">
        <v>147</v>
      </c>
      <c r="N205" s="248">
        <v>0</v>
      </c>
      <c r="O205" s="248">
        <v>0</v>
      </c>
      <c r="P205" s="247">
        <v>0</v>
      </c>
      <c r="Q205" s="248">
        <v>0</v>
      </c>
      <c r="R205" s="248">
        <v>0</v>
      </c>
      <c r="S205" s="248">
        <v>0</v>
      </c>
      <c r="T205" s="256">
        <v>0</v>
      </c>
      <c r="U205" s="248">
        <v>0</v>
      </c>
      <c r="V205" s="247">
        <v>0</v>
      </c>
      <c r="W205" s="248">
        <v>0</v>
      </c>
      <c r="X205" s="260">
        <f t="shared" si="37"/>
        <v>0</v>
      </c>
      <c r="Y205" s="272">
        <f t="shared" si="38"/>
        <v>0</v>
      </c>
      <c r="AA205" s="128"/>
      <c r="AB205" s="128"/>
      <c r="AC205" s="273"/>
      <c r="AE205" s="23" t="s">
        <v>2454</v>
      </c>
      <c r="AG205" s="128">
        <v>0</v>
      </c>
      <c r="AH205" s="282">
        <f>(AG205/100)</f>
        <v>0</v>
      </c>
    </row>
    <row r="206" s="23" customFormat="1" spans="10:29">
      <c r="J206" s="238"/>
      <c r="M206" s="244">
        <v>148</v>
      </c>
      <c r="N206" s="245">
        <v>0</v>
      </c>
      <c r="O206" s="245">
        <v>0</v>
      </c>
      <c r="P206" s="245">
        <v>0</v>
      </c>
      <c r="Q206" s="255">
        <v>0</v>
      </c>
      <c r="R206" s="245">
        <v>0</v>
      </c>
      <c r="S206" s="245">
        <v>0</v>
      </c>
      <c r="T206" s="245">
        <v>0</v>
      </c>
      <c r="U206" s="245">
        <v>0</v>
      </c>
      <c r="V206" s="245">
        <v>15</v>
      </c>
      <c r="W206" s="245">
        <v>0</v>
      </c>
      <c r="X206" s="259">
        <f t="shared" si="37"/>
        <v>1.5</v>
      </c>
      <c r="Y206" s="271">
        <f t="shared" si="38"/>
        <v>15</v>
      </c>
      <c r="AA206" s="128" t="s">
        <v>2458</v>
      </c>
      <c r="AB206" s="128">
        <f>COUNTBLANK(N199:W208)</f>
        <v>0</v>
      </c>
      <c r="AC206" s="273">
        <f>(AB206/100)</f>
        <v>0</v>
      </c>
    </row>
    <row r="207" s="23" customFormat="1" spans="10:29">
      <c r="J207" s="238"/>
      <c r="M207" s="246">
        <v>149</v>
      </c>
      <c r="N207" s="248">
        <v>0</v>
      </c>
      <c r="O207" s="248">
        <v>0</v>
      </c>
      <c r="P207" s="248">
        <v>0</v>
      </c>
      <c r="Q207" s="248">
        <v>0</v>
      </c>
      <c r="R207" s="248">
        <v>0</v>
      </c>
      <c r="S207" s="248">
        <v>0</v>
      </c>
      <c r="T207" s="248">
        <v>0</v>
      </c>
      <c r="U207" s="248">
        <v>0</v>
      </c>
      <c r="V207" s="248">
        <v>0</v>
      </c>
      <c r="W207" s="248">
        <v>0</v>
      </c>
      <c r="X207" s="260">
        <f t="shared" si="37"/>
        <v>0</v>
      </c>
      <c r="Y207" s="272">
        <f t="shared" si="38"/>
        <v>0</v>
      </c>
      <c r="Z207" s="276">
        <f>AVERAGE(N199:W208)</f>
        <v>0.8</v>
      </c>
      <c r="AA207" s="277" t="s">
        <v>2448</v>
      </c>
      <c r="AB207" s="263"/>
      <c r="AC207" s="264"/>
    </row>
    <row r="208" s="23" customFormat="1" ht="15" customHeight="1" spans="10:30">
      <c r="J208" s="238"/>
      <c r="M208" s="283">
        <v>150</v>
      </c>
      <c r="N208" s="286">
        <v>0</v>
      </c>
      <c r="O208" s="286">
        <v>0</v>
      </c>
      <c r="P208" s="286">
        <v>0</v>
      </c>
      <c r="Q208" s="286">
        <v>0</v>
      </c>
      <c r="R208" s="286">
        <v>0</v>
      </c>
      <c r="S208" s="286">
        <v>0</v>
      </c>
      <c r="T208" s="286">
        <v>0</v>
      </c>
      <c r="U208" s="286">
        <v>0</v>
      </c>
      <c r="V208" s="286">
        <v>0</v>
      </c>
      <c r="W208" s="286">
        <v>0</v>
      </c>
      <c r="X208" s="291">
        <f t="shared" si="37"/>
        <v>0</v>
      </c>
      <c r="Y208" s="295">
        <f t="shared" si="38"/>
        <v>0</v>
      </c>
      <c r="Z208" s="278">
        <f>SUM(Y199:Y208)</f>
        <v>80</v>
      </c>
      <c r="AA208" s="277" t="s">
        <v>2460</v>
      </c>
      <c r="AB208" s="263"/>
      <c r="AC208" s="263"/>
      <c r="AD208" s="264"/>
    </row>
    <row r="209" s="23" customFormat="1" spans="10:33">
      <c r="J209" s="238"/>
      <c r="M209" s="246">
        <v>151</v>
      </c>
      <c r="N209" s="248">
        <v>0</v>
      </c>
      <c r="O209" s="248">
        <v>0</v>
      </c>
      <c r="P209" s="248">
        <v>0</v>
      </c>
      <c r="Q209" s="248">
        <v>0</v>
      </c>
      <c r="R209" s="248">
        <v>0</v>
      </c>
      <c r="S209" s="248">
        <v>0</v>
      </c>
      <c r="T209" s="248">
        <v>0</v>
      </c>
      <c r="U209" s="248">
        <v>0</v>
      </c>
      <c r="V209" s="247">
        <v>0</v>
      </c>
      <c r="W209" s="248">
        <v>0</v>
      </c>
      <c r="X209" s="260">
        <f t="shared" si="37"/>
        <v>0</v>
      </c>
      <c r="Y209" s="272">
        <f t="shared" si="38"/>
        <v>0</v>
      </c>
      <c r="AA209" s="268" t="s">
        <v>2454</v>
      </c>
      <c r="AB209" s="268"/>
      <c r="AC209" s="269" t="s">
        <v>2425</v>
      </c>
      <c r="AD209" s="269"/>
      <c r="AE209" s="270" t="s">
        <v>2426</v>
      </c>
      <c r="AF209" s="270"/>
      <c r="AG209" s="23" t="s">
        <v>2427</v>
      </c>
    </row>
    <row r="210" s="23" customFormat="1" spans="10:27">
      <c r="J210" s="238"/>
      <c r="M210" s="244">
        <v>152</v>
      </c>
      <c r="N210" s="245">
        <v>10</v>
      </c>
      <c r="O210" s="245">
        <v>0</v>
      </c>
      <c r="P210" s="245">
        <v>0</v>
      </c>
      <c r="Q210" s="245">
        <v>0</v>
      </c>
      <c r="R210" s="245">
        <v>0</v>
      </c>
      <c r="S210" s="255">
        <v>0</v>
      </c>
      <c r="T210" s="245">
        <v>0</v>
      </c>
      <c r="U210" s="245">
        <v>0</v>
      </c>
      <c r="V210" s="245">
        <v>0</v>
      </c>
      <c r="W210" s="245">
        <v>0</v>
      </c>
      <c r="X210" s="259">
        <f t="shared" si="37"/>
        <v>1</v>
      </c>
      <c r="Y210" s="271">
        <f t="shared" si="38"/>
        <v>10</v>
      </c>
      <c r="AA210" s="23" t="s">
        <v>2429</v>
      </c>
    </row>
    <row r="211" s="23" customFormat="1" spans="10:31">
      <c r="J211" s="238"/>
      <c r="M211" s="246">
        <v>153</v>
      </c>
      <c r="N211" s="248">
        <v>0</v>
      </c>
      <c r="O211" s="247">
        <v>0</v>
      </c>
      <c r="P211" s="248">
        <v>15</v>
      </c>
      <c r="Q211" s="248">
        <v>0</v>
      </c>
      <c r="R211" s="247">
        <v>0</v>
      </c>
      <c r="S211" s="248">
        <v>0</v>
      </c>
      <c r="T211" s="248">
        <v>0</v>
      </c>
      <c r="U211" s="256">
        <v>0</v>
      </c>
      <c r="V211" s="248">
        <v>0</v>
      </c>
      <c r="W211" s="247">
        <v>0</v>
      </c>
      <c r="X211" s="260">
        <f t="shared" si="37"/>
        <v>1.5</v>
      </c>
      <c r="Y211" s="272">
        <f t="shared" si="38"/>
        <v>15</v>
      </c>
      <c r="AA211" s="128" t="s">
        <v>2430</v>
      </c>
      <c r="AB211" s="128">
        <f>COUNTIF(N209:W218,0)</f>
        <v>74</v>
      </c>
      <c r="AC211" s="273">
        <f t="shared" ref="AC211:AC213" si="41">(AB211/100)</f>
        <v>0.74</v>
      </c>
      <c r="AE211" s="23" t="s">
        <v>2431</v>
      </c>
    </row>
    <row r="212" s="23" customFormat="1" spans="10:35">
      <c r="J212" s="238"/>
      <c r="M212" s="244">
        <v>154</v>
      </c>
      <c r="N212" s="245">
        <v>0</v>
      </c>
      <c r="O212" s="245">
        <v>10</v>
      </c>
      <c r="P212" s="255">
        <v>0</v>
      </c>
      <c r="Q212" s="245">
        <v>0</v>
      </c>
      <c r="R212" s="245">
        <v>0</v>
      </c>
      <c r="S212" s="245">
        <v>0</v>
      </c>
      <c r="T212" s="245">
        <v>0</v>
      </c>
      <c r="U212" s="245">
        <v>0</v>
      </c>
      <c r="V212" s="245">
        <v>0</v>
      </c>
      <c r="W212" s="245">
        <v>0</v>
      </c>
      <c r="X212" s="259">
        <f t="shared" si="37"/>
        <v>1</v>
      </c>
      <c r="Y212" s="271">
        <f t="shared" si="38"/>
        <v>10</v>
      </c>
      <c r="AA212" s="128" t="s">
        <v>2456</v>
      </c>
      <c r="AB212" s="128">
        <f>COUNTIF(N209:W218,10)</f>
        <v>3</v>
      </c>
      <c r="AC212" s="273">
        <f t="shared" si="41"/>
        <v>0.03</v>
      </c>
      <c r="AE212" s="274" t="s">
        <v>2434</v>
      </c>
      <c r="AF212" s="275"/>
      <c r="AG212" s="280" t="s">
        <v>2435</v>
      </c>
      <c r="AH212" s="275" t="s">
        <v>2436</v>
      </c>
      <c r="AI212" s="281"/>
    </row>
    <row r="213" s="23" customFormat="1" spans="10:34">
      <c r="J213" s="238"/>
      <c r="M213" s="246">
        <v>155</v>
      </c>
      <c r="N213" s="247">
        <v>0</v>
      </c>
      <c r="O213" s="248">
        <v>0</v>
      </c>
      <c r="P213" s="248">
        <v>0</v>
      </c>
      <c r="Q213" s="248">
        <v>0</v>
      </c>
      <c r="R213" s="248">
        <v>0</v>
      </c>
      <c r="S213" s="256">
        <v>0</v>
      </c>
      <c r="T213" s="248">
        <v>0</v>
      </c>
      <c r="U213" s="248">
        <v>0</v>
      </c>
      <c r="V213" s="248">
        <v>0</v>
      </c>
      <c r="W213" s="248">
        <v>0</v>
      </c>
      <c r="X213" s="260">
        <f t="shared" si="37"/>
        <v>0</v>
      </c>
      <c r="Y213" s="272">
        <f t="shared" si="38"/>
        <v>0</v>
      </c>
      <c r="AA213" s="128" t="s">
        <v>2439</v>
      </c>
      <c r="AB213" s="128">
        <f>COUNTIF(N209:W218,15)</f>
        <v>3</v>
      </c>
      <c r="AC213" s="273">
        <f t="shared" si="41"/>
        <v>0.03</v>
      </c>
      <c r="AE213" s="23" t="s">
        <v>2447</v>
      </c>
      <c r="AG213" s="128">
        <v>7</v>
      </c>
      <c r="AH213" s="282">
        <v>0.02</v>
      </c>
    </row>
    <row r="214" s="23" customFormat="1" spans="10:34">
      <c r="J214" s="238"/>
      <c r="M214" s="244">
        <v>156</v>
      </c>
      <c r="N214" s="245">
        <v>15</v>
      </c>
      <c r="O214" s="252">
        <v>0</v>
      </c>
      <c r="P214" s="252">
        <v>0</v>
      </c>
      <c r="Q214" s="252">
        <v>0</v>
      </c>
      <c r="R214" s="245">
        <v>0</v>
      </c>
      <c r="S214" s="245">
        <v>0</v>
      </c>
      <c r="T214" s="245">
        <v>0</v>
      </c>
      <c r="U214" s="255">
        <v>0</v>
      </c>
      <c r="V214" s="245">
        <v>0</v>
      </c>
      <c r="W214" s="245">
        <v>0</v>
      </c>
      <c r="X214" s="259">
        <f t="shared" si="37"/>
        <v>1.5</v>
      </c>
      <c r="Y214" s="271">
        <f t="shared" si="38"/>
        <v>15</v>
      </c>
      <c r="AA214" s="128"/>
      <c r="AB214" s="128"/>
      <c r="AC214" s="273"/>
      <c r="AE214" s="23" t="s">
        <v>2440</v>
      </c>
      <c r="AG214" s="128">
        <v>8</v>
      </c>
      <c r="AH214" s="282">
        <f>(AG214/100)</f>
        <v>0.08</v>
      </c>
    </row>
    <row r="215" s="23" customFormat="1" spans="10:34">
      <c r="J215" s="238"/>
      <c r="M215" s="246">
        <v>157</v>
      </c>
      <c r="N215" s="248">
        <v>10</v>
      </c>
      <c r="O215" s="248">
        <v>0</v>
      </c>
      <c r="P215" s="248">
        <v>0</v>
      </c>
      <c r="Q215" s="248">
        <v>0</v>
      </c>
      <c r="R215" s="248">
        <v>0</v>
      </c>
      <c r="S215" s="256">
        <v>0</v>
      </c>
      <c r="T215" s="248">
        <v>0</v>
      </c>
      <c r="U215" s="248">
        <v>0</v>
      </c>
      <c r="V215" s="248">
        <v>0</v>
      </c>
      <c r="W215" s="248">
        <v>0</v>
      </c>
      <c r="X215" s="260">
        <f t="shared" si="37"/>
        <v>1</v>
      </c>
      <c r="Y215" s="272">
        <f t="shared" si="38"/>
        <v>10</v>
      </c>
      <c r="AA215" s="128"/>
      <c r="AB215" s="128"/>
      <c r="AC215" s="273"/>
      <c r="AE215" s="23" t="s">
        <v>2442</v>
      </c>
      <c r="AG215" s="128">
        <v>0</v>
      </c>
      <c r="AH215" s="282">
        <f>(AG215/100)</f>
        <v>0</v>
      </c>
    </row>
    <row r="216" s="23" customFormat="1" spans="10:29">
      <c r="J216" s="238"/>
      <c r="M216" s="244">
        <v>158</v>
      </c>
      <c r="N216" s="245">
        <v>15</v>
      </c>
      <c r="O216" s="245">
        <v>0</v>
      </c>
      <c r="P216" s="245">
        <v>0</v>
      </c>
      <c r="Q216" s="245">
        <v>0</v>
      </c>
      <c r="R216" s="245">
        <v>0</v>
      </c>
      <c r="S216" s="245">
        <v>0</v>
      </c>
      <c r="T216" s="252">
        <v>0</v>
      </c>
      <c r="U216" s="245">
        <v>0</v>
      </c>
      <c r="V216" s="245">
        <v>0</v>
      </c>
      <c r="W216" s="245">
        <v>0</v>
      </c>
      <c r="X216" s="259">
        <f t="shared" si="37"/>
        <v>1.5</v>
      </c>
      <c r="Y216" s="271">
        <f t="shared" si="38"/>
        <v>15</v>
      </c>
      <c r="AA216" s="128" t="s">
        <v>2458</v>
      </c>
      <c r="AB216" s="128">
        <f>COUNTBLANK(N209:W218)</f>
        <v>20</v>
      </c>
      <c r="AC216" s="273">
        <f>(AB216/100)</f>
        <v>0.2</v>
      </c>
    </row>
    <row r="217" s="23" customFormat="1" spans="10:29">
      <c r="J217" s="238"/>
      <c r="M217" s="246">
        <v>159</v>
      </c>
      <c r="N217" s="248"/>
      <c r="O217" s="248"/>
      <c r="P217" s="248"/>
      <c r="Q217" s="248"/>
      <c r="R217" s="248"/>
      <c r="S217" s="248"/>
      <c r="T217" s="248"/>
      <c r="U217" s="248"/>
      <c r="V217" s="248"/>
      <c r="W217" s="248"/>
      <c r="X217" s="260" t="e">
        <v>#DIV/0!</v>
      </c>
      <c r="Y217" s="272">
        <f t="shared" si="38"/>
        <v>0</v>
      </c>
      <c r="Z217" s="276">
        <f>AVERAGE(N209:W218)</f>
        <v>0.9375</v>
      </c>
      <c r="AA217" s="277" t="s">
        <v>2448</v>
      </c>
      <c r="AB217" s="263"/>
      <c r="AC217" s="264"/>
    </row>
    <row r="218" s="23" customFormat="1" spans="10:30">
      <c r="J218" s="238"/>
      <c r="M218" s="300">
        <v>160</v>
      </c>
      <c r="N218" s="288"/>
      <c r="O218" s="288"/>
      <c r="P218" s="288"/>
      <c r="Q218" s="288"/>
      <c r="R218" s="288"/>
      <c r="S218" s="288"/>
      <c r="T218" s="288"/>
      <c r="U218" s="288"/>
      <c r="V218" s="288"/>
      <c r="W218" s="288"/>
      <c r="X218" s="261" t="e">
        <v>#DIV/0!</v>
      </c>
      <c r="Y218" s="294">
        <f t="shared" si="38"/>
        <v>0</v>
      </c>
      <c r="Z218" s="278">
        <f>SUM(Y209:Y218)</f>
        <v>75</v>
      </c>
      <c r="AA218" s="277" t="s">
        <v>2460</v>
      </c>
      <c r="AB218" s="263"/>
      <c r="AC218" s="263"/>
      <c r="AD218" s="264"/>
    </row>
    <row r="219" s="23" customFormat="1" spans="10:33">
      <c r="J219" s="238"/>
      <c r="M219" s="241">
        <v>161</v>
      </c>
      <c r="N219" s="248"/>
      <c r="O219" s="248"/>
      <c r="P219" s="248"/>
      <c r="Q219" s="248"/>
      <c r="R219" s="248"/>
      <c r="S219" s="248"/>
      <c r="T219" s="248"/>
      <c r="U219" s="248"/>
      <c r="V219" s="248"/>
      <c r="W219" s="248"/>
      <c r="X219" s="258" t="e">
        <v>#DIV/0!</v>
      </c>
      <c r="Y219" s="267">
        <f t="shared" si="38"/>
        <v>0</v>
      </c>
      <c r="AA219" s="268" t="s">
        <v>2454</v>
      </c>
      <c r="AB219" s="268"/>
      <c r="AC219" s="269" t="s">
        <v>2425</v>
      </c>
      <c r="AD219" s="269"/>
      <c r="AE219" s="270" t="s">
        <v>2426</v>
      </c>
      <c r="AF219" s="270"/>
      <c r="AG219" s="23" t="s">
        <v>2427</v>
      </c>
    </row>
    <row r="220" s="23" customFormat="1" spans="10:27">
      <c r="J220" s="238"/>
      <c r="M220" s="244">
        <v>162</v>
      </c>
      <c r="N220" s="245"/>
      <c r="O220" s="245"/>
      <c r="P220" s="245"/>
      <c r="Q220" s="245"/>
      <c r="R220" s="245"/>
      <c r="S220" s="245"/>
      <c r="T220" s="245"/>
      <c r="U220" s="245"/>
      <c r="V220" s="245"/>
      <c r="W220" s="245"/>
      <c r="X220" s="259" t="e">
        <v>#DIV/0!</v>
      </c>
      <c r="Y220" s="271">
        <f t="shared" si="38"/>
        <v>0</v>
      </c>
      <c r="AA220" s="23" t="s">
        <v>2429</v>
      </c>
    </row>
    <row r="221" s="23" customFormat="1" spans="10:31">
      <c r="J221" s="238"/>
      <c r="M221" s="246">
        <v>163</v>
      </c>
      <c r="N221" s="248"/>
      <c r="O221" s="248"/>
      <c r="P221" s="248"/>
      <c r="Q221" s="248"/>
      <c r="R221" s="248"/>
      <c r="S221" s="248"/>
      <c r="T221" s="248"/>
      <c r="U221" s="248"/>
      <c r="V221" s="248"/>
      <c r="W221" s="248"/>
      <c r="X221" s="260" t="e">
        <v>#DIV/0!</v>
      </c>
      <c r="Y221" s="272">
        <f t="shared" si="38"/>
        <v>0</v>
      </c>
      <c r="AA221" s="128" t="s">
        <v>2430</v>
      </c>
      <c r="AB221" s="128">
        <f>COUNTIF(N219:W228,0)</f>
        <v>0</v>
      </c>
      <c r="AC221" s="273">
        <f t="shared" ref="AC221:AC223" si="42">(AB221/100)</f>
        <v>0</v>
      </c>
      <c r="AE221" s="23" t="s">
        <v>2431</v>
      </c>
    </row>
    <row r="222" s="23" customFormat="1" spans="10:35">
      <c r="J222" s="238"/>
      <c r="M222" s="244">
        <v>164</v>
      </c>
      <c r="N222" s="245"/>
      <c r="O222" s="245"/>
      <c r="P222" s="245"/>
      <c r="Q222" s="245"/>
      <c r="R222" s="245"/>
      <c r="S222" s="245"/>
      <c r="T222" s="245"/>
      <c r="U222" s="245"/>
      <c r="V222" s="245"/>
      <c r="W222" s="245"/>
      <c r="X222" s="259" t="e">
        <v>#DIV/0!</v>
      </c>
      <c r="Y222" s="271">
        <f t="shared" si="38"/>
        <v>0</v>
      </c>
      <c r="AA222" s="128" t="s">
        <v>2456</v>
      </c>
      <c r="AB222" s="128">
        <f>COUNTIF(N219:W228,10)</f>
        <v>0</v>
      </c>
      <c r="AC222" s="273">
        <f t="shared" si="42"/>
        <v>0</v>
      </c>
      <c r="AE222" s="274" t="s">
        <v>2434</v>
      </c>
      <c r="AF222" s="275"/>
      <c r="AG222" s="280" t="s">
        <v>2435</v>
      </c>
      <c r="AH222" s="275" t="s">
        <v>2436</v>
      </c>
      <c r="AI222" s="281"/>
    </row>
    <row r="223" s="23" customFormat="1" spans="10:34">
      <c r="J223" s="238"/>
      <c r="M223" s="246">
        <v>165</v>
      </c>
      <c r="N223" s="248"/>
      <c r="O223" s="248"/>
      <c r="P223" s="248"/>
      <c r="Q223" s="248"/>
      <c r="R223" s="248"/>
      <c r="S223" s="248"/>
      <c r="T223" s="248"/>
      <c r="U223" s="248"/>
      <c r="V223" s="248"/>
      <c r="W223" s="248"/>
      <c r="X223" s="260" t="e">
        <v>#DIV/0!</v>
      </c>
      <c r="Y223" s="272">
        <f t="shared" si="38"/>
        <v>0</v>
      </c>
      <c r="AA223" s="128" t="s">
        <v>2439</v>
      </c>
      <c r="AB223" s="128">
        <f>COUNTIF(N219:W228,15)</f>
        <v>0</v>
      </c>
      <c r="AC223" s="273">
        <f t="shared" si="42"/>
        <v>0</v>
      </c>
      <c r="AE223" s="23" t="s">
        <v>2438</v>
      </c>
      <c r="AG223" s="128">
        <v>0</v>
      </c>
      <c r="AH223" s="282">
        <v>0.02</v>
      </c>
    </row>
    <row r="224" s="23" customFormat="1" spans="10:34">
      <c r="J224" s="238"/>
      <c r="M224" s="244">
        <v>166</v>
      </c>
      <c r="N224" s="245"/>
      <c r="O224" s="245"/>
      <c r="P224" s="245"/>
      <c r="Q224" s="245"/>
      <c r="R224" s="245"/>
      <c r="S224" s="245"/>
      <c r="T224" s="245"/>
      <c r="U224" s="245"/>
      <c r="V224" s="245"/>
      <c r="W224" s="245"/>
      <c r="X224" s="259" t="e">
        <v>#DIV/0!</v>
      </c>
      <c r="Y224" s="271">
        <f t="shared" si="38"/>
        <v>0</v>
      </c>
      <c r="AA224" s="128"/>
      <c r="AB224" s="128"/>
      <c r="AC224" s="273"/>
      <c r="AE224" s="23" t="s">
        <v>2440</v>
      </c>
      <c r="AG224" s="128">
        <v>0</v>
      </c>
      <c r="AH224" s="282">
        <f>(AG224/100)</f>
        <v>0</v>
      </c>
    </row>
    <row r="225" s="23" customFormat="1" spans="10:34">
      <c r="J225" s="238"/>
      <c r="M225" s="246">
        <v>167</v>
      </c>
      <c r="N225" s="248"/>
      <c r="O225" s="248"/>
      <c r="P225" s="248"/>
      <c r="Q225" s="248"/>
      <c r="R225" s="248"/>
      <c r="S225" s="248"/>
      <c r="T225" s="248"/>
      <c r="U225" s="248"/>
      <c r="V225" s="248"/>
      <c r="W225" s="248"/>
      <c r="X225" s="260" t="e">
        <v>#DIV/0!</v>
      </c>
      <c r="Y225" s="272">
        <f t="shared" si="38"/>
        <v>0</v>
      </c>
      <c r="AA225" s="128"/>
      <c r="AB225" s="128"/>
      <c r="AC225" s="273"/>
      <c r="AE225" s="23" t="s">
        <v>2442</v>
      </c>
      <c r="AG225" s="128">
        <v>0</v>
      </c>
      <c r="AH225" s="282">
        <f>(AG225/100)</f>
        <v>0</v>
      </c>
    </row>
    <row r="226" s="23" customFormat="1" spans="10:29">
      <c r="J226" s="238"/>
      <c r="M226" s="244">
        <v>168</v>
      </c>
      <c r="N226" s="245"/>
      <c r="O226" s="245"/>
      <c r="P226" s="245"/>
      <c r="Q226" s="245"/>
      <c r="R226" s="245"/>
      <c r="S226" s="245"/>
      <c r="T226" s="245"/>
      <c r="U226" s="245"/>
      <c r="V226" s="245"/>
      <c r="W226" s="245"/>
      <c r="X226" s="259" t="e">
        <v>#DIV/0!</v>
      </c>
      <c r="Y226" s="271">
        <f t="shared" si="38"/>
        <v>0</v>
      </c>
      <c r="AA226" s="128" t="s">
        <v>2458</v>
      </c>
      <c r="AB226" s="128">
        <f>COUNTBLANK(N219:W228)</f>
        <v>100</v>
      </c>
      <c r="AC226" s="273">
        <f>(AB226/100)</f>
        <v>1</v>
      </c>
    </row>
    <row r="227" s="23" customFormat="1" spans="10:29">
      <c r="J227" s="238"/>
      <c r="M227" s="246">
        <v>169</v>
      </c>
      <c r="N227" s="248"/>
      <c r="O227" s="248"/>
      <c r="P227" s="248"/>
      <c r="Q227" s="248"/>
      <c r="R227" s="248"/>
      <c r="S227" s="248"/>
      <c r="T227" s="248"/>
      <c r="U227" s="248"/>
      <c r="V227" s="248"/>
      <c r="W227" s="248"/>
      <c r="X227" s="260" t="e">
        <v>#DIV/0!</v>
      </c>
      <c r="Y227" s="272">
        <f t="shared" si="38"/>
        <v>0</v>
      </c>
      <c r="Z227" s="276" t="e">
        <v>#DIV/0!</v>
      </c>
      <c r="AA227" s="277" t="s">
        <v>2444</v>
      </c>
      <c r="AB227" s="263"/>
      <c r="AC227" s="264"/>
    </row>
    <row r="228" s="23" customFormat="1" spans="10:30">
      <c r="J228" s="238"/>
      <c r="M228" s="300">
        <v>170</v>
      </c>
      <c r="N228" s="288"/>
      <c r="O228" s="288"/>
      <c r="P228" s="288"/>
      <c r="Q228" s="288"/>
      <c r="R228" s="288"/>
      <c r="S228" s="288"/>
      <c r="T228" s="288"/>
      <c r="U228" s="288"/>
      <c r="V228" s="288"/>
      <c r="W228" s="288"/>
      <c r="X228" s="261" t="e">
        <v>#DIV/0!</v>
      </c>
      <c r="Y228" s="294">
        <f t="shared" si="38"/>
        <v>0</v>
      </c>
      <c r="Z228" s="278">
        <f>SUM(Y219:Y228)</f>
        <v>0</v>
      </c>
      <c r="AA228" s="277" t="s">
        <v>2460</v>
      </c>
      <c r="AB228" s="263"/>
      <c r="AC228" s="263"/>
      <c r="AD228" s="264"/>
    </row>
    <row r="229" s="23" customFormat="1" spans="10:33">
      <c r="J229" s="238"/>
      <c r="M229" s="241">
        <v>171</v>
      </c>
      <c r="N229" s="248"/>
      <c r="O229" s="248"/>
      <c r="P229" s="248"/>
      <c r="Q229" s="248"/>
      <c r="R229" s="248"/>
      <c r="S229" s="248"/>
      <c r="T229" s="248"/>
      <c r="U229" s="248"/>
      <c r="V229" s="248"/>
      <c r="W229" s="248"/>
      <c r="X229" s="258" t="e">
        <v>#DIV/0!</v>
      </c>
      <c r="Y229" s="267">
        <f t="shared" si="38"/>
        <v>0</v>
      </c>
      <c r="AA229" s="268" t="s">
        <v>2454</v>
      </c>
      <c r="AB229" s="268"/>
      <c r="AC229" s="269" t="s">
        <v>2425</v>
      </c>
      <c r="AD229" s="269"/>
      <c r="AE229" s="270" t="s">
        <v>2426</v>
      </c>
      <c r="AF229" s="270"/>
      <c r="AG229" s="23" t="s">
        <v>2427</v>
      </c>
    </row>
    <row r="230" s="23" customFormat="1" spans="10:27">
      <c r="J230" s="238"/>
      <c r="M230" s="244">
        <v>172</v>
      </c>
      <c r="N230" s="245"/>
      <c r="O230" s="245"/>
      <c r="P230" s="245"/>
      <c r="Q230" s="245"/>
      <c r="R230" s="245"/>
      <c r="S230" s="245"/>
      <c r="T230" s="245"/>
      <c r="U230" s="245"/>
      <c r="V230" s="245"/>
      <c r="W230" s="245"/>
      <c r="X230" s="259" t="e">
        <v>#DIV/0!</v>
      </c>
      <c r="Y230" s="271">
        <f t="shared" si="38"/>
        <v>0</v>
      </c>
      <c r="AA230" s="23" t="s">
        <v>2429</v>
      </c>
    </row>
    <row r="231" s="23" customFormat="1" spans="10:31">
      <c r="J231" s="238"/>
      <c r="M231" s="246">
        <v>173</v>
      </c>
      <c r="N231" s="248"/>
      <c r="O231" s="248"/>
      <c r="P231" s="248"/>
      <c r="Q231" s="248"/>
      <c r="R231" s="248"/>
      <c r="S231" s="248"/>
      <c r="T231" s="248"/>
      <c r="U231" s="248"/>
      <c r="V231" s="248"/>
      <c r="W231" s="248"/>
      <c r="X231" s="260" t="e">
        <v>#DIV/0!</v>
      </c>
      <c r="Y231" s="272">
        <f t="shared" si="38"/>
        <v>0</v>
      </c>
      <c r="AA231" s="128" t="s">
        <v>2430</v>
      </c>
      <c r="AB231" s="128">
        <f>COUNTIF(N229:W238,0)</f>
        <v>0</v>
      </c>
      <c r="AC231" s="273">
        <f t="shared" ref="AC231:AC233" si="43">(AB231/100)</f>
        <v>0</v>
      </c>
      <c r="AE231" s="23" t="s">
        <v>2431</v>
      </c>
    </row>
    <row r="232" s="23" customFormat="1" spans="10:35">
      <c r="J232" s="238"/>
      <c r="M232" s="244">
        <v>174</v>
      </c>
      <c r="N232" s="245"/>
      <c r="O232" s="245"/>
      <c r="P232" s="245"/>
      <c r="Q232" s="245"/>
      <c r="R232" s="245"/>
      <c r="S232" s="245"/>
      <c r="T232" s="245"/>
      <c r="U232" s="245"/>
      <c r="V232" s="245"/>
      <c r="W232" s="245"/>
      <c r="X232" s="259" t="e">
        <v>#DIV/0!</v>
      </c>
      <c r="Y232" s="271">
        <f t="shared" si="38"/>
        <v>0</v>
      </c>
      <c r="AA232" s="128" t="s">
        <v>2456</v>
      </c>
      <c r="AB232" s="128">
        <f>COUNTIF(N229:W238,10)</f>
        <v>0</v>
      </c>
      <c r="AC232" s="273">
        <f t="shared" si="43"/>
        <v>0</v>
      </c>
      <c r="AE232" s="274" t="s">
        <v>2434</v>
      </c>
      <c r="AF232" s="275"/>
      <c r="AG232" s="280" t="s">
        <v>2435</v>
      </c>
      <c r="AH232" s="275" t="s">
        <v>2436</v>
      </c>
      <c r="AI232" s="281"/>
    </row>
    <row r="233" s="23" customFormat="1" spans="10:34">
      <c r="J233" s="238"/>
      <c r="M233" s="246">
        <v>175</v>
      </c>
      <c r="N233" s="248"/>
      <c r="O233" s="248"/>
      <c r="P233" s="248"/>
      <c r="Q233" s="248"/>
      <c r="R233" s="248"/>
      <c r="S233" s="248"/>
      <c r="T233" s="248"/>
      <c r="U233" s="248"/>
      <c r="V233" s="248"/>
      <c r="W233" s="248"/>
      <c r="X233" s="260" t="e">
        <v>#DIV/0!</v>
      </c>
      <c r="Y233" s="272">
        <f t="shared" si="38"/>
        <v>0</v>
      </c>
      <c r="AA233" s="128" t="s">
        <v>2439</v>
      </c>
      <c r="AB233" s="128">
        <f>COUNTIF(N229:W238,15)</f>
        <v>0</v>
      </c>
      <c r="AC233" s="273">
        <f t="shared" si="43"/>
        <v>0</v>
      </c>
      <c r="AE233" s="23" t="s">
        <v>2438</v>
      </c>
      <c r="AG233" s="128">
        <v>0</v>
      </c>
      <c r="AH233" s="282">
        <v>0.02</v>
      </c>
    </row>
    <row r="234" s="23" customFormat="1" spans="10:34">
      <c r="J234" s="238"/>
      <c r="M234" s="244">
        <v>176</v>
      </c>
      <c r="N234" s="245"/>
      <c r="O234" s="245"/>
      <c r="P234" s="245"/>
      <c r="Q234" s="245"/>
      <c r="R234" s="245"/>
      <c r="S234" s="245"/>
      <c r="T234" s="245"/>
      <c r="U234" s="245"/>
      <c r="V234" s="245"/>
      <c r="W234" s="245"/>
      <c r="X234" s="259" t="e">
        <v>#DIV/0!</v>
      </c>
      <c r="Y234" s="271">
        <f t="shared" si="38"/>
        <v>0</v>
      </c>
      <c r="AA234" s="128"/>
      <c r="AB234" s="128"/>
      <c r="AC234" s="273"/>
      <c r="AE234" s="23" t="s">
        <v>2440</v>
      </c>
      <c r="AG234" s="128">
        <v>0</v>
      </c>
      <c r="AH234" s="282">
        <f>(AG234/100)</f>
        <v>0</v>
      </c>
    </row>
    <row r="235" s="23" customFormat="1" spans="10:34">
      <c r="J235" s="238"/>
      <c r="M235" s="246">
        <v>177</v>
      </c>
      <c r="N235" s="248"/>
      <c r="O235" s="248"/>
      <c r="P235" s="248"/>
      <c r="Q235" s="248"/>
      <c r="R235" s="248"/>
      <c r="S235" s="248"/>
      <c r="T235" s="248"/>
      <c r="U235" s="248"/>
      <c r="V235" s="248"/>
      <c r="W235" s="248"/>
      <c r="X235" s="260" t="e">
        <v>#DIV/0!</v>
      </c>
      <c r="Y235" s="272">
        <f t="shared" si="38"/>
        <v>0</v>
      </c>
      <c r="AA235" s="128"/>
      <c r="AB235" s="128"/>
      <c r="AC235" s="273"/>
      <c r="AE235" s="23" t="s">
        <v>2442</v>
      </c>
      <c r="AG235" s="128">
        <v>0</v>
      </c>
      <c r="AH235" s="282">
        <f>(AG235/100)</f>
        <v>0</v>
      </c>
    </row>
    <row r="236" s="23" customFormat="1" spans="10:29">
      <c r="J236" s="238"/>
      <c r="M236" s="244">
        <v>178</v>
      </c>
      <c r="N236" s="245"/>
      <c r="O236" s="245"/>
      <c r="P236" s="245"/>
      <c r="Q236" s="245"/>
      <c r="R236" s="245"/>
      <c r="S236" s="245"/>
      <c r="T236" s="245"/>
      <c r="U236" s="245"/>
      <c r="V236" s="245"/>
      <c r="W236" s="245"/>
      <c r="X236" s="259" t="e">
        <v>#DIV/0!</v>
      </c>
      <c r="Y236" s="271">
        <f t="shared" si="38"/>
        <v>0</v>
      </c>
      <c r="AA236" s="128" t="s">
        <v>2458</v>
      </c>
      <c r="AB236" s="128">
        <f>COUNTBLANK(N229:W238)</f>
        <v>100</v>
      </c>
      <c r="AC236" s="273">
        <f>(AB236/100)</f>
        <v>1</v>
      </c>
    </row>
    <row r="237" s="23" customFormat="1" spans="10:29">
      <c r="J237" s="238"/>
      <c r="M237" s="246">
        <v>179</v>
      </c>
      <c r="N237" s="248"/>
      <c r="O237" s="248"/>
      <c r="P237" s="248"/>
      <c r="Q237" s="248"/>
      <c r="R237" s="248"/>
      <c r="S237" s="248"/>
      <c r="T237" s="248"/>
      <c r="U237" s="248"/>
      <c r="V237" s="248"/>
      <c r="W237" s="248"/>
      <c r="X237" s="260" t="e">
        <v>#DIV/0!</v>
      </c>
      <c r="Y237" s="272">
        <f t="shared" si="38"/>
        <v>0</v>
      </c>
      <c r="Z237" s="276" t="e">
        <v>#DIV/0!</v>
      </c>
      <c r="AA237" s="277" t="s">
        <v>2448</v>
      </c>
      <c r="AB237" s="263"/>
      <c r="AC237" s="264"/>
    </row>
    <row r="238" s="23" customFormat="1" spans="10:30">
      <c r="J238" s="238"/>
      <c r="M238" s="300">
        <v>180</v>
      </c>
      <c r="N238" s="288"/>
      <c r="O238" s="288"/>
      <c r="P238" s="288"/>
      <c r="Q238" s="288"/>
      <c r="R238" s="288"/>
      <c r="S238" s="288"/>
      <c r="T238" s="288"/>
      <c r="U238" s="288"/>
      <c r="V238" s="288"/>
      <c r="W238" s="288"/>
      <c r="X238" s="261" t="e">
        <v>#DIV/0!</v>
      </c>
      <c r="Y238" s="294">
        <f t="shared" si="38"/>
        <v>0</v>
      </c>
      <c r="Z238" s="278">
        <f>SUM(Y229:Y238)</f>
        <v>0</v>
      </c>
      <c r="AA238" s="277" t="s">
        <v>2460</v>
      </c>
      <c r="AB238" s="263"/>
      <c r="AC238" s="263"/>
      <c r="AD238" s="264"/>
    </row>
    <row r="239" s="23" customFormat="1" spans="10:33">
      <c r="J239" s="238"/>
      <c r="M239" s="241">
        <v>181</v>
      </c>
      <c r="N239" s="248"/>
      <c r="O239" s="248"/>
      <c r="P239" s="248"/>
      <c r="Q239" s="248"/>
      <c r="R239" s="248"/>
      <c r="S239" s="248"/>
      <c r="T239" s="248"/>
      <c r="U239" s="248"/>
      <c r="V239" s="248"/>
      <c r="W239" s="248"/>
      <c r="X239" s="258" t="e">
        <v>#DIV/0!</v>
      </c>
      <c r="Y239" s="267">
        <f t="shared" si="38"/>
        <v>0</v>
      </c>
      <c r="AA239" s="268" t="s">
        <v>2454</v>
      </c>
      <c r="AB239" s="268"/>
      <c r="AC239" s="269" t="s">
        <v>2425</v>
      </c>
      <c r="AD239" s="269"/>
      <c r="AE239" s="270" t="s">
        <v>2426</v>
      </c>
      <c r="AF239" s="270"/>
      <c r="AG239" s="23" t="s">
        <v>2427</v>
      </c>
    </row>
    <row r="240" s="23" customFormat="1" spans="10:27">
      <c r="J240" s="238"/>
      <c r="M240" s="244">
        <v>182</v>
      </c>
      <c r="N240" s="245"/>
      <c r="O240" s="245"/>
      <c r="P240" s="245"/>
      <c r="Q240" s="245"/>
      <c r="R240" s="245"/>
      <c r="S240" s="245"/>
      <c r="T240" s="245"/>
      <c r="U240" s="245"/>
      <c r="V240" s="245"/>
      <c r="W240" s="245"/>
      <c r="X240" s="259" t="e">
        <v>#DIV/0!</v>
      </c>
      <c r="Y240" s="271">
        <f t="shared" si="38"/>
        <v>0</v>
      </c>
      <c r="AA240" s="23" t="s">
        <v>2429</v>
      </c>
    </row>
    <row r="241" s="23" customFormat="1" spans="10:31">
      <c r="J241" s="238"/>
      <c r="M241" s="246">
        <v>183</v>
      </c>
      <c r="N241" s="248"/>
      <c r="O241" s="248"/>
      <c r="P241" s="248"/>
      <c r="Q241" s="248"/>
      <c r="R241" s="248"/>
      <c r="S241" s="248"/>
      <c r="T241" s="248"/>
      <c r="U241" s="248"/>
      <c r="V241" s="248"/>
      <c r="W241" s="248"/>
      <c r="X241" s="260" t="e">
        <v>#DIV/0!</v>
      </c>
      <c r="Y241" s="272">
        <f t="shared" si="38"/>
        <v>0</v>
      </c>
      <c r="AA241" s="128" t="s">
        <v>2430</v>
      </c>
      <c r="AB241" s="128">
        <f>COUNTIF(N239:W248,0)</f>
        <v>0</v>
      </c>
      <c r="AC241" s="273">
        <f t="shared" ref="AC241:AC243" si="44">(AB241/100)</f>
        <v>0</v>
      </c>
      <c r="AE241" s="23" t="s">
        <v>2431</v>
      </c>
    </row>
    <row r="242" s="23" customFormat="1" spans="10:35">
      <c r="J242" s="238"/>
      <c r="M242" s="244">
        <v>184</v>
      </c>
      <c r="N242" s="245"/>
      <c r="O242" s="245"/>
      <c r="P242" s="245"/>
      <c r="Q242" s="245"/>
      <c r="R242" s="245"/>
      <c r="S242" s="245"/>
      <c r="T242" s="245"/>
      <c r="U242" s="245"/>
      <c r="V242" s="245"/>
      <c r="W242" s="245"/>
      <c r="X242" s="259" t="e">
        <v>#DIV/0!</v>
      </c>
      <c r="Y242" s="271">
        <f t="shared" si="38"/>
        <v>0</v>
      </c>
      <c r="AA242" s="128" t="s">
        <v>2456</v>
      </c>
      <c r="AB242" s="128">
        <f>COUNTIF(N239:W248,10)</f>
        <v>0</v>
      </c>
      <c r="AC242" s="273">
        <f t="shared" si="44"/>
        <v>0</v>
      </c>
      <c r="AE242" s="274" t="s">
        <v>2434</v>
      </c>
      <c r="AF242" s="275"/>
      <c r="AG242" s="280" t="s">
        <v>2435</v>
      </c>
      <c r="AH242" s="275" t="s">
        <v>2436</v>
      </c>
      <c r="AI242" s="281"/>
    </row>
    <row r="243" s="23" customFormat="1" spans="10:34">
      <c r="J243" s="238"/>
      <c r="M243" s="246">
        <v>185</v>
      </c>
      <c r="N243" s="248"/>
      <c r="O243" s="248"/>
      <c r="P243" s="248"/>
      <c r="Q243" s="248"/>
      <c r="R243" s="248"/>
      <c r="S243" s="248"/>
      <c r="T243" s="248"/>
      <c r="U243" s="248"/>
      <c r="V243" s="248"/>
      <c r="W243" s="248"/>
      <c r="X243" s="260" t="e">
        <v>#DIV/0!</v>
      </c>
      <c r="Y243" s="272">
        <f t="shared" si="38"/>
        <v>0</v>
      </c>
      <c r="AA243" s="128" t="s">
        <v>2439</v>
      </c>
      <c r="AB243" s="128">
        <f>COUNTIF(N239:W248,15)</f>
        <v>0</v>
      </c>
      <c r="AC243" s="273">
        <f t="shared" si="44"/>
        <v>0</v>
      </c>
      <c r="AE243" s="23" t="s">
        <v>2447</v>
      </c>
      <c r="AG243" s="128">
        <v>0</v>
      </c>
      <c r="AH243" s="282">
        <v>0.02</v>
      </c>
    </row>
    <row r="244" s="23" customFormat="1" spans="10:34">
      <c r="J244" s="238"/>
      <c r="M244" s="244">
        <v>186</v>
      </c>
      <c r="N244" s="245"/>
      <c r="O244" s="245"/>
      <c r="P244" s="245"/>
      <c r="Q244" s="245"/>
      <c r="R244" s="245"/>
      <c r="S244" s="245"/>
      <c r="T244" s="245"/>
      <c r="U244" s="245"/>
      <c r="V244" s="245"/>
      <c r="W244" s="245"/>
      <c r="X244" s="259" t="e">
        <v>#DIV/0!</v>
      </c>
      <c r="Y244" s="271">
        <f t="shared" si="38"/>
        <v>0</v>
      </c>
      <c r="AA244" s="128"/>
      <c r="AB244" s="128"/>
      <c r="AC244" s="273"/>
      <c r="AE244" s="23" t="s">
        <v>2440</v>
      </c>
      <c r="AG244" s="128">
        <v>0</v>
      </c>
      <c r="AH244" s="282">
        <f>(AG244/100)</f>
        <v>0</v>
      </c>
    </row>
    <row r="245" s="23" customFormat="1" spans="10:34">
      <c r="J245" s="238"/>
      <c r="M245" s="246">
        <v>187</v>
      </c>
      <c r="N245" s="248"/>
      <c r="O245" s="248"/>
      <c r="P245" s="248"/>
      <c r="Q245" s="248"/>
      <c r="R245" s="248"/>
      <c r="S245" s="248"/>
      <c r="T245" s="248"/>
      <c r="U245" s="248"/>
      <c r="V245" s="248"/>
      <c r="W245" s="248"/>
      <c r="X245" s="260" t="e">
        <v>#DIV/0!</v>
      </c>
      <c r="Y245" s="272">
        <f t="shared" si="38"/>
        <v>0</v>
      </c>
      <c r="AA245" s="128"/>
      <c r="AB245" s="128"/>
      <c r="AC245" s="273"/>
      <c r="AE245" s="23" t="s">
        <v>2454</v>
      </c>
      <c r="AG245" s="128">
        <v>0</v>
      </c>
      <c r="AH245" s="282">
        <f>(AG245/100)</f>
        <v>0</v>
      </c>
    </row>
    <row r="246" s="23" customFormat="1" spans="10:29">
      <c r="J246" s="238"/>
      <c r="M246" s="244">
        <v>188</v>
      </c>
      <c r="N246" s="245"/>
      <c r="O246" s="245"/>
      <c r="P246" s="245"/>
      <c r="Q246" s="245"/>
      <c r="R246" s="245"/>
      <c r="S246" s="245"/>
      <c r="T246" s="245"/>
      <c r="U246" s="245"/>
      <c r="V246" s="245"/>
      <c r="W246" s="245"/>
      <c r="X246" s="259" t="e">
        <v>#DIV/0!</v>
      </c>
      <c r="Y246" s="271">
        <f t="shared" si="38"/>
        <v>0</v>
      </c>
      <c r="AA246" s="128" t="s">
        <v>2467</v>
      </c>
      <c r="AB246" s="128">
        <f>COUNTBLANK(N239:W248)</f>
        <v>100</v>
      </c>
      <c r="AC246" s="273">
        <f>(AB246/100)</f>
        <v>1</v>
      </c>
    </row>
    <row r="247" s="23" customFormat="1" spans="10:29">
      <c r="J247" s="238"/>
      <c r="M247" s="246">
        <v>189</v>
      </c>
      <c r="N247" s="248"/>
      <c r="O247" s="248"/>
      <c r="P247" s="248"/>
      <c r="Q247" s="248"/>
      <c r="R247" s="248"/>
      <c r="S247" s="248"/>
      <c r="T247" s="248"/>
      <c r="U247" s="248"/>
      <c r="V247" s="248"/>
      <c r="W247" s="248"/>
      <c r="X247" s="260" t="e">
        <v>#DIV/0!</v>
      </c>
      <c r="Y247" s="272">
        <f t="shared" si="38"/>
        <v>0</v>
      </c>
      <c r="Z247" s="276" t="e">
        <v>#DIV/0!</v>
      </c>
      <c r="AA247" s="277" t="s">
        <v>2444</v>
      </c>
      <c r="AB247" s="263"/>
      <c r="AC247" s="264"/>
    </row>
    <row r="248" s="23" customFormat="1" spans="10:30">
      <c r="J248" s="238"/>
      <c r="M248" s="300">
        <v>190</v>
      </c>
      <c r="N248" s="288"/>
      <c r="O248" s="288"/>
      <c r="P248" s="288"/>
      <c r="Q248" s="288"/>
      <c r="R248" s="288"/>
      <c r="S248" s="288"/>
      <c r="T248" s="288"/>
      <c r="U248" s="288"/>
      <c r="V248" s="288"/>
      <c r="W248" s="288"/>
      <c r="X248" s="261" t="e">
        <v>#DIV/0!</v>
      </c>
      <c r="Y248" s="294">
        <f t="shared" si="38"/>
        <v>0</v>
      </c>
      <c r="Z248" s="278">
        <f>SUM(Y239:Y248)</f>
        <v>0</v>
      </c>
      <c r="AA248" s="277" t="s">
        <v>2516</v>
      </c>
      <c r="AB248" s="263"/>
      <c r="AC248" s="263"/>
      <c r="AD248" s="264"/>
    </row>
    <row r="249" s="23" customFormat="1" spans="10:33">
      <c r="J249" s="238"/>
      <c r="M249" s="241">
        <v>191</v>
      </c>
      <c r="N249" s="248"/>
      <c r="O249" s="248"/>
      <c r="P249" s="248"/>
      <c r="Q249" s="248"/>
      <c r="R249" s="248"/>
      <c r="S249" s="248"/>
      <c r="T249" s="248"/>
      <c r="U249" s="248"/>
      <c r="V249" s="248"/>
      <c r="W249" s="248"/>
      <c r="X249" s="258" t="e">
        <v>#DIV/0!</v>
      </c>
      <c r="Y249" s="267">
        <f t="shared" si="38"/>
        <v>0</v>
      </c>
      <c r="AA249" s="268" t="s">
        <v>2454</v>
      </c>
      <c r="AB249" s="268"/>
      <c r="AC249" s="269" t="s">
        <v>2425</v>
      </c>
      <c r="AD249" s="269"/>
      <c r="AE249" s="270" t="s">
        <v>2426</v>
      </c>
      <c r="AF249" s="270"/>
      <c r="AG249" s="23" t="s">
        <v>2427</v>
      </c>
    </row>
    <row r="250" s="23" customFormat="1" spans="10:27">
      <c r="J250" s="238"/>
      <c r="M250" s="244">
        <v>192</v>
      </c>
      <c r="N250" s="245"/>
      <c r="O250" s="245"/>
      <c r="P250" s="245"/>
      <c r="Q250" s="245"/>
      <c r="R250" s="245"/>
      <c r="S250" s="245"/>
      <c r="T250" s="245"/>
      <c r="U250" s="245"/>
      <c r="V250" s="245"/>
      <c r="W250" s="245"/>
      <c r="X250" s="259" t="e">
        <v>#DIV/0!</v>
      </c>
      <c r="Y250" s="271">
        <f t="shared" si="38"/>
        <v>0</v>
      </c>
      <c r="AA250" s="23" t="s">
        <v>2429</v>
      </c>
    </row>
    <row r="251" s="23" customFormat="1" spans="10:31">
      <c r="J251" s="238"/>
      <c r="M251" s="246">
        <v>193</v>
      </c>
      <c r="N251" s="248"/>
      <c r="O251" s="248"/>
      <c r="P251" s="248"/>
      <c r="Q251" s="248"/>
      <c r="R251" s="248"/>
      <c r="S251" s="248"/>
      <c r="T251" s="248"/>
      <c r="U251" s="248"/>
      <c r="V251" s="248"/>
      <c r="W251" s="248"/>
      <c r="X251" s="260" t="e">
        <v>#DIV/0!</v>
      </c>
      <c r="Y251" s="272">
        <f t="shared" ref="Y251:Y258" si="45">SUM(N251:W251)</f>
        <v>0</v>
      </c>
      <c r="AA251" s="128" t="s">
        <v>2430</v>
      </c>
      <c r="AB251" s="128">
        <f>COUNTIF(N249:W258,0)</f>
        <v>0</v>
      </c>
      <c r="AC251" s="273">
        <f t="shared" ref="AC251:AC253" si="46">(AB251/100)</f>
        <v>0</v>
      </c>
      <c r="AE251" s="23" t="s">
        <v>2431</v>
      </c>
    </row>
    <row r="252" s="23" customFormat="1" spans="10:35">
      <c r="J252" s="238"/>
      <c r="M252" s="244">
        <v>194</v>
      </c>
      <c r="N252" s="245"/>
      <c r="O252" s="245"/>
      <c r="P252" s="245"/>
      <c r="Q252" s="245"/>
      <c r="R252" s="245"/>
      <c r="S252" s="245"/>
      <c r="T252" s="245"/>
      <c r="U252" s="245"/>
      <c r="V252" s="245"/>
      <c r="W252" s="245"/>
      <c r="X252" s="259" t="e">
        <v>#DIV/0!</v>
      </c>
      <c r="Y252" s="271">
        <f t="shared" si="45"/>
        <v>0</v>
      </c>
      <c r="AA252" s="128" t="s">
        <v>2456</v>
      </c>
      <c r="AB252" s="128">
        <f>COUNTIF(N249:W258,10)</f>
        <v>0</v>
      </c>
      <c r="AC252" s="273">
        <f t="shared" si="46"/>
        <v>0</v>
      </c>
      <c r="AE252" s="274" t="s">
        <v>2434</v>
      </c>
      <c r="AF252" s="275"/>
      <c r="AG252" s="280" t="s">
        <v>2435</v>
      </c>
      <c r="AH252" s="275" t="s">
        <v>2436</v>
      </c>
      <c r="AI252" s="281"/>
    </row>
    <row r="253" s="23" customFormat="1" spans="10:34">
      <c r="J253" s="238"/>
      <c r="M253" s="246">
        <v>195</v>
      </c>
      <c r="N253" s="248"/>
      <c r="O253" s="248"/>
      <c r="P253" s="248"/>
      <c r="Q253" s="248"/>
      <c r="R253" s="248"/>
      <c r="S253" s="248"/>
      <c r="T253" s="248"/>
      <c r="U253" s="248"/>
      <c r="V253" s="248"/>
      <c r="W253" s="248"/>
      <c r="X253" s="260" t="e">
        <v>#DIV/0!</v>
      </c>
      <c r="Y253" s="272">
        <f t="shared" si="45"/>
        <v>0</v>
      </c>
      <c r="AA253" s="128" t="s">
        <v>2439</v>
      </c>
      <c r="AB253" s="128">
        <f>COUNTIF(N249:W258,15)</f>
        <v>0</v>
      </c>
      <c r="AC253" s="273">
        <f t="shared" si="46"/>
        <v>0</v>
      </c>
      <c r="AE253" s="23" t="s">
        <v>2438</v>
      </c>
      <c r="AG253" s="128">
        <v>0</v>
      </c>
      <c r="AH253" s="282">
        <v>0.02</v>
      </c>
    </row>
    <row r="254" s="23" customFormat="1" spans="10:34">
      <c r="J254" s="238"/>
      <c r="M254" s="244">
        <v>196</v>
      </c>
      <c r="N254" s="245"/>
      <c r="O254" s="245"/>
      <c r="P254" s="245"/>
      <c r="Q254" s="245"/>
      <c r="R254" s="245"/>
      <c r="S254" s="245"/>
      <c r="T254" s="245"/>
      <c r="U254" s="245"/>
      <c r="V254" s="245"/>
      <c r="W254" s="245"/>
      <c r="X254" s="259" t="e">
        <v>#DIV/0!</v>
      </c>
      <c r="Y254" s="271">
        <f t="shared" si="45"/>
        <v>0</v>
      </c>
      <c r="AA254" s="128"/>
      <c r="AB254" s="128"/>
      <c r="AC254" s="273"/>
      <c r="AE254" s="23" t="s">
        <v>2440</v>
      </c>
      <c r="AG254" s="128">
        <v>0</v>
      </c>
      <c r="AH254" s="282">
        <f>(AG254/100)</f>
        <v>0</v>
      </c>
    </row>
    <row r="255" s="23" customFormat="1" spans="10:34">
      <c r="J255" s="238"/>
      <c r="M255" s="246">
        <v>197</v>
      </c>
      <c r="N255" s="248"/>
      <c r="O255" s="248"/>
      <c r="P255" s="248"/>
      <c r="Q255" s="248"/>
      <c r="R255" s="248"/>
      <c r="S255" s="248"/>
      <c r="T255" s="248"/>
      <c r="U255" s="248"/>
      <c r="V255" s="248"/>
      <c r="W255" s="248"/>
      <c r="X255" s="260" t="e">
        <v>#DIV/0!</v>
      </c>
      <c r="Y255" s="272">
        <f t="shared" si="45"/>
        <v>0</v>
      </c>
      <c r="AA255" s="128"/>
      <c r="AB255" s="128"/>
      <c r="AC255" s="273"/>
      <c r="AE255" s="23" t="s">
        <v>2442</v>
      </c>
      <c r="AG255" s="128">
        <v>0</v>
      </c>
      <c r="AH255" s="282">
        <f>(AG255/100)</f>
        <v>0</v>
      </c>
    </row>
    <row r="256" s="23" customFormat="1" spans="10:29">
      <c r="J256" s="238"/>
      <c r="M256" s="244">
        <v>198</v>
      </c>
      <c r="N256" s="245"/>
      <c r="O256" s="245"/>
      <c r="P256" s="245"/>
      <c r="Q256" s="245"/>
      <c r="R256" s="245"/>
      <c r="S256" s="245"/>
      <c r="T256" s="245"/>
      <c r="U256" s="245"/>
      <c r="V256" s="245"/>
      <c r="W256" s="245"/>
      <c r="X256" s="259" t="e">
        <v>#DIV/0!</v>
      </c>
      <c r="Y256" s="271">
        <f t="shared" si="45"/>
        <v>0</v>
      </c>
      <c r="AA256" s="128" t="s">
        <v>2458</v>
      </c>
      <c r="AB256" s="128">
        <f>COUNTBLANK(N249:W258)</f>
        <v>100</v>
      </c>
      <c r="AC256" s="273">
        <f>(AB256/100)</f>
        <v>1</v>
      </c>
    </row>
    <row r="257" s="23" customFormat="1" spans="10:38">
      <c r="J257" s="238"/>
      <c r="M257" s="246">
        <v>199</v>
      </c>
      <c r="N257" s="248"/>
      <c r="O257" s="248"/>
      <c r="P257" s="248"/>
      <c r="Q257" s="248"/>
      <c r="R257" s="248"/>
      <c r="S257" s="248"/>
      <c r="T257" s="248"/>
      <c r="U257" s="248"/>
      <c r="V257" s="248"/>
      <c r="W257" s="248"/>
      <c r="X257" s="260" t="e">
        <v>#DIV/0!</v>
      </c>
      <c r="Y257" s="272">
        <f t="shared" si="45"/>
        <v>0</v>
      </c>
      <c r="Z257" s="276" t="e">
        <v>#DIV/0!</v>
      </c>
      <c r="AA257" s="277" t="s">
        <v>2448</v>
      </c>
      <c r="AB257" s="263"/>
      <c r="AC257" s="264"/>
      <c r="AH257" s="265">
        <f>AVERAGE(N159:W258)</f>
        <v>1.00862068965517</v>
      </c>
      <c r="AI257" s="309" t="s">
        <v>2507</v>
      </c>
      <c r="AJ257" s="263"/>
      <c r="AK257" s="263"/>
      <c r="AL257" s="310"/>
    </row>
    <row r="258" s="23" customFormat="1" ht="15" customHeight="1" spans="10:38">
      <c r="J258" s="238"/>
      <c r="M258" s="296">
        <v>200</v>
      </c>
      <c r="N258" s="299"/>
      <c r="O258" s="299"/>
      <c r="P258" s="299"/>
      <c r="Q258" s="299"/>
      <c r="R258" s="299"/>
      <c r="S258" s="299"/>
      <c r="T258" s="299"/>
      <c r="U258" s="299"/>
      <c r="V258" s="299"/>
      <c r="W258" s="299"/>
      <c r="X258" s="302" t="e">
        <v>#DIV/0!</v>
      </c>
      <c r="Y258" s="303">
        <f t="shared" si="45"/>
        <v>0</v>
      </c>
      <c r="Z258" s="304">
        <f>SUM(Y249:Y258)</f>
        <v>0</v>
      </c>
      <c r="AA258" s="305" t="s">
        <v>2460</v>
      </c>
      <c r="AB258" s="306"/>
      <c r="AC258" s="306"/>
      <c r="AD258" s="307"/>
      <c r="AE258" s="308"/>
      <c r="AF258" s="308"/>
      <c r="AG258" s="308"/>
      <c r="AH258" s="311">
        <f>SUM(Y159:Y258)</f>
        <v>585</v>
      </c>
      <c r="AI258" s="312" t="s">
        <v>2508</v>
      </c>
      <c r="AJ258" s="306"/>
      <c r="AK258" s="306"/>
      <c r="AL258" s="313"/>
    </row>
    <row r="259" s="23" customFormat="1" ht="15" customHeight="1" spans="10:29">
      <c r="J259" s="238"/>
      <c r="U259" s="262" t="s">
        <v>2511</v>
      </c>
      <c r="V259" s="263"/>
      <c r="W259" s="264"/>
      <c r="X259" s="265">
        <f>AVERAGE(N59:W258)</f>
        <v>1.06012658227848</v>
      </c>
      <c r="Y259" s="279">
        <f>SUM(Y59:Y258)</f>
        <v>1675</v>
      </c>
      <c r="Z259" s="262" t="s">
        <v>2512</v>
      </c>
      <c r="AA259" s="263"/>
      <c r="AB259" s="263"/>
      <c r="AC259" s="264"/>
    </row>
    <row r="260" s="23" customFormat="1" spans="10:10">
      <c r="J260" s="238"/>
    </row>
    <row r="261" spans="10:10">
      <c r="J261" s="238"/>
    </row>
    <row r="262" spans="10:13">
      <c r="J262" s="238"/>
      <c r="M262" s="23" t="s">
        <v>2559</v>
      </c>
    </row>
    <row r="263" spans="11:25">
      <c r="K263" s="315"/>
      <c r="L263" s="315"/>
      <c r="M263" s="239" t="s">
        <v>2411</v>
      </c>
      <c r="N263" s="240" t="s">
        <v>2412</v>
      </c>
      <c r="O263" s="240" t="s">
        <v>2413</v>
      </c>
      <c r="P263" s="240" t="s">
        <v>2414</v>
      </c>
      <c r="Q263" s="240" t="s">
        <v>2415</v>
      </c>
      <c r="R263" s="240" t="s">
        <v>2416</v>
      </c>
      <c r="S263" s="240" t="s">
        <v>2417</v>
      </c>
      <c r="T263" s="240" t="s">
        <v>2418</v>
      </c>
      <c r="U263" s="240" t="s">
        <v>2419</v>
      </c>
      <c r="V263" s="240" t="s">
        <v>2420</v>
      </c>
      <c r="W263" s="240" t="s">
        <v>2421</v>
      </c>
      <c r="X263" s="239" t="s">
        <v>2422</v>
      </c>
      <c r="Y263" s="266" t="s">
        <v>2463</v>
      </c>
    </row>
    <row r="264" spans="13:33">
      <c r="M264" s="241">
        <v>1</v>
      </c>
      <c r="N264" s="242">
        <v>1</v>
      </c>
      <c r="O264" s="242">
        <v>1</v>
      </c>
      <c r="P264" s="242">
        <v>1</v>
      </c>
      <c r="Q264" s="242">
        <v>1</v>
      </c>
      <c r="R264" s="242">
        <v>3</v>
      </c>
      <c r="S264" s="242">
        <v>1</v>
      </c>
      <c r="T264" s="242">
        <v>1</v>
      </c>
      <c r="U264" s="242">
        <v>3</v>
      </c>
      <c r="V264" s="242">
        <v>1</v>
      </c>
      <c r="W264" s="242">
        <v>1</v>
      </c>
      <c r="X264" s="258">
        <f t="shared" ref="X264:X279" si="47">AVERAGE(N264:W264)</f>
        <v>1.4</v>
      </c>
      <c r="Y264" s="267">
        <f t="shared" ref="Y264:Y283" si="48">SUM(N264:W264)</f>
        <v>14</v>
      </c>
      <c r="AA264" s="268" t="s">
        <v>2454</v>
      </c>
      <c r="AB264" s="268"/>
      <c r="AC264" s="269" t="s">
        <v>2425</v>
      </c>
      <c r="AD264" s="269"/>
      <c r="AE264" s="270" t="s">
        <v>2426</v>
      </c>
      <c r="AF264" s="270"/>
      <c r="AG264" s="23" t="s">
        <v>2427</v>
      </c>
    </row>
    <row r="265" spans="13:27">
      <c r="M265" s="244">
        <v>2</v>
      </c>
      <c r="N265" s="245">
        <v>1</v>
      </c>
      <c r="O265" s="245">
        <v>3</v>
      </c>
      <c r="P265" s="245">
        <v>3</v>
      </c>
      <c r="Q265" s="245">
        <v>1</v>
      </c>
      <c r="R265" s="245">
        <v>1</v>
      </c>
      <c r="S265" s="245">
        <v>3</v>
      </c>
      <c r="T265" s="245">
        <v>3</v>
      </c>
      <c r="U265" s="245">
        <v>3</v>
      </c>
      <c r="V265" s="245">
        <v>1</v>
      </c>
      <c r="W265" s="245">
        <v>1</v>
      </c>
      <c r="X265" s="259">
        <f t="shared" si="47"/>
        <v>2</v>
      </c>
      <c r="Y265" s="271">
        <f t="shared" si="48"/>
        <v>20</v>
      </c>
      <c r="AA265" s="23" t="s">
        <v>2429</v>
      </c>
    </row>
    <row r="266" spans="13:31">
      <c r="M266" s="246">
        <v>3</v>
      </c>
      <c r="N266" s="248">
        <v>3</v>
      </c>
      <c r="O266" s="248">
        <v>1</v>
      </c>
      <c r="P266" s="248">
        <v>1</v>
      </c>
      <c r="Q266" s="248">
        <v>3</v>
      </c>
      <c r="R266" s="248">
        <v>3</v>
      </c>
      <c r="S266" s="248">
        <v>3</v>
      </c>
      <c r="T266" s="248">
        <v>3</v>
      </c>
      <c r="U266" s="248">
        <v>1</v>
      </c>
      <c r="V266" s="248">
        <v>3</v>
      </c>
      <c r="W266" s="248">
        <v>1</v>
      </c>
      <c r="X266" s="260">
        <f t="shared" si="47"/>
        <v>2.2</v>
      </c>
      <c r="Y266" s="272">
        <f t="shared" si="48"/>
        <v>22</v>
      </c>
      <c r="AA266" s="128" t="s">
        <v>2466</v>
      </c>
      <c r="AB266" s="128">
        <f>COUNTIF(N264:W273,1)</f>
        <v>53</v>
      </c>
      <c r="AC266" s="273">
        <f>(AB266/100)</f>
        <v>0.53</v>
      </c>
      <c r="AE266" s="23" t="s">
        <v>2431</v>
      </c>
    </row>
    <row r="267" spans="13:35">
      <c r="M267" s="244">
        <v>4</v>
      </c>
      <c r="N267" s="245">
        <v>1</v>
      </c>
      <c r="O267" s="245">
        <v>3</v>
      </c>
      <c r="P267" s="245">
        <v>1</v>
      </c>
      <c r="Q267" s="245">
        <v>3</v>
      </c>
      <c r="R267" s="245">
        <v>3</v>
      </c>
      <c r="S267" s="245">
        <v>3</v>
      </c>
      <c r="T267" s="245">
        <v>1</v>
      </c>
      <c r="U267" s="245">
        <v>3</v>
      </c>
      <c r="V267" s="245">
        <v>3</v>
      </c>
      <c r="W267" s="245">
        <v>1</v>
      </c>
      <c r="X267" s="259">
        <f t="shared" si="47"/>
        <v>2.2</v>
      </c>
      <c r="Y267" s="271">
        <f t="shared" si="48"/>
        <v>22</v>
      </c>
      <c r="AA267" s="128" t="s">
        <v>2433</v>
      </c>
      <c r="AB267" s="128">
        <f>COUNTIF(N264:W273,3)</f>
        <v>47</v>
      </c>
      <c r="AC267" s="273">
        <f>(AB267/100)</f>
        <v>0.47</v>
      </c>
      <c r="AE267" s="274" t="s">
        <v>2434</v>
      </c>
      <c r="AF267" s="275"/>
      <c r="AG267" s="280" t="s">
        <v>2435</v>
      </c>
      <c r="AH267" s="275" t="s">
        <v>2436</v>
      </c>
      <c r="AI267" s="281"/>
    </row>
    <row r="268" spans="13:34">
      <c r="M268" s="246">
        <v>5</v>
      </c>
      <c r="N268" s="248">
        <v>1</v>
      </c>
      <c r="O268" s="248">
        <v>3</v>
      </c>
      <c r="P268" s="248">
        <v>1</v>
      </c>
      <c r="Q268" s="248">
        <v>1</v>
      </c>
      <c r="R268" s="248">
        <v>3</v>
      </c>
      <c r="S268" s="248">
        <v>3</v>
      </c>
      <c r="T268" s="248">
        <v>1</v>
      </c>
      <c r="U268" s="248">
        <v>3</v>
      </c>
      <c r="V268" s="248">
        <v>3</v>
      </c>
      <c r="W268" s="248">
        <v>1</v>
      </c>
      <c r="X268" s="260">
        <f t="shared" si="47"/>
        <v>2</v>
      </c>
      <c r="Y268" s="272">
        <f t="shared" si="48"/>
        <v>20</v>
      </c>
      <c r="AA268" s="128"/>
      <c r="AB268" s="128"/>
      <c r="AC268" s="273"/>
      <c r="AE268" s="23" t="s">
        <v>2438</v>
      </c>
      <c r="AG268" s="128">
        <v>0</v>
      </c>
      <c r="AH268" s="282">
        <f t="shared" ref="AH268:AH270" si="49">(AG268/100)</f>
        <v>0</v>
      </c>
    </row>
    <row r="269" spans="13:34">
      <c r="M269" s="244">
        <v>6</v>
      </c>
      <c r="N269" s="245">
        <v>1</v>
      </c>
      <c r="O269" s="245">
        <v>1</v>
      </c>
      <c r="P269" s="245">
        <v>3</v>
      </c>
      <c r="Q269" s="245">
        <v>3</v>
      </c>
      <c r="R269" s="245">
        <v>3</v>
      </c>
      <c r="S269" s="245">
        <v>1</v>
      </c>
      <c r="T269" s="245">
        <v>1</v>
      </c>
      <c r="U269" s="245">
        <v>1</v>
      </c>
      <c r="V269" s="245">
        <v>1</v>
      </c>
      <c r="W269" s="245">
        <v>3</v>
      </c>
      <c r="X269" s="259">
        <f t="shared" si="47"/>
        <v>1.8</v>
      </c>
      <c r="Y269" s="271">
        <f t="shared" si="48"/>
        <v>18</v>
      </c>
      <c r="AA269" s="128"/>
      <c r="AB269" s="128"/>
      <c r="AC269" s="273"/>
      <c r="AE269" s="23" t="s">
        <v>2440</v>
      </c>
      <c r="AG269" s="128">
        <v>0</v>
      </c>
      <c r="AH269" s="282">
        <f t="shared" si="49"/>
        <v>0</v>
      </c>
    </row>
    <row r="270" spans="13:34">
      <c r="M270" s="246">
        <v>7</v>
      </c>
      <c r="N270" s="248">
        <v>1</v>
      </c>
      <c r="O270" s="248">
        <v>1</v>
      </c>
      <c r="P270" s="248">
        <v>3</v>
      </c>
      <c r="Q270" s="248">
        <v>1</v>
      </c>
      <c r="R270" s="248">
        <v>1</v>
      </c>
      <c r="S270" s="248">
        <v>1</v>
      </c>
      <c r="T270" s="248">
        <v>3</v>
      </c>
      <c r="U270" s="248">
        <v>1</v>
      </c>
      <c r="V270" s="248">
        <v>3</v>
      </c>
      <c r="W270" s="248">
        <v>1</v>
      </c>
      <c r="X270" s="260">
        <f t="shared" si="47"/>
        <v>1.6</v>
      </c>
      <c r="Y270" s="272">
        <f t="shared" si="48"/>
        <v>16</v>
      </c>
      <c r="AA270" s="128"/>
      <c r="AB270" s="128"/>
      <c r="AC270" s="273"/>
      <c r="AE270" s="23" t="s">
        <v>2442</v>
      </c>
      <c r="AG270" s="128">
        <v>0</v>
      </c>
      <c r="AH270" s="282">
        <f t="shared" si="49"/>
        <v>0</v>
      </c>
    </row>
    <row r="271" spans="13:25">
      <c r="M271" s="244">
        <v>8</v>
      </c>
      <c r="N271" s="245">
        <v>1</v>
      </c>
      <c r="O271" s="245">
        <v>3</v>
      </c>
      <c r="P271" s="245">
        <v>3</v>
      </c>
      <c r="Q271" s="245">
        <v>3</v>
      </c>
      <c r="R271" s="245">
        <v>1</v>
      </c>
      <c r="S271" s="245">
        <v>3</v>
      </c>
      <c r="T271" s="245">
        <v>1</v>
      </c>
      <c r="U271" s="245">
        <v>3</v>
      </c>
      <c r="V271" s="245">
        <v>3</v>
      </c>
      <c r="W271" s="245">
        <v>3</v>
      </c>
      <c r="X271" s="259">
        <f t="shared" si="47"/>
        <v>2.4</v>
      </c>
      <c r="Y271" s="271">
        <f t="shared" si="48"/>
        <v>24</v>
      </c>
    </row>
    <row r="272" spans="13:29">
      <c r="M272" s="246">
        <v>9</v>
      </c>
      <c r="N272" s="248">
        <v>3</v>
      </c>
      <c r="O272" s="248">
        <v>1</v>
      </c>
      <c r="P272" s="248">
        <v>3</v>
      </c>
      <c r="Q272" s="248">
        <v>1</v>
      </c>
      <c r="R272" s="248">
        <v>1</v>
      </c>
      <c r="S272" s="248">
        <v>3</v>
      </c>
      <c r="T272" s="248">
        <v>3</v>
      </c>
      <c r="U272" s="248">
        <v>3</v>
      </c>
      <c r="V272" s="248">
        <v>1</v>
      </c>
      <c r="W272" s="248">
        <v>3</v>
      </c>
      <c r="X272" s="260">
        <f t="shared" si="47"/>
        <v>2.2</v>
      </c>
      <c r="Y272" s="272">
        <f t="shared" si="48"/>
        <v>22</v>
      </c>
      <c r="Z272" s="276">
        <f>AVERAGE(N264:W273)</f>
        <v>1.94</v>
      </c>
      <c r="AA272" s="277" t="s">
        <v>2444</v>
      </c>
      <c r="AB272" s="263"/>
      <c r="AC272" s="264"/>
    </row>
    <row r="273" spans="13:30">
      <c r="M273" s="244">
        <v>10</v>
      </c>
      <c r="N273" s="245">
        <v>3</v>
      </c>
      <c r="O273" s="245">
        <v>3</v>
      </c>
      <c r="P273" s="245">
        <v>1</v>
      </c>
      <c r="Q273" s="245">
        <v>1</v>
      </c>
      <c r="R273" s="245">
        <v>1</v>
      </c>
      <c r="S273" s="245">
        <v>3</v>
      </c>
      <c r="T273" s="245">
        <v>1</v>
      </c>
      <c r="U273" s="245">
        <v>1</v>
      </c>
      <c r="V273" s="245">
        <v>1</v>
      </c>
      <c r="W273" s="245">
        <v>1</v>
      </c>
      <c r="X273" s="261">
        <f t="shared" si="47"/>
        <v>1.6</v>
      </c>
      <c r="Y273" s="271">
        <f t="shared" si="48"/>
        <v>16</v>
      </c>
      <c r="Z273" s="278">
        <f>SUM(Y264:Y273)</f>
        <v>194</v>
      </c>
      <c r="AA273" s="277" t="s">
        <v>2516</v>
      </c>
      <c r="AB273" s="263"/>
      <c r="AC273" s="263"/>
      <c r="AD273" s="264"/>
    </row>
    <row r="274" spans="13:33">
      <c r="M274" s="241">
        <v>11</v>
      </c>
      <c r="N274" s="242">
        <v>3</v>
      </c>
      <c r="O274" s="242">
        <v>3</v>
      </c>
      <c r="P274" s="242">
        <v>3</v>
      </c>
      <c r="Q274" s="242">
        <v>3</v>
      </c>
      <c r="R274" s="242">
        <v>1</v>
      </c>
      <c r="S274" s="242">
        <v>1</v>
      </c>
      <c r="T274" s="242">
        <v>3</v>
      </c>
      <c r="U274" s="242">
        <v>1</v>
      </c>
      <c r="V274" s="242">
        <v>3</v>
      </c>
      <c r="W274" s="242">
        <v>1</v>
      </c>
      <c r="X274" s="258">
        <f t="shared" si="47"/>
        <v>2.2</v>
      </c>
      <c r="Y274" s="267">
        <f t="shared" si="48"/>
        <v>22</v>
      </c>
      <c r="AA274" s="268" t="s">
        <v>2442</v>
      </c>
      <c r="AB274" s="268"/>
      <c r="AC274" s="269" t="s">
        <v>2425</v>
      </c>
      <c r="AD274" s="269"/>
      <c r="AE274" s="270" t="s">
        <v>2426</v>
      </c>
      <c r="AF274" s="270"/>
      <c r="AG274" s="23" t="s">
        <v>2427</v>
      </c>
    </row>
    <row r="275" spans="13:27">
      <c r="M275" s="244">
        <v>12</v>
      </c>
      <c r="N275" s="245">
        <v>1</v>
      </c>
      <c r="O275" s="245">
        <v>3</v>
      </c>
      <c r="P275" s="245">
        <v>3</v>
      </c>
      <c r="Q275" s="245">
        <v>3</v>
      </c>
      <c r="R275" s="245">
        <v>1</v>
      </c>
      <c r="S275" s="245">
        <v>3</v>
      </c>
      <c r="T275" s="245">
        <v>1</v>
      </c>
      <c r="U275" s="245">
        <v>1</v>
      </c>
      <c r="V275" s="245">
        <v>3</v>
      </c>
      <c r="W275" s="245">
        <v>1</v>
      </c>
      <c r="X275" s="259">
        <f t="shared" si="47"/>
        <v>2</v>
      </c>
      <c r="Y275" s="271">
        <f t="shared" si="48"/>
        <v>20</v>
      </c>
      <c r="AA275" s="23" t="s">
        <v>2429</v>
      </c>
    </row>
    <row r="276" spans="13:31">
      <c r="M276" s="246">
        <v>13</v>
      </c>
      <c r="N276" s="248">
        <v>1</v>
      </c>
      <c r="O276" s="248">
        <v>3</v>
      </c>
      <c r="P276" s="248">
        <v>1</v>
      </c>
      <c r="Q276" s="248">
        <v>1</v>
      </c>
      <c r="R276" s="248">
        <v>3</v>
      </c>
      <c r="S276" s="248">
        <v>3</v>
      </c>
      <c r="T276" s="248">
        <v>1</v>
      </c>
      <c r="U276" s="248">
        <v>1</v>
      </c>
      <c r="V276" s="248">
        <v>3</v>
      </c>
      <c r="W276" s="248">
        <v>3</v>
      </c>
      <c r="X276" s="260">
        <f t="shared" si="47"/>
        <v>2</v>
      </c>
      <c r="Y276" s="272">
        <f t="shared" si="48"/>
        <v>20</v>
      </c>
      <c r="AA276" s="128" t="s">
        <v>2466</v>
      </c>
      <c r="AB276" s="128">
        <f>COUNTIF(N274:W283,1)</f>
        <v>31</v>
      </c>
      <c r="AC276" s="273">
        <f t="shared" ref="AC276:AC278" si="50">(AB276/100)</f>
        <v>0.31</v>
      </c>
      <c r="AE276" s="23" t="s">
        <v>2431</v>
      </c>
    </row>
    <row r="277" spans="13:35">
      <c r="M277" s="244">
        <v>14</v>
      </c>
      <c r="N277" s="245">
        <v>1</v>
      </c>
      <c r="O277" s="245">
        <v>3</v>
      </c>
      <c r="P277" s="245">
        <v>3</v>
      </c>
      <c r="Q277" s="245">
        <v>3</v>
      </c>
      <c r="R277" s="245">
        <v>1</v>
      </c>
      <c r="S277" s="245">
        <v>1</v>
      </c>
      <c r="T277" s="245">
        <v>1</v>
      </c>
      <c r="U277" s="245">
        <v>3</v>
      </c>
      <c r="V277" s="245">
        <v>3</v>
      </c>
      <c r="W277" s="245">
        <v>3</v>
      </c>
      <c r="X277" s="259">
        <f t="shared" si="47"/>
        <v>2.2</v>
      </c>
      <c r="Y277" s="271">
        <f t="shared" si="48"/>
        <v>22</v>
      </c>
      <c r="AA277" s="128" t="s">
        <v>2433</v>
      </c>
      <c r="AB277" s="128">
        <f>COUNTIF(N274:W283,3)</f>
        <v>29</v>
      </c>
      <c r="AC277" s="273">
        <f t="shared" si="50"/>
        <v>0.29</v>
      </c>
      <c r="AE277" s="274" t="s">
        <v>2434</v>
      </c>
      <c r="AF277" s="275"/>
      <c r="AG277" s="280" t="s">
        <v>2435</v>
      </c>
      <c r="AH277" s="275" t="s">
        <v>2436</v>
      </c>
      <c r="AI277" s="281"/>
    </row>
    <row r="278" spans="13:34">
      <c r="M278" s="246">
        <v>15</v>
      </c>
      <c r="N278" s="248">
        <v>1</v>
      </c>
      <c r="O278" s="248">
        <v>1</v>
      </c>
      <c r="P278" s="248">
        <v>3</v>
      </c>
      <c r="Q278" s="248">
        <v>1</v>
      </c>
      <c r="R278" s="248">
        <v>3</v>
      </c>
      <c r="S278" s="248">
        <v>1</v>
      </c>
      <c r="T278" s="248">
        <v>1</v>
      </c>
      <c r="U278" s="248">
        <v>1</v>
      </c>
      <c r="V278" s="248">
        <v>1</v>
      </c>
      <c r="W278" s="248">
        <v>1</v>
      </c>
      <c r="X278" s="260">
        <f t="shared" si="47"/>
        <v>1.4</v>
      </c>
      <c r="Y278" s="272">
        <f t="shared" si="48"/>
        <v>14</v>
      </c>
      <c r="AA278" s="128" t="s">
        <v>2458</v>
      </c>
      <c r="AB278" s="128">
        <f>COUNTBLANK(N274:W283)</f>
        <v>40</v>
      </c>
      <c r="AC278" s="273">
        <f t="shared" si="50"/>
        <v>0.4</v>
      </c>
      <c r="AE278" s="23" t="s">
        <v>2509</v>
      </c>
      <c r="AG278" s="128">
        <v>0</v>
      </c>
      <c r="AH278" s="282">
        <f t="shared" ref="AH278:AH280" si="51">(AG278/100)</f>
        <v>0</v>
      </c>
    </row>
    <row r="279" spans="13:34">
      <c r="M279" s="244">
        <v>16</v>
      </c>
      <c r="N279" s="245">
        <v>1</v>
      </c>
      <c r="O279" s="245">
        <v>3</v>
      </c>
      <c r="P279" s="245">
        <v>1</v>
      </c>
      <c r="Q279" s="245">
        <v>1</v>
      </c>
      <c r="R279" s="245">
        <v>1</v>
      </c>
      <c r="S279" s="245">
        <v>3</v>
      </c>
      <c r="T279" s="245">
        <v>1</v>
      </c>
      <c r="U279" s="245">
        <v>3</v>
      </c>
      <c r="V279" s="245">
        <v>3</v>
      </c>
      <c r="W279" s="245">
        <v>3</v>
      </c>
      <c r="X279" s="259">
        <f t="shared" si="47"/>
        <v>2</v>
      </c>
      <c r="Y279" s="271">
        <f t="shared" si="48"/>
        <v>20</v>
      </c>
      <c r="AA279" s="128"/>
      <c r="AB279" s="128"/>
      <c r="AC279" s="273"/>
      <c r="AE279" s="23" t="s">
        <v>2440</v>
      </c>
      <c r="AG279" s="128">
        <v>0</v>
      </c>
      <c r="AH279" s="282">
        <f t="shared" si="51"/>
        <v>0</v>
      </c>
    </row>
    <row r="280" spans="13:34">
      <c r="M280" s="246">
        <v>17</v>
      </c>
      <c r="N280" s="248"/>
      <c r="O280" s="248"/>
      <c r="P280" s="248"/>
      <c r="Q280" s="248"/>
      <c r="R280" s="248"/>
      <c r="S280" s="248"/>
      <c r="T280" s="248"/>
      <c r="U280" s="248"/>
      <c r="V280" s="248"/>
      <c r="W280" s="248"/>
      <c r="X280" s="260" t="e">
        <v>#DIV/0!</v>
      </c>
      <c r="Y280" s="272">
        <f t="shared" si="48"/>
        <v>0</v>
      </c>
      <c r="AA280" s="128"/>
      <c r="AB280" s="128"/>
      <c r="AC280" s="273"/>
      <c r="AE280" s="23" t="s">
        <v>2454</v>
      </c>
      <c r="AG280" s="128">
        <v>0</v>
      </c>
      <c r="AH280" s="282">
        <f t="shared" si="51"/>
        <v>0</v>
      </c>
    </row>
    <row r="281" spans="13:25">
      <c r="M281" s="244">
        <v>18</v>
      </c>
      <c r="N281" s="245"/>
      <c r="O281" s="245"/>
      <c r="P281" s="245"/>
      <c r="Q281" s="245"/>
      <c r="R281" s="245"/>
      <c r="S281" s="245"/>
      <c r="T281" s="245"/>
      <c r="U281" s="245"/>
      <c r="V281" s="245"/>
      <c r="W281" s="245"/>
      <c r="X281" s="259" t="e">
        <v>#DIV/0!</v>
      </c>
      <c r="Y281" s="271">
        <f t="shared" si="48"/>
        <v>0</v>
      </c>
    </row>
    <row r="282" spans="13:29">
      <c r="M282" s="246">
        <v>19</v>
      </c>
      <c r="N282" s="248"/>
      <c r="O282" s="248"/>
      <c r="P282" s="248"/>
      <c r="Q282" s="248"/>
      <c r="R282" s="248"/>
      <c r="S282" s="248"/>
      <c r="T282" s="248"/>
      <c r="U282" s="248"/>
      <c r="V282" s="248"/>
      <c r="W282" s="248"/>
      <c r="X282" s="260" t="e">
        <v>#DIV/0!</v>
      </c>
      <c r="Y282" s="272">
        <f t="shared" si="48"/>
        <v>0</v>
      </c>
      <c r="Z282" s="276">
        <f>AVERAGE(N274:W283)</f>
        <v>1.96666666666667</v>
      </c>
      <c r="AA282" s="277" t="s">
        <v>2448</v>
      </c>
      <c r="AB282" s="263"/>
      <c r="AC282" s="264"/>
    </row>
    <row r="283" spans="13:30">
      <c r="M283" s="244">
        <v>20</v>
      </c>
      <c r="N283" s="245"/>
      <c r="O283" s="245"/>
      <c r="P283" s="245"/>
      <c r="Q283" s="245"/>
      <c r="R283" s="245"/>
      <c r="S283" s="245"/>
      <c r="T283" s="245"/>
      <c r="U283" s="245"/>
      <c r="V283" s="245"/>
      <c r="W283" s="245"/>
      <c r="X283" s="261" t="e">
        <v>#DIV/0!</v>
      </c>
      <c r="Y283" s="271">
        <f t="shared" si="48"/>
        <v>0</v>
      </c>
      <c r="Z283" s="278">
        <f>SUM(Y274:Y283)</f>
        <v>118</v>
      </c>
      <c r="AA283" s="277" t="s">
        <v>2460</v>
      </c>
      <c r="AB283" s="263"/>
      <c r="AC283" s="263"/>
      <c r="AD283" s="264"/>
    </row>
    <row r="284" spans="21:29">
      <c r="U284" s="262" t="s">
        <v>2449</v>
      </c>
      <c r="V284" s="263"/>
      <c r="W284" s="264"/>
      <c r="X284" s="265">
        <f>AVERAGE(N264:W283)</f>
        <v>1.95</v>
      </c>
      <c r="Y284" s="279">
        <f>SUM(Y264:Y283)</f>
        <v>312</v>
      </c>
      <c r="Z284" s="262" t="s">
        <v>2560</v>
      </c>
      <c r="AA284" s="263"/>
      <c r="AB284" s="263"/>
      <c r="AC284" s="264"/>
    </row>
  </sheetData>
  <mergeCells count="62">
    <mergeCell ref="AA19:AC19"/>
    <mergeCell ref="AA20:AD20"/>
    <mergeCell ref="U21:W21"/>
    <mergeCell ref="Z21:AC21"/>
    <mergeCell ref="U37:W37"/>
    <mergeCell ref="Z37:AC37"/>
    <mergeCell ref="AA51:AC51"/>
    <mergeCell ref="AA52:AD52"/>
    <mergeCell ref="U53:W53"/>
    <mergeCell ref="Z53:AC53"/>
    <mergeCell ref="AA67:AC67"/>
    <mergeCell ref="AA68:AD68"/>
    <mergeCell ref="AA77:AC77"/>
    <mergeCell ref="AA78:AD78"/>
    <mergeCell ref="AA87:AC87"/>
    <mergeCell ref="AA88:AD88"/>
    <mergeCell ref="AA97:AC97"/>
    <mergeCell ref="AA98:AD98"/>
    <mergeCell ref="AA107:AC107"/>
    <mergeCell ref="AA108:AD108"/>
    <mergeCell ref="AA117:AC117"/>
    <mergeCell ref="AA118:AD118"/>
    <mergeCell ref="AA127:AC127"/>
    <mergeCell ref="AA128:AD128"/>
    <mergeCell ref="AA137:AC137"/>
    <mergeCell ref="AA138:AD138"/>
    <mergeCell ref="AA147:AC147"/>
    <mergeCell ref="AA148:AD148"/>
    <mergeCell ref="AA157:AC157"/>
    <mergeCell ref="AI157:AL157"/>
    <mergeCell ref="AA158:AD158"/>
    <mergeCell ref="AI158:AL158"/>
    <mergeCell ref="AA167:AC167"/>
    <mergeCell ref="AA168:AD168"/>
    <mergeCell ref="AA177:AC177"/>
    <mergeCell ref="AA178:AD178"/>
    <mergeCell ref="AA187:AC187"/>
    <mergeCell ref="AA188:AD188"/>
    <mergeCell ref="AA197:AC197"/>
    <mergeCell ref="AA198:AD198"/>
    <mergeCell ref="AA207:AC207"/>
    <mergeCell ref="AA208:AD208"/>
    <mergeCell ref="AA217:AC217"/>
    <mergeCell ref="AA218:AD218"/>
    <mergeCell ref="AA227:AC227"/>
    <mergeCell ref="AA228:AD228"/>
    <mergeCell ref="AA237:AC237"/>
    <mergeCell ref="AA238:AD238"/>
    <mergeCell ref="AA247:AC247"/>
    <mergeCell ref="AA248:AD248"/>
    <mergeCell ref="AA257:AC257"/>
    <mergeCell ref="AI257:AL257"/>
    <mergeCell ref="AA258:AD258"/>
    <mergeCell ref="AI258:AL258"/>
    <mergeCell ref="U259:W259"/>
    <mergeCell ref="Z259:AC259"/>
    <mergeCell ref="AA272:AC272"/>
    <mergeCell ref="AA273:AD273"/>
    <mergeCell ref="AA282:AC282"/>
    <mergeCell ref="AA283:AD283"/>
    <mergeCell ref="U284:W284"/>
    <mergeCell ref="Z284:AC284"/>
  </mergeCells>
  <conditionalFormatting sqref="A2:A66">
    <cfRule type="colorScale" priority="1">
      <colorScale>
        <cfvo type="min"/>
        <cfvo type="percentile" val="50"/>
        <cfvo type="max"/>
        <color rgb="FF63BE7B"/>
        <color rgb="FFFFEB84"/>
        <color rgb="FFF8696B"/>
      </colorScale>
    </cfRule>
  </conditionalFormatting>
  <pageMargins left="0.7" right="0.7" top="0.75" bottom="0.75" header="0.3" footer="0.3"/>
  <pageSetup paperSize="1" orientation="portrait"/>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8"/>
  <sheetViews>
    <sheetView workbookViewId="0">
      <selection activeCell="B2" sqref="B2:B6"/>
    </sheetView>
  </sheetViews>
  <sheetFormatPr defaultColWidth="9" defaultRowHeight="13.5" outlineLevelCol="3"/>
  <cols>
    <col min="1" max="1" width="8.625" style="11" customWidth="1"/>
    <col min="2" max="2" width="47" style="11" customWidth="1"/>
    <col min="4" max="4" width="9.875" customWidth="1"/>
  </cols>
  <sheetData>
    <row r="1" spans="1:4">
      <c r="A1" s="220" t="s">
        <v>2561</v>
      </c>
      <c r="B1" s="220" t="s">
        <v>2562</v>
      </c>
      <c r="C1" t="s">
        <v>2563</v>
      </c>
      <c r="D1" t="s">
        <v>2564</v>
      </c>
    </row>
    <row r="2" ht="27" spans="1:2">
      <c r="A2" s="221" t="s">
        <v>2565</v>
      </c>
      <c r="B2" s="222" t="s">
        <v>2566</v>
      </c>
    </row>
    <row r="3" ht="27" spans="1:4">
      <c r="A3" s="221" t="s">
        <v>2565</v>
      </c>
      <c r="B3" s="16" t="s">
        <v>2567</v>
      </c>
      <c r="D3">
        <v>3</v>
      </c>
    </row>
    <row r="4" ht="27" spans="1:2">
      <c r="A4" s="221" t="s">
        <v>2565</v>
      </c>
      <c r="B4" s="223" t="s">
        <v>2568</v>
      </c>
    </row>
    <row r="5" ht="27" spans="1:2">
      <c r="A5" s="221" t="s">
        <v>2565</v>
      </c>
      <c r="B5" s="222" t="s">
        <v>2569</v>
      </c>
    </row>
    <row r="6" ht="27" spans="1:2">
      <c r="A6" s="221" t="s">
        <v>2565</v>
      </c>
      <c r="B6" s="222" t="s">
        <v>2570</v>
      </c>
    </row>
    <row r="7" spans="1:2">
      <c r="A7" s="224"/>
      <c r="B7" s="16"/>
    </row>
    <row r="8" ht="27" spans="1:4">
      <c r="A8" s="221" t="s">
        <v>2571</v>
      </c>
      <c r="B8" s="16" t="s">
        <v>2572</v>
      </c>
      <c r="D8">
        <v>3</v>
      </c>
    </row>
    <row r="9" ht="27" spans="1:2">
      <c r="A9" s="221" t="s">
        <v>2571</v>
      </c>
      <c r="B9" s="222" t="s">
        <v>2573</v>
      </c>
    </row>
    <row r="10" ht="27" spans="1:2">
      <c r="A10" s="221" t="s">
        <v>2571</v>
      </c>
      <c r="B10" s="222" t="s">
        <v>2574</v>
      </c>
    </row>
    <row r="11" ht="27" spans="1:2">
      <c r="A11" s="221" t="s">
        <v>2571</v>
      </c>
      <c r="B11" s="223" t="s">
        <v>2575</v>
      </c>
    </row>
    <row r="12" ht="27" spans="1:2">
      <c r="A12" s="221" t="s">
        <v>2571</v>
      </c>
      <c r="B12" s="225" t="s">
        <v>2576</v>
      </c>
    </row>
    <row r="13" spans="1:2">
      <c r="A13" s="226"/>
      <c r="B13" s="222"/>
    </row>
    <row r="14" spans="1:2">
      <c r="A14" s="227" t="s">
        <v>2577</v>
      </c>
      <c r="B14" s="222" t="s">
        <v>2578</v>
      </c>
    </row>
    <row r="15" spans="1:2">
      <c r="A15" s="227" t="s">
        <v>2577</v>
      </c>
      <c r="B15" s="222" t="s">
        <v>2579</v>
      </c>
    </row>
    <row r="16" spans="1:2">
      <c r="A16" s="227" t="s">
        <v>2577</v>
      </c>
      <c r="B16" s="16" t="s">
        <v>2580</v>
      </c>
    </row>
    <row r="17" spans="1:2">
      <c r="A17" s="227" t="s">
        <v>2577</v>
      </c>
      <c r="B17" s="222" t="s">
        <v>2581</v>
      </c>
    </row>
    <row r="18" spans="1:4">
      <c r="A18" s="227" t="s">
        <v>2577</v>
      </c>
      <c r="B18" s="16" t="s">
        <v>2582</v>
      </c>
      <c r="D18">
        <v>3</v>
      </c>
    </row>
    <row r="19" spans="1:2">
      <c r="A19" s="226"/>
      <c r="B19" s="222"/>
    </row>
    <row r="20" spans="1:2">
      <c r="A20" s="226" t="s">
        <v>2583</v>
      </c>
      <c r="B20" s="222" t="s">
        <v>2584</v>
      </c>
    </row>
    <row r="21" spans="1:2">
      <c r="A21" s="226" t="s">
        <v>2583</v>
      </c>
      <c r="B21" s="228" t="s">
        <v>2585</v>
      </c>
    </row>
    <row r="22" ht="27" spans="1:4">
      <c r="A22" s="226" t="s">
        <v>2583</v>
      </c>
      <c r="B22" s="222" t="s">
        <v>2586</v>
      </c>
      <c r="D22">
        <v>3</v>
      </c>
    </row>
    <row r="23" ht="14.25" spans="1:2">
      <c r="A23" s="226" t="s">
        <v>2583</v>
      </c>
      <c r="B23" s="222" t="s">
        <v>2587</v>
      </c>
    </row>
    <row r="24" spans="1:2">
      <c r="A24" s="226"/>
      <c r="B24" s="222"/>
    </row>
    <row r="25" spans="1:2">
      <c r="A25" s="226" t="s">
        <v>2588</v>
      </c>
      <c r="B25" s="222" t="s">
        <v>2589</v>
      </c>
    </row>
    <row r="26" spans="1:2">
      <c r="A26" s="226" t="s">
        <v>2588</v>
      </c>
      <c r="B26" s="222" t="s">
        <v>2590</v>
      </c>
    </row>
    <row r="27" spans="1:2">
      <c r="A27" s="226" t="s">
        <v>2588</v>
      </c>
      <c r="B27" s="222" t="s">
        <v>2580</v>
      </c>
    </row>
    <row r="28" spans="1:2">
      <c r="A28" s="226" t="s">
        <v>2588</v>
      </c>
      <c r="B28" s="222" t="s">
        <v>2591</v>
      </c>
    </row>
    <row r="29" spans="1:2">
      <c r="A29" s="226" t="s">
        <v>2588</v>
      </c>
      <c r="B29" s="228" t="s">
        <v>2592</v>
      </c>
    </row>
    <row r="30" spans="1:2">
      <c r="A30" s="226"/>
      <c r="B30" s="222"/>
    </row>
    <row r="31" spans="1:2">
      <c r="A31" s="226" t="s">
        <v>2593</v>
      </c>
      <c r="B31" s="222" t="s">
        <v>2594</v>
      </c>
    </row>
    <row r="32" spans="1:2">
      <c r="A32" s="226" t="s">
        <v>2593</v>
      </c>
      <c r="B32" s="222" t="s">
        <v>2595</v>
      </c>
    </row>
    <row r="33" spans="1:2">
      <c r="A33" s="226" t="s">
        <v>2593</v>
      </c>
      <c r="B33" s="222" t="s">
        <v>2596</v>
      </c>
    </row>
    <row r="34" ht="27" spans="1:2">
      <c r="A34" s="226" t="s">
        <v>2593</v>
      </c>
      <c r="B34" s="222" t="s">
        <v>2597</v>
      </c>
    </row>
    <row r="35" spans="1:2">
      <c r="A35" s="226"/>
      <c r="B35" s="222"/>
    </row>
    <row r="36" spans="1:2">
      <c r="A36" s="226" t="s">
        <v>2598</v>
      </c>
      <c r="B36" s="222" t="s">
        <v>2599</v>
      </c>
    </row>
    <row r="37" spans="1:2">
      <c r="A37" s="226" t="s">
        <v>2598</v>
      </c>
      <c r="B37" s="222" t="s">
        <v>2600</v>
      </c>
    </row>
    <row r="38" spans="1:4">
      <c r="A38" s="226" t="s">
        <v>2598</v>
      </c>
      <c r="B38" s="222" t="s">
        <v>2601</v>
      </c>
      <c r="D38">
        <v>3</v>
      </c>
    </row>
    <row r="39" spans="1:2">
      <c r="A39" s="226" t="s">
        <v>2598</v>
      </c>
      <c r="B39" s="222" t="s">
        <v>2602</v>
      </c>
    </row>
    <row r="40" spans="1:3">
      <c r="A40" s="226" t="s">
        <v>2598</v>
      </c>
      <c r="B40" s="228" t="s">
        <v>2603</v>
      </c>
      <c r="C40" t="s">
        <v>2604</v>
      </c>
    </row>
    <row r="41" spans="1:2">
      <c r="A41" s="226"/>
      <c r="B41" s="222"/>
    </row>
    <row r="42" spans="1:2">
      <c r="A42" s="226" t="s">
        <v>2605</v>
      </c>
      <c r="B42" s="222" t="s">
        <v>2606</v>
      </c>
    </row>
    <row r="43" ht="14.25" spans="1:3">
      <c r="A43" s="226" t="s">
        <v>2605</v>
      </c>
      <c r="B43" s="222" t="s">
        <v>2607</v>
      </c>
      <c r="C43" t="s">
        <v>2608</v>
      </c>
    </row>
    <row r="44" spans="1:2">
      <c r="A44" s="226" t="s">
        <v>2605</v>
      </c>
      <c r="B44" s="222" t="s">
        <v>2609</v>
      </c>
    </row>
    <row r="45" spans="1:4">
      <c r="A45" s="226" t="s">
        <v>2605</v>
      </c>
      <c r="B45" s="222" t="s">
        <v>2610</v>
      </c>
      <c r="D45">
        <v>2</v>
      </c>
    </row>
    <row r="46" spans="1:2">
      <c r="A46" s="226" t="s">
        <v>2605</v>
      </c>
      <c r="B46" s="222" t="s">
        <v>2611</v>
      </c>
    </row>
    <row r="47" spans="1:2">
      <c r="A47" s="226"/>
      <c r="B47" s="222"/>
    </row>
    <row r="48" ht="27" spans="1:4">
      <c r="A48" s="226" t="s">
        <v>2612</v>
      </c>
      <c r="B48" s="222" t="s">
        <v>2613</v>
      </c>
      <c r="D48">
        <v>2</v>
      </c>
    </row>
    <row r="49" spans="1:2">
      <c r="A49" s="226" t="s">
        <v>2612</v>
      </c>
      <c r="B49" s="222" t="s">
        <v>2614</v>
      </c>
    </row>
    <row r="50" ht="14.25" spans="1:2">
      <c r="A50" s="226" t="s">
        <v>2612</v>
      </c>
      <c r="B50" s="222" t="s">
        <v>2615</v>
      </c>
    </row>
    <row r="51" spans="1:2">
      <c r="A51" s="226" t="s">
        <v>2612</v>
      </c>
      <c r="B51" s="222" t="s">
        <v>2616</v>
      </c>
    </row>
    <row r="52" spans="1:2">
      <c r="A52" s="226" t="s">
        <v>2612</v>
      </c>
      <c r="B52" s="222" t="s">
        <v>2617</v>
      </c>
    </row>
    <row r="53" spans="1:2">
      <c r="A53" s="226"/>
      <c r="B53" s="222"/>
    </row>
    <row r="54" spans="1:3">
      <c r="A54" s="226" t="s">
        <v>2618</v>
      </c>
      <c r="B54" s="222" t="s">
        <v>2619</v>
      </c>
      <c r="C54" t="s">
        <v>2608</v>
      </c>
    </row>
    <row r="55" spans="1:4">
      <c r="A55" s="226" t="s">
        <v>2618</v>
      </c>
      <c r="B55" s="222" t="s">
        <v>2620</v>
      </c>
      <c r="D55">
        <v>2</v>
      </c>
    </row>
    <row r="56" spans="1:2">
      <c r="A56" s="226" t="s">
        <v>2618</v>
      </c>
      <c r="B56" s="222" t="s">
        <v>2621</v>
      </c>
    </row>
    <row r="57" spans="1:2">
      <c r="A57" s="226" t="s">
        <v>2618</v>
      </c>
      <c r="B57" s="222" t="s">
        <v>2622</v>
      </c>
    </row>
    <row r="58" spans="1:2">
      <c r="A58" s="226" t="s">
        <v>2618</v>
      </c>
      <c r="B58" s="222" t="s">
        <v>2623</v>
      </c>
    </row>
    <row r="59" spans="1:2">
      <c r="A59" s="226"/>
      <c r="B59" s="222"/>
    </row>
    <row r="60" spans="1:2">
      <c r="A60" s="226" t="s">
        <v>2624</v>
      </c>
      <c r="B60" s="222" t="s">
        <v>2625</v>
      </c>
    </row>
    <row r="61" spans="1:3">
      <c r="A61" s="226" t="s">
        <v>2624</v>
      </c>
      <c r="B61" s="228" t="s">
        <v>2626</v>
      </c>
      <c r="C61" t="s">
        <v>2604</v>
      </c>
    </row>
    <row r="62" spans="1:2">
      <c r="A62" s="226" t="s">
        <v>2624</v>
      </c>
      <c r="B62" s="222" t="s">
        <v>2627</v>
      </c>
    </row>
    <row r="63" spans="1:2">
      <c r="A63" s="226" t="s">
        <v>2624</v>
      </c>
      <c r="B63" s="222" t="s">
        <v>2628</v>
      </c>
    </row>
    <row r="64" spans="1:4">
      <c r="A64" s="226" t="s">
        <v>2624</v>
      </c>
      <c r="B64" s="222" t="s">
        <v>2629</v>
      </c>
      <c r="D64">
        <v>2</v>
      </c>
    </row>
    <row r="65" spans="1:2">
      <c r="A65" s="226"/>
      <c r="B65" s="222"/>
    </row>
    <row r="66" spans="1:2">
      <c r="A66" s="226" t="s">
        <v>2630</v>
      </c>
      <c r="B66" s="222" t="s">
        <v>2631</v>
      </c>
    </row>
    <row r="67" spans="1:3">
      <c r="A67" s="226" t="s">
        <v>2630</v>
      </c>
      <c r="B67" s="222" t="s">
        <v>2632</v>
      </c>
      <c r="C67" t="s">
        <v>2608</v>
      </c>
    </row>
    <row r="68" spans="1:2">
      <c r="A68" s="226" t="s">
        <v>2630</v>
      </c>
      <c r="B68" s="222" t="s">
        <v>2633</v>
      </c>
    </row>
    <row r="69" spans="1:2">
      <c r="A69" s="226" t="s">
        <v>2630</v>
      </c>
      <c r="B69" s="222" t="s">
        <v>2634</v>
      </c>
    </row>
    <row r="70" spans="1:2">
      <c r="A70" s="226" t="s">
        <v>2630</v>
      </c>
      <c r="B70" s="222" t="s">
        <v>2635</v>
      </c>
    </row>
    <row r="71" spans="1:2">
      <c r="A71" s="226"/>
      <c r="B71" s="222"/>
    </row>
    <row r="72" spans="1:2">
      <c r="A72" s="226" t="s">
        <v>2636</v>
      </c>
      <c r="B72" s="222" t="s">
        <v>2637</v>
      </c>
    </row>
    <row r="73" spans="1:2">
      <c r="A73" s="226" t="s">
        <v>2636</v>
      </c>
      <c r="B73" s="222" t="s">
        <v>2638</v>
      </c>
    </row>
    <row r="74" spans="1:2">
      <c r="A74" s="226" t="s">
        <v>2636</v>
      </c>
      <c r="B74" s="222" t="s">
        <v>2639</v>
      </c>
    </row>
    <row r="75" spans="1:2">
      <c r="A75" s="226" t="s">
        <v>2636</v>
      </c>
      <c r="B75" s="222" t="s">
        <v>2628</v>
      </c>
    </row>
    <row r="76" spans="1:4">
      <c r="A76" s="226" t="s">
        <v>2636</v>
      </c>
      <c r="B76" s="222" t="s">
        <v>2640</v>
      </c>
      <c r="D76">
        <v>2</v>
      </c>
    </row>
    <row r="77" spans="1:2">
      <c r="A77" s="226"/>
      <c r="B77" s="222"/>
    </row>
    <row r="78" spans="1:2">
      <c r="A78" s="226" t="s">
        <v>2641</v>
      </c>
      <c r="B78" s="222" t="s">
        <v>2625</v>
      </c>
    </row>
    <row r="79" spans="1:2">
      <c r="A79" s="226" t="s">
        <v>2641</v>
      </c>
      <c r="B79" s="222" t="s">
        <v>2642</v>
      </c>
    </row>
    <row r="80" spans="1:2">
      <c r="A80" s="226" t="s">
        <v>2641</v>
      </c>
      <c r="B80" s="222" t="s">
        <v>2643</v>
      </c>
    </row>
    <row r="81" spans="1:2">
      <c r="A81" s="226" t="s">
        <v>2641</v>
      </c>
      <c r="B81" s="222" t="s">
        <v>2644</v>
      </c>
    </row>
    <row r="82" spans="1:4">
      <c r="A82" s="226" t="s">
        <v>2641</v>
      </c>
      <c r="B82" s="222" t="s">
        <v>2645</v>
      </c>
      <c r="D82">
        <v>2</v>
      </c>
    </row>
    <row r="83" spans="1:2">
      <c r="A83" s="226"/>
      <c r="B83" s="222"/>
    </row>
    <row r="84" spans="1:2">
      <c r="A84" s="226" t="s">
        <v>2646</v>
      </c>
      <c r="B84" s="222" t="s">
        <v>2647</v>
      </c>
    </row>
    <row r="85" spans="1:3">
      <c r="A85" s="226" t="s">
        <v>2646</v>
      </c>
      <c r="B85" s="222" t="s">
        <v>2648</v>
      </c>
      <c r="C85" t="s">
        <v>2608</v>
      </c>
    </row>
    <row r="86" spans="1:2">
      <c r="A86" s="226" t="s">
        <v>2646</v>
      </c>
      <c r="B86" s="222" t="s">
        <v>2649</v>
      </c>
    </row>
    <row r="87" spans="1:4">
      <c r="A87" s="226" t="s">
        <v>2646</v>
      </c>
      <c r="B87" s="222" t="s">
        <v>2610</v>
      </c>
      <c r="D87">
        <v>2</v>
      </c>
    </row>
    <row r="88" spans="1:2">
      <c r="A88" s="226" t="s">
        <v>2646</v>
      </c>
      <c r="B88" s="222" t="s">
        <v>2650</v>
      </c>
    </row>
    <row r="89" spans="1:2">
      <c r="A89" s="226"/>
      <c r="B89" s="222"/>
    </row>
    <row r="90" spans="1:2">
      <c r="A90" s="226" t="s">
        <v>2651</v>
      </c>
      <c r="B90" s="222" t="s">
        <v>2625</v>
      </c>
    </row>
    <row r="91" spans="1:2">
      <c r="A91" s="226" t="s">
        <v>2651</v>
      </c>
      <c r="B91" s="228" t="s">
        <v>2652</v>
      </c>
    </row>
    <row r="92" spans="1:2">
      <c r="A92" s="226" t="s">
        <v>2651</v>
      </c>
      <c r="B92" s="222" t="s">
        <v>2627</v>
      </c>
    </row>
    <row r="93" spans="1:4">
      <c r="A93" s="226" t="s">
        <v>2651</v>
      </c>
      <c r="B93" s="222" t="s">
        <v>2653</v>
      </c>
      <c r="D93">
        <v>3</v>
      </c>
    </row>
    <row r="94" spans="1:2">
      <c r="A94" s="226" t="s">
        <v>2651</v>
      </c>
      <c r="B94" s="222" t="s">
        <v>2654</v>
      </c>
    </row>
    <row r="95" spans="1:2">
      <c r="A95" s="226"/>
      <c r="B95" s="222"/>
    </row>
    <row r="96" spans="1:2">
      <c r="A96" s="226" t="s">
        <v>2655</v>
      </c>
      <c r="B96" s="222" t="s">
        <v>2656</v>
      </c>
    </row>
    <row r="97" spans="1:2">
      <c r="A97" s="226" t="s">
        <v>2655</v>
      </c>
      <c r="B97" s="222" t="s">
        <v>2657</v>
      </c>
    </row>
    <row r="98" spans="1:3">
      <c r="A98" s="226" t="s">
        <v>2655</v>
      </c>
      <c r="B98" s="222" t="s">
        <v>2658</v>
      </c>
      <c r="C98" t="s">
        <v>2608</v>
      </c>
    </row>
    <row r="99" spans="1:2">
      <c r="A99" s="226" t="s">
        <v>2655</v>
      </c>
      <c r="B99" s="222" t="s">
        <v>2659</v>
      </c>
    </row>
    <row r="100" spans="1:2">
      <c r="A100" s="226" t="s">
        <v>2655</v>
      </c>
      <c r="B100" s="222" t="s">
        <v>2660</v>
      </c>
    </row>
    <row r="101" spans="1:2">
      <c r="A101" s="226"/>
      <c r="B101" s="222"/>
    </row>
    <row r="102" spans="1:2">
      <c r="A102" s="226" t="s">
        <v>2661</v>
      </c>
      <c r="B102" s="222" t="s">
        <v>2662</v>
      </c>
    </row>
    <row r="103" spans="1:2">
      <c r="A103" s="226" t="s">
        <v>2661</v>
      </c>
      <c r="B103" s="222" t="s">
        <v>2663</v>
      </c>
    </row>
    <row r="104" spans="1:2">
      <c r="A104" s="226" t="s">
        <v>2661</v>
      </c>
      <c r="B104" s="222" t="s">
        <v>2664</v>
      </c>
    </row>
    <row r="105" spans="1:2">
      <c r="A105" s="226" t="s">
        <v>2661</v>
      </c>
      <c r="B105" s="222" t="s">
        <v>2665</v>
      </c>
    </row>
    <row r="106" spans="1:4">
      <c r="A106" s="226" t="s">
        <v>2661</v>
      </c>
      <c r="B106" s="222" t="s">
        <v>2666</v>
      </c>
      <c r="D106">
        <v>3</v>
      </c>
    </row>
    <row r="107" spans="1:2">
      <c r="A107" s="226"/>
      <c r="B107" s="222"/>
    </row>
    <row r="108" spans="1:2">
      <c r="A108" s="226" t="s">
        <v>2667</v>
      </c>
      <c r="B108" s="222" t="s">
        <v>2668</v>
      </c>
    </row>
    <row r="109" spans="1:2">
      <c r="A109" s="226" t="s">
        <v>2667</v>
      </c>
      <c r="B109" s="222" t="s">
        <v>2669</v>
      </c>
    </row>
    <row r="110" spans="1:2">
      <c r="A110" s="226" t="s">
        <v>2667</v>
      </c>
      <c r="B110" s="222" t="s">
        <v>2670</v>
      </c>
    </row>
    <row r="111" spans="1:3">
      <c r="A111" s="226" t="s">
        <v>2667</v>
      </c>
      <c r="B111" s="222" t="s">
        <v>2671</v>
      </c>
      <c r="C111" t="s">
        <v>2608</v>
      </c>
    </row>
    <row r="112" spans="1:4">
      <c r="A112" s="226" t="s">
        <v>2667</v>
      </c>
      <c r="B112" s="222" t="s">
        <v>2672</v>
      </c>
      <c r="D112">
        <v>3</v>
      </c>
    </row>
    <row r="113" spans="1:2">
      <c r="A113" s="226"/>
      <c r="B113" s="222"/>
    </row>
    <row r="114" spans="1:2">
      <c r="A114" s="226" t="s">
        <v>2673</v>
      </c>
      <c r="B114" s="222" t="s">
        <v>2647</v>
      </c>
    </row>
    <row r="115" spans="1:3">
      <c r="A115" s="226" t="s">
        <v>2673</v>
      </c>
      <c r="B115" s="222" t="s">
        <v>2648</v>
      </c>
      <c r="C115" t="s">
        <v>2608</v>
      </c>
    </row>
    <row r="116" spans="1:2">
      <c r="A116" s="226" t="s">
        <v>2673</v>
      </c>
      <c r="B116" s="222" t="s">
        <v>2674</v>
      </c>
    </row>
    <row r="117" spans="1:2">
      <c r="A117" s="226" t="s">
        <v>2673</v>
      </c>
      <c r="B117" s="222" t="s">
        <v>2675</v>
      </c>
    </row>
    <row r="118" spans="1:4">
      <c r="A118" s="226" t="s">
        <v>2673</v>
      </c>
      <c r="B118" s="222" t="s">
        <v>2676</v>
      </c>
      <c r="D118">
        <v>2</v>
      </c>
    </row>
  </sheetData>
  <autoFilter ref="A1:E118">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H57" sqref="H57"/>
    </sheetView>
  </sheetViews>
  <sheetFormatPr defaultColWidth="9" defaultRowHeight="13.5"/>
  <cols>
    <col min="1" max="1" width="31.625" customWidth="1"/>
    <col min="2" max="2" width="18.75" customWidth="1"/>
    <col min="3" max="3" width="3.375" customWidth="1"/>
    <col min="4" max="4" width="6.875" customWidth="1"/>
    <col min="5" max="5" width="4.625" customWidth="1"/>
    <col min="6" max="6" width="2.375" customWidth="1"/>
    <col min="7" max="7" width="13.5" customWidth="1"/>
    <col min="8" max="8" width="29.625" customWidth="1"/>
    <col min="9" max="9" width="9.125" customWidth="1"/>
    <col min="10" max="10" width="10.125" customWidth="1"/>
    <col min="11" max="11" width="11.25" customWidth="1"/>
    <col min="12" max="12" width="5.375" customWidth="1"/>
    <col min="13" max="13" width="9.375" customWidth="1"/>
  </cols>
  <sheetData>
    <row r="1" spans="1:13">
      <c r="A1" s="184" t="s">
        <v>2677</v>
      </c>
      <c r="B1" s="185" t="s">
        <v>2678</v>
      </c>
      <c r="C1" s="186" t="s">
        <v>2526</v>
      </c>
      <c r="D1" s="187" t="s">
        <v>2679</v>
      </c>
      <c r="E1" s="187" t="s">
        <v>2680</v>
      </c>
      <c r="F1" s="188" t="s">
        <v>2681</v>
      </c>
      <c r="G1" s="186" t="s">
        <v>2375</v>
      </c>
      <c r="H1" s="189" t="s">
        <v>2376</v>
      </c>
      <c r="I1" s="187" t="s">
        <v>2374</v>
      </c>
      <c r="J1" s="187" t="s">
        <v>2682</v>
      </c>
      <c r="K1" s="187" t="s">
        <v>2683</v>
      </c>
      <c r="L1" s="187" t="s">
        <v>2684</v>
      </c>
      <c r="M1" s="187" t="s">
        <v>2685</v>
      </c>
    </row>
    <row r="2" spans="1:13">
      <c r="A2" s="190" t="s">
        <v>2686</v>
      </c>
      <c r="B2" s="191" t="s">
        <v>2687</v>
      </c>
      <c r="C2" s="192">
        <v>5</v>
      </c>
      <c r="D2" s="192">
        <v>5</v>
      </c>
      <c r="E2" s="192">
        <v>11</v>
      </c>
      <c r="F2" s="193">
        <v>2</v>
      </c>
      <c r="G2" s="194"/>
      <c r="H2" s="195"/>
      <c r="I2" s="192"/>
      <c r="J2" s="218"/>
      <c r="K2" s="218"/>
      <c r="L2" s="218" t="s">
        <v>2684</v>
      </c>
      <c r="M2" s="218" t="s">
        <v>2688</v>
      </c>
    </row>
    <row r="3" spans="1:13">
      <c r="A3" s="190" t="s">
        <v>2689</v>
      </c>
      <c r="B3" s="191" t="s">
        <v>2687</v>
      </c>
      <c r="C3" s="192">
        <v>6</v>
      </c>
      <c r="D3" s="192">
        <v>3</v>
      </c>
      <c r="E3" s="192">
        <v>5</v>
      </c>
      <c r="F3" s="193">
        <v>2</v>
      </c>
      <c r="G3" s="194"/>
      <c r="H3" s="195"/>
      <c r="I3" s="192"/>
      <c r="J3" s="192"/>
      <c r="K3" s="192"/>
      <c r="L3" s="192"/>
      <c r="M3" s="192"/>
    </row>
    <row r="4" spans="1:13">
      <c r="A4" s="190" t="s">
        <v>2690</v>
      </c>
      <c r="B4" s="191" t="s">
        <v>2691</v>
      </c>
      <c r="C4" s="192">
        <v>4</v>
      </c>
      <c r="D4" s="192">
        <v>3</v>
      </c>
      <c r="E4" s="192">
        <v>3</v>
      </c>
      <c r="F4" s="193">
        <v>1</v>
      </c>
      <c r="G4" s="194"/>
      <c r="H4" s="195"/>
      <c r="I4" s="192"/>
      <c r="J4" s="192" t="s">
        <v>2682</v>
      </c>
      <c r="K4" s="192"/>
      <c r="L4" s="192"/>
      <c r="M4" s="192"/>
    </row>
    <row r="5" spans="1:13">
      <c r="A5" s="190" t="s">
        <v>2692</v>
      </c>
      <c r="B5" s="191" t="s">
        <v>2691</v>
      </c>
      <c r="C5" s="192">
        <v>4</v>
      </c>
      <c r="D5" s="192">
        <v>3</v>
      </c>
      <c r="E5" s="192">
        <v>16</v>
      </c>
      <c r="F5" s="193">
        <v>2</v>
      </c>
      <c r="G5" s="194"/>
      <c r="H5" s="195"/>
      <c r="I5" s="192"/>
      <c r="J5" s="192"/>
      <c r="K5" s="192"/>
      <c r="L5" s="192" t="s">
        <v>2684</v>
      </c>
      <c r="M5" s="192" t="s">
        <v>2688</v>
      </c>
    </row>
    <row r="6" spans="1:13">
      <c r="A6" s="190" t="s">
        <v>2693</v>
      </c>
      <c r="B6" s="191" t="s">
        <v>2694</v>
      </c>
      <c r="C6" s="192">
        <v>5</v>
      </c>
      <c r="D6" s="192">
        <v>4</v>
      </c>
      <c r="E6" s="192">
        <v>7</v>
      </c>
      <c r="F6" s="193">
        <v>1</v>
      </c>
      <c r="G6" s="194"/>
      <c r="H6" s="195"/>
      <c r="I6" s="192"/>
      <c r="J6" s="192"/>
      <c r="K6" s="192"/>
      <c r="L6" s="192"/>
      <c r="M6" s="192"/>
    </row>
    <row r="7" spans="1:13">
      <c r="A7" s="190" t="s">
        <v>2695</v>
      </c>
      <c r="B7" s="191" t="s">
        <v>2696</v>
      </c>
      <c r="C7" s="192">
        <v>5</v>
      </c>
      <c r="D7" s="192">
        <v>2</v>
      </c>
      <c r="E7" s="192">
        <v>4</v>
      </c>
      <c r="F7" s="193">
        <v>4</v>
      </c>
      <c r="G7" s="194"/>
      <c r="H7" s="195"/>
      <c r="I7" s="192"/>
      <c r="J7" s="192"/>
      <c r="K7" s="192"/>
      <c r="L7" s="192"/>
      <c r="M7" s="192"/>
    </row>
    <row r="8" spans="1:13">
      <c r="A8" s="190" t="s">
        <v>2697</v>
      </c>
      <c r="B8" s="191" t="s">
        <v>2691</v>
      </c>
      <c r="C8" s="192">
        <v>9</v>
      </c>
      <c r="D8" s="196">
        <v>6</v>
      </c>
      <c r="E8" s="196">
        <v>11</v>
      </c>
      <c r="F8" s="193">
        <v>5</v>
      </c>
      <c r="G8" s="194"/>
      <c r="H8" s="195"/>
      <c r="I8" s="192"/>
      <c r="J8" s="192"/>
      <c r="K8" s="192"/>
      <c r="L8" s="192"/>
      <c r="M8" s="192"/>
    </row>
    <row r="9" spans="1:13">
      <c r="A9" s="197" t="s">
        <v>2698</v>
      </c>
      <c r="B9" s="191" t="s">
        <v>2699</v>
      </c>
      <c r="C9" s="192">
        <v>5</v>
      </c>
      <c r="D9" s="825" t="s">
        <v>2700</v>
      </c>
      <c r="E9" s="196">
        <v>6</v>
      </c>
      <c r="F9" s="193">
        <v>2</v>
      </c>
      <c r="G9" s="194" t="s">
        <v>2701</v>
      </c>
      <c r="H9" s="195"/>
      <c r="I9" s="192"/>
      <c r="J9" s="192"/>
      <c r="K9" s="192"/>
      <c r="L9" s="192"/>
      <c r="M9" s="192"/>
    </row>
    <row r="10" spans="1:13">
      <c r="A10" s="190" t="s">
        <v>2702</v>
      </c>
      <c r="B10" s="191" t="s">
        <v>2699</v>
      </c>
      <c r="C10" s="192">
        <v>7</v>
      </c>
      <c r="D10" s="192">
        <v>4</v>
      </c>
      <c r="E10" s="192">
        <v>6</v>
      </c>
      <c r="F10" s="193">
        <v>4</v>
      </c>
      <c r="G10" s="194" t="s">
        <v>2703</v>
      </c>
      <c r="H10" s="195"/>
      <c r="I10" s="192"/>
      <c r="J10" s="192"/>
      <c r="K10" s="192"/>
      <c r="L10" s="192" t="s">
        <v>2684</v>
      </c>
      <c r="M10" s="192"/>
    </row>
    <row r="11" spans="1:13">
      <c r="A11" s="199" t="s">
        <v>2704</v>
      </c>
      <c r="B11" s="200" t="s">
        <v>2691</v>
      </c>
      <c r="C11" s="201">
        <v>4</v>
      </c>
      <c r="D11" s="201">
        <v>3</v>
      </c>
      <c r="E11" s="201">
        <v>4</v>
      </c>
      <c r="F11" s="202">
        <v>1</v>
      </c>
      <c r="G11" s="203" t="s">
        <v>2703</v>
      </c>
      <c r="H11" s="204" t="s">
        <v>2705</v>
      </c>
      <c r="I11" s="201"/>
      <c r="J11" s="201"/>
      <c r="K11" s="201" t="s">
        <v>2696</v>
      </c>
      <c r="L11" s="201" t="s">
        <v>2684</v>
      </c>
      <c r="M11" s="201" t="s">
        <v>2706</v>
      </c>
    </row>
    <row r="12" spans="1:13">
      <c r="A12" s="190" t="s">
        <v>2707</v>
      </c>
      <c r="B12" s="191" t="s">
        <v>2694</v>
      </c>
      <c r="C12" s="192">
        <v>8</v>
      </c>
      <c r="D12" s="192">
        <v>4</v>
      </c>
      <c r="E12" s="192">
        <v>5</v>
      </c>
      <c r="F12" s="193">
        <v>3</v>
      </c>
      <c r="G12" s="194" t="s">
        <v>2703</v>
      </c>
      <c r="H12" s="195"/>
      <c r="I12" s="192"/>
      <c r="J12" s="192"/>
      <c r="K12" s="192"/>
      <c r="L12" s="192"/>
      <c r="M12" s="192"/>
    </row>
    <row r="13" spans="1:13">
      <c r="A13" s="190" t="s">
        <v>2708</v>
      </c>
      <c r="B13" s="191" t="s">
        <v>2687</v>
      </c>
      <c r="C13" s="192">
        <v>12</v>
      </c>
      <c r="D13" s="192">
        <v>6</v>
      </c>
      <c r="E13" s="192">
        <v>9</v>
      </c>
      <c r="F13" s="193">
        <v>4</v>
      </c>
      <c r="G13" s="194" t="s">
        <v>2709</v>
      </c>
      <c r="H13" s="195" t="s">
        <v>2710</v>
      </c>
      <c r="I13" s="192" t="s">
        <v>2313</v>
      </c>
      <c r="J13" s="192"/>
      <c r="K13" s="192"/>
      <c r="L13" s="192" t="s">
        <v>2684</v>
      </c>
      <c r="M13" s="192"/>
    </row>
    <row r="14" spans="1:13">
      <c r="A14" s="190" t="s">
        <v>2711</v>
      </c>
      <c r="B14" s="191" t="s">
        <v>2696</v>
      </c>
      <c r="C14" s="192">
        <v>10</v>
      </c>
      <c r="D14" s="192">
        <v>5</v>
      </c>
      <c r="E14" s="192">
        <v>16</v>
      </c>
      <c r="F14" s="193">
        <v>5</v>
      </c>
      <c r="G14" s="194"/>
      <c r="H14" s="195"/>
      <c r="I14" s="192"/>
      <c r="J14" s="192"/>
      <c r="K14" s="192"/>
      <c r="L14" s="192" t="s">
        <v>2684</v>
      </c>
      <c r="M14" s="192" t="s">
        <v>2712</v>
      </c>
    </row>
    <row r="15" spans="1:13">
      <c r="A15" s="190" t="s">
        <v>2713</v>
      </c>
      <c r="B15" s="191" t="s">
        <v>2696</v>
      </c>
      <c r="C15" s="192">
        <v>11</v>
      </c>
      <c r="D15" s="192">
        <v>6</v>
      </c>
      <c r="E15" s="192">
        <v>8</v>
      </c>
      <c r="F15" s="193">
        <v>2</v>
      </c>
      <c r="G15" s="194"/>
      <c r="H15" s="195"/>
      <c r="I15" s="192"/>
      <c r="J15" s="192"/>
      <c r="K15" s="192"/>
      <c r="L15" s="192"/>
      <c r="M15" s="192" t="s">
        <v>2714</v>
      </c>
    </row>
    <row r="16" spans="1:13">
      <c r="A16" s="190" t="s">
        <v>2715</v>
      </c>
      <c r="B16" s="191" t="s">
        <v>2691</v>
      </c>
      <c r="C16" s="192">
        <v>9</v>
      </c>
      <c r="D16" s="192">
        <v>5</v>
      </c>
      <c r="E16" s="192">
        <v>9</v>
      </c>
      <c r="F16" s="193">
        <v>5</v>
      </c>
      <c r="G16" s="194"/>
      <c r="H16" s="195"/>
      <c r="I16" s="192"/>
      <c r="J16" s="192"/>
      <c r="K16" s="192"/>
      <c r="L16" s="192"/>
      <c r="M16" s="192"/>
    </row>
    <row r="17" spans="1:13">
      <c r="A17" s="190" t="s">
        <v>2716</v>
      </c>
      <c r="B17" s="191" t="s">
        <v>2696</v>
      </c>
      <c r="C17" s="192">
        <v>5</v>
      </c>
      <c r="D17" s="192">
        <v>4</v>
      </c>
      <c r="E17" s="192">
        <v>9</v>
      </c>
      <c r="F17" s="193">
        <v>2</v>
      </c>
      <c r="G17" s="194"/>
      <c r="H17" s="195"/>
      <c r="I17" s="192"/>
      <c r="J17" s="192"/>
      <c r="K17" s="192"/>
      <c r="L17" s="192" t="s">
        <v>2684</v>
      </c>
      <c r="M17" s="192" t="s">
        <v>2688</v>
      </c>
    </row>
    <row r="18" spans="1:13">
      <c r="A18" s="205" t="s">
        <v>2717</v>
      </c>
      <c r="B18" s="206" t="s">
        <v>2694</v>
      </c>
      <c r="C18" s="207">
        <v>10</v>
      </c>
      <c r="D18" s="207">
        <v>7</v>
      </c>
      <c r="E18" s="207">
        <v>12</v>
      </c>
      <c r="F18" s="208">
        <v>6</v>
      </c>
      <c r="G18" s="209" t="s">
        <v>2703</v>
      </c>
      <c r="H18" s="210"/>
      <c r="I18" s="207"/>
      <c r="J18" s="207" t="s">
        <v>2682</v>
      </c>
      <c r="K18" s="207"/>
      <c r="L18" s="192"/>
      <c r="M18" s="192" t="s">
        <v>2712</v>
      </c>
    </row>
    <row r="19" spans="1:13">
      <c r="A19" s="190" t="s">
        <v>2718</v>
      </c>
      <c r="B19" s="211" t="s">
        <v>2687</v>
      </c>
      <c r="C19" s="192">
        <v>8</v>
      </c>
      <c r="D19" s="192">
        <v>5</v>
      </c>
      <c r="E19" s="192">
        <v>5</v>
      </c>
      <c r="F19" s="193">
        <v>4</v>
      </c>
      <c r="G19" s="194" t="s">
        <v>2709</v>
      </c>
      <c r="H19" s="195"/>
      <c r="I19" s="192"/>
      <c r="J19" s="192"/>
      <c r="K19" s="192"/>
      <c r="L19" s="192" t="s">
        <v>2684</v>
      </c>
      <c r="M19" s="192"/>
    </row>
    <row r="20" spans="1:13">
      <c r="A20" s="212" t="s">
        <v>2719</v>
      </c>
      <c r="B20" s="213" t="s">
        <v>2687</v>
      </c>
      <c r="C20" s="201">
        <v>5</v>
      </c>
      <c r="D20" s="201">
        <v>3</v>
      </c>
      <c r="E20" s="201">
        <v>4</v>
      </c>
      <c r="F20" s="202">
        <v>2</v>
      </c>
      <c r="G20" s="203"/>
      <c r="H20" s="204"/>
      <c r="I20" s="201"/>
      <c r="J20" s="201"/>
      <c r="K20" s="201"/>
      <c r="L20" s="201" t="s">
        <v>2684</v>
      </c>
      <c r="M20" s="201" t="s">
        <v>2706</v>
      </c>
    </row>
    <row r="21" spans="1:13">
      <c r="A21" s="212" t="s">
        <v>2720</v>
      </c>
      <c r="B21" s="213" t="s">
        <v>2721</v>
      </c>
      <c r="C21" s="201">
        <v>3</v>
      </c>
      <c r="D21" s="201">
        <v>2</v>
      </c>
      <c r="E21" s="201">
        <v>4</v>
      </c>
      <c r="F21" s="202">
        <v>3</v>
      </c>
      <c r="G21" s="203"/>
      <c r="H21" s="204" t="s">
        <v>2722</v>
      </c>
      <c r="I21" s="201" t="s">
        <v>2723</v>
      </c>
      <c r="J21" s="201"/>
      <c r="K21" s="201" t="s">
        <v>2721</v>
      </c>
      <c r="L21" s="201" t="s">
        <v>2684</v>
      </c>
      <c r="M21" s="201" t="s">
        <v>2706</v>
      </c>
    </row>
    <row r="22" spans="1:13">
      <c r="A22" s="190" t="s">
        <v>2724</v>
      </c>
      <c r="B22" s="211" t="s">
        <v>2691</v>
      </c>
      <c r="C22" s="192">
        <v>4</v>
      </c>
      <c r="D22" s="192">
        <v>3</v>
      </c>
      <c r="E22" s="192">
        <v>4</v>
      </c>
      <c r="F22" s="193">
        <v>1</v>
      </c>
      <c r="G22" s="194"/>
      <c r="H22" s="195"/>
      <c r="I22" s="192"/>
      <c r="J22" s="192"/>
      <c r="K22" s="192"/>
      <c r="L22" s="192"/>
      <c r="M22" s="192"/>
    </row>
    <row r="23" spans="1:13">
      <c r="A23" s="205" t="s">
        <v>2725</v>
      </c>
      <c r="B23" s="214" t="s">
        <v>2691</v>
      </c>
      <c r="C23" s="207">
        <v>10</v>
      </c>
      <c r="D23" s="207">
        <v>6</v>
      </c>
      <c r="E23" s="207">
        <v>9</v>
      </c>
      <c r="F23" s="208">
        <v>2</v>
      </c>
      <c r="G23" s="209"/>
      <c r="H23" s="210"/>
      <c r="I23" s="207"/>
      <c r="J23" s="207" t="s">
        <v>2726</v>
      </c>
      <c r="K23" s="207"/>
      <c r="L23" s="207"/>
      <c r="M23" s="192" t="s">
        <v>2714</v>
      </c>
    </row>
    <row r="24" spans="1:13">
      <c r="A24" s="190" t="s">
        <v>2727</v>
      </c>
      <c r="B24" s="211" t="s">
        <v>2687</v>
      </c>
      <c r="C24" s="192">
        <v>11</v>
      </c>
      <c r="D24" s="192">
        <v>6</v>
      </c>
      <c r="E24" s="192">
        <v>6</v>
      </c>
      <c r="F24" s="193">
        <v>5</v>
      </c>
      <c r="G24" s="194"/>
      <c r="H24" s="192"/>
      <c r="I24" s="192" t="s">
        <v>2313</v>
      </c>
      <c r="J24" s="192"/>
      <c r="K24" s="192"/>
      <c r="L24" s="192" t="s">
        <v>2684</v>
      </c>
      <c r="M24" s="192" t="s">
        <v>2712</v>
      </c>
    </row>
    <row r="25" spans="1:13">
      <c r="A25" s="190" t="s">
        <v>2728</v>
      </c>
      <c r="B25" s="211" t="s">
        <v>2729</v>
      </c>
      <c r="C25" s="192">
        <v>11</v>
      </c>
      <c r="D25" s="192">
        <v>6</v>
      </c>
      <c r="E25" s="192">
        <v>7</v>
      </c>
      <c r="F25" s="193">
        <v>4</v>
      </c>
      <c r="G25" s="194"/>
      <c r="H25" s="192"/>
      <c r="I25" s="192"/>
      <c r="J25" s="192"/>
      <c r="K25" s="192"/>
      <c r="L25" s="192"/>
      <c r="M25" s="192" t="s">
        <v>2714</v>
      </c>
    </row>
    <row r="26" spans="1:13">
      <c r="A26" s="205" t="s">
        <v>2730</v>
      </c>
      <c r="B26" s="214" t="s">
        <v>2691</v>
      </c>
      <c r="C26" s="207">
        <v>10</v>
      </c>
      <c r="D26" s="215">
        <v>5</v>
      </c>
      <c r="E26" s="215">
        <v>9</v>
      </c>
      <c r="F26" s="208">
        <v>5</v>
      </c>
      <c r="G26" s="209"/>
      <c r="H26" s="207"/>
      <c r="I26" s="207"/>
      <c r="J26" s="207"/>
      <c r="K26" s="207"/>
      <c r="L26" s="207" t="s">
        <v>2684</v>
      </c>
      <c r="M26" s="207" t="s">
        <v>2712</v>
      </c>
    </row>
    <row r="27" spans="1:13">
      <c r="A27" s="190" t="s">
        <v>2731</v>
      </c>
      <c r="B27" s="211" t="s">
        <v>2696</v>
      </c>
      <c r="C27" s="192">
        <v>4</v>
      </c>
      <c r="D27" s="192">
        <v>3</v>
      </c>
      <c r="E27" s="192">
        <v>8</v>
      </c>
      <c r="F27" s="193">
        <v>0</v>
      </c>
      <c r="G27" s="194"/>
      <c r="H27" s="192"/>
      <c r="I27" s="192"/>
      <c r="J27" s="192"/>
      <c r="K27" s="192"/>
      <c r="L27" s="192"/>
      <c r="M27" s="192"/>
    </row>
    <row r="28" spans="1:13">
      <c r="A28" s="205" t="s">
        <v>2732</v>
      </c>
      <c r="B28" s="214" t="s">
        <v>2691</v>
      </c>
      <c r="C28" s="207">
        <v>8</v>
      </c>
      <c r="D28" s="207">
        <v>5</v>
      </c>
      <c r="E28" s="207">
        <v>5</v>
      </c>
      <c r="F28" s="208">
        <v>2</v>
      </c>
      <c r="G28" s="209" t="s">
        <v>2733</v>
      </c>
      <c r="H28" s="207"/>
      <c r="I28" s="207"/>
      <c r="J28" s="207" t="s">
        <v>2682</v>
      </c>
      <c r="K28" s="207"/>
      <c r="L28" s="207"/>
      <c r="M28" s="207"/>
    </row>
    <row r="29" spans="1:13">
      <c r="A29" s="212" t="s">
        <v>2734</v>
      </c>
      <c r="B29" s="213" t="s">
        <v>2735</v>
      </c>
      <c r="C29" s="201">
        <v>8</v>
      </c>
      <c r="D29" s="201">
        <v>4</v>
      </c>
      <c r="E29" s="201">
        <v>6</v>
      </c>
      <c r="F29" s="202">
        <v>4</v>
      </c>
      <c r="G29" s="203"/>
      <c r="H29" s="201"/>
      <c r="I29" s="201"/>
      <c r="J29" s="201"/>
      <c r="K29" s="201" t="s">
        <v>2696</v>
      </c>
      <c r="L29" s="201" t="s">
        <v>2684</v>
      </c>
      <c r="M29" s="201" t="s">
        <v>2706</v>
      </c>
    </row>
    <row r="30" spans="1:13">
      <c r="A30" s="205" t="s">
        <v>2736</v>
      </c>
      <c r="B30" s="214" t="s">
        <v>2699</v>
      </c>
      <c r="C30" s="207">
        <v>10</v>
      </c>
      <c r="D30" s="207">
        <v>5</v>
      </c>
      <c r="E30" s="207">
        <v>7</v>
      </c>
      <c r="F30" s="208">
        <v>6</v>
      </c>
      <c r="G30" s="209"/>
      <c r="H30" s="207" t="s">
        <v>2710</v>
      </c>
      <c r="I30" s="207"/>
      <c r="J30" s="207"/>
      <c r="K30" s="207"/>
      <c r="L30" s="207"/>
      <c r="M30" s="207"/>
    </row>
    <row r="31" spans="1:13">
      <c r="A31" s="190" t="s">
        <v>2737</v>
      </c>
      <c r="B31" s="211" t="s">
        <v>2691</v>
      </c>
      <c r="C31" s="207">
        <v>7</v>
      </c>
      <c r="D31" s="207">
        <v>4</v>
      </c>
      <c r="E31" s="207">
        <v>8</v>
      </c>
      <c r="F31" s="208">
        <v>2</v>
      </c>
      <c r="G31" s="194"/>
      <c r="H31" s="192"/>
      <c r="I31" s="192"/>
      <c r="J31" s="192"/>
      <c r="K31" s="192"/>
      <c r="L31" s="192" t="s">
        <v>2684</v>
      </c>
      <c r="M31" s="192" t="s">
        <v>2688</v>
      </c>
    </row>
    <row r="32" spans="1:13">
      <c r="A32" s="205" t="s">
        <v>2738</v>
      </c>
      <c r="B32" s="214" t="s">
        <v>2691</v>
      </c>
      <c r="C32" s="192">
        <v>11</v>
      </c>
      <c r="D32" s="192">
        <v>6</v>
      </c>
      <c r="E32" s="192">
        <v>6</v>
      </c>
      <c r="F32" s="193">
        <v>3</v>
      </c>
      <c r="G32" s="209"/>
      <c r="H32" s="207"/>
      <c r="I32" s="207"/>
      <c r="J32" s="207"/>
      <c r="K32" s="207"/>
      <c r="L32" s="207"/>
      <c r="M32" s="192"/>
    </row>
    <row r="33" spans="1:13">
      <c r="A33" s="190" t="s">
        <v>2739</v>
      </c>
      <c r="B33" s="211" t="s">
        <v>2687</v>
      </c>
      <c r="C33" s="207">
        <v>12</v>
      </c>
      <c r="D33" s="215">
        <v>5</v>
      </c>
      <c r="E33" s="215">
        <v>6</v>
      </c>
      <c r="F33" s="208">
        <v>4</v>
      </c>
      <c r="G33" s="192"/>
      <c r="H33" s="192"/>
      <c r="I33" s="192"/>
      <c r="J33" s="192"/>
      <c r="K33" s="192"/>
      <c r="L33" s="192" t="s">
        <v>2684</v>
      </c>
      <c r="M33" s="192" t="s">
        <v>2714</v>
      </c>
    </row>
    <row r="34" spans="1:13">
      <c r="A34" s="190" t="s">
        <v>2740</v>
      </c>
      <c r="B34" s="211" t="s">
        <v>2696</v>
      </c>
      <c r="C34" s="192">
        <v>8</v>
      </c>
      <c r="D34" s="192">
        <v>4</v>
      </c>
      <c r="E34" s="192">
        <v>4</v>
      </c>
      <c r="F34" s="193">
        <v>5</v>
      </c>
      <c r="G34" s="192" t="s">
        <v>2709</v>
      </c>
      <c r="H34" s="192"/>
      <c r="I34" s="192"/>
      <c r="J34" s="192"/>
      <c r="K34" s="192"/>
      <c r="L34" s="192" t="s">
        <v>2684</v>
      </c>
      <c r="M34" s="192"/>
    </row>
    <row r="35" spans="1:13">
      <c r="A35" s="216" t="s">
        <v>2741</v>
      </c>
      <c r="B35" s="214" t="s">
        <v>2687</v>
      </c>
      <c r="C35" s="192">
        <v>4</v>
      </c>
      <c r="D35" s="192" t="s">
        <v>2742</v>
      </c>
      <c r="E35" s="192" t="s">
        <v>2743</v>
      </c>
      <c r="F35" s="208">
        <v>2</v>
      </c>
      <c r="G35" s="207"/>
      <c r="H35" s="207"/>
      <c r="I35" s="207"/>
      <c r="J35" s="207"/>
      <c r="K35" s="207"/>
      <c r="L35" s="207"/>
      <c r="M35" s="192"/>
    </row>
    <row r="36" spans="1:13">
      <c r="A36" s="212" t="s">
        <v>2744</v>
      </c>
      <c r="B36" s="213" t="s">
        <v>2691</v>
      </c>
      <c r="C36" s="201">
        <v>5</v>
      </c>
      <c r="D36" s="201">
        <v>4</v>
      </c>
      <c r="E36" s="201">
        <v>7</v>
      </c>
      <c r="F36" s="202">
        <v>1</v>
      </c>
      <c r="G36" s="201"/>
      <c r="H36" s="201" t="s">
        <v>2722</v>
      </c>
      <c r="I36" s="201"/>
      <c r="J36" s="201"/>
      <c r="K36" s="201"/>
      <c r="L36" s="201" t="s">
        <v>2684</v>
      </c>
      <c r="M36" s="219" t="s">
        <v>2706</v>
      </c>
    </row>
    <row r="37" spans="1:13">
      <c r="A37" s="190" t="s">
        <v>2745</v>
      </c>
      <c r="B37" s="211" t="s">
        <v>2683</v>
      </c>
      <c r="C37" s="192">
        <v>11</v>
      </c>
      <c r="D37" s="192">
        <v>6</v>
      </c>
      <c r="E37" s="192">
        <v>8</v>
      </c>
      <c r="F37" s="208">
        <v>4</v>
      </c>
      <c r="G37" s="192"/>
      <c r="H37" s="192"/>
      <c r="I37" s="192"/>
      <c r="J37" s="192"/>
      <c r="K37" s="192"/>
      <c r="L37" s="192" t="s">
        <v>2684</v>
      </c>
      <c r="M37" s="207"/>
    </row>
    <row r="38" spans="1:13">
      <c r="A38" s="217" t="s">
        <v>2746</v>
      </c>
      <c r="B38" s="214" t="s">
        <v>2694</v>
      </c>
      <c r="C38" s="207">
        <v>7</v>
      </c>
      <c r="D38" s="207">
        <v>6</v>
      </c>
      <c r="E38" s="207">
        <v>15</v>
      </c>
      <c r="F38" s="193">
        <v>3</v>
      </c>
      <c r="G38" s="207" t="s">
        <v>2747</v>
      </c>
      <c r="H38" s="826" t="s">
        <v>2748</v>
      </c>
      <c r="I38" s="207"/>
      <c r="J38" s="207"/>
      <c r="K38" s="207"/>
      <c r="L38" s="207" t="s">
        <v>2684</v>
      </c>
      <c r="M38" s="207" t="s">
        <v>2688</v>
      </c>
    </row>
    <row r="39" spans="1:13">
      <c r="A39" s="190" t="s">
        <v>2749</v>
      </c>
      <c r="B39" s="211" t="s">
        <v>2694</v>
      </c>
      <c r="C39" s="192">
        <v>11</v>
      </c>
      <c r="D39" s="192">
        <v>6</v>
      </c>
      <c r="E39" s="192">
        <v>9</v>
      </c>
      <c r="F39" s="208">
        <v>5</v>
      </c>
      <c r="G39" s="192" t="s">
        <v>2701</v>
      </c>
      <c r="H39" s="192"/>
      <c r="I39" s="192"/>
      <c r="J39" s="192"/>
      <c r="K39" s="192"/>
      <c r="L39" s="192" t="s">
        <v>2684</v>
      </c>
      <c r="M39" s="192"/>
    </row>
    <row r="40" spans="1:13">
      <c r="A40" s="190" t="s">
        <v>2750</v>
      </c>
      <c r="B40" s="211" t="s">
        <v>2694</v>
      </c>
      <c r="C40" s="192">
        <v>4</v>
      </c>
      <c r="D40" s="192">
        <v>2</v>
      </c>
      <c r="E40" s="192">
        <v>4</v>
      </c>
      <c r="F40" s="193">
        <v>3</v>
      </c>
      <c r="G40" s="192" t="s">
        <v>2701</v>
      </c>
      <c r="H40" s="192"/>
      <c r="I40" s="192"/>
      <c r="J40" s="192"/>
      <c r="K40" s="192"/>
      <c r="L40" s="192" t="s">
        <v>2684</v>
      </c>
      <c r="M40" s="207"/>
    </row>
    <row r="41" spans="1:13">
      <c r="A41" s="190"/>
      <c r="B41" s="211"/>
      <c r="C41" s="192"/>
      <c r="D41" s="192"/>
      <c r="E41" s="192"/>
      <c r="F41" s="208"/>
      <c r="G41" s="192"/>
      <c r="H41" s="192"/>
      <c r="I41" s="192"/>
      <c r="J41" s="192"/>
      <c r="K41" s="192"/>
      <c r="L41" s="192"/>
      <c r="M41" s="192"/>
    </row>
    <row r="42" spans="1:13">
      <c r="A42" s="205"/>
      <c r="B42" s="214"/>
      <c r="C42" s="207"/>
      <c r="D42" s="207"/>
      <c r="E42" s="207"/>
      <c r="F42" s="193"/>
      <c r="G42" s="207"/>
      <c r="H42" s="207"/>
      <c r="I42" s="207"/>
      <c r="J42" s="207"/>
      <c r="K42" s="207"/>
      <c r="L42" s="207"/>
      <c r="M42" s="207"/>
    </row>
  </sheetData>
  <pageMargins left="0.75" right="0.75" top="1" bottom="1" header="0.5" footer="0.5"/>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0"/>
  <sheetViews>
    <sheetView topLeftCell="A20" workbookViewId="0">
      <selection activeCell="C48" sqref="C48"/>
    </sheetView>
  </sheetViews>
  <sheetFormatPr defaultColWidth="9" defaultRowHeight="13.5"/>
  <cols>
    <col min="6" max="6" width="47.5" customWidth="1"/>
  </cols>
  <sheetData>
    <row r="1" ht="27.75" spans="1:6">
      <c r="A1" t="s">
        <v>2751</v>
      </c>
      <c r="B1" s="170" t="s">
        <v>2752</v>
      </c>
      <c r="C1" s="170" t="s">
        <v>2753</v>
      </c>
      <c r="D1" s="170" t="s">
        <v>2754</v>
      </c>
      <c r="E1" s="171" t="s">
        <v>2755</v>
      </c>
      <c r="F1" s="170" t="s">
        <v>2756</v>
      </c>
    </row>
    <row r="2" ht="45.75" spans="1:6">
      <c r="A2" t="s">
        <v>2757</v>
      </c>
      <c r="B2" s="172" t="s">
        <v>2758</v>
      </c>
      <c r="C2" s="172" t="s">
        <v>2759</v>
      </c>
      <c r="D2" s="173" t="s">
        <v>2760</v>
      </c>
      <c r="E2" s="173" t="s">
        <v>18</v>
      </c>
      <c r="F2" s="174" t="s">
        <v>2761</v>
      </c>
    </row>
    <row r="3" ht="45.75" spans="1:6">
      <c r="A3" t="s">
        <v>2762</v>
      </c>
      <c r="B3" s="172" t="s">
        <v>2763</v>
      </c>
      <c r="C3" s="172" t="s">
        <v>2764</v>
      </c>
      <c r="D3" s="173" t="s">
        <v>2760</v>
      </c>
      <c r="E3" s="173" t="s">
        <v>18</v>
      </c>
      <c r="F3" s="172" t="s">
        <v>2765</v>
      </c>
    </row>
    <row r="4" ht="45.75" spans="1:6">
      <c r="A4" t="s">
        <v>2766</v>
      </c>
      <c r="B4" s="172" t="s">
        <v>2767</v>
      </c>
      <c r="C4" s="172" t="s">
        <v>2764</v>
      </c>
      <c r="D4" s="173" t="s">
        <v>2768</v>
      </c>
      <c r="E4" s="173" t="s">
        <v>17</v>
      </c>
      <c r="F4" s="172" t="s">
        <v>2769</v>
      </c>
    </row>
    <row r="5" ht="45.75" spans="1:6">
      <c r="A5" t="s">
        <v>2770</v>
      </c>
      <c r="B5" s="172" t="s">
        <v>59</v>
      </c>
      <c r="C5" s="172" t="s">
        <v>2764</v>
      </c>
      <c r="D5" s="173" t="s">
        <v>2768</v>
      </c>
      <c r="E5" s="173" t="s">
        <v>17</v>
      </c>
      <c r="F5" s="172" t="s">
        <v>2771</v>
      </c>
    </row>
    <row r="6" ht="15.75" spans="1:6">
      <c r="A6" t="s">
        <v>2772</v>
      </c>
      <c r="B6" s="172" t="s">
        <v>2773</v>
      </c>
      <c r="C6" s="172" t="s">
        <v>2764</v>
      </c>
      <c r="D6" s="173" t="s">
        <v>2774</v>
      </c>
      <c r="E6" s="173" t="s">
        <v>16</v>
      </c>
      <c r="F6" s="172" t="s">
        <v>2775</v>
      </c>
    </row>
    <row r="7" ht="15.75" spans="1:6">
      <c r="A7" t="s">
        <v>2776</v>
      </c>
      <c r="B7" s="172" t="s">
        <v>2777</v>
      </c>
      <c r="C7" s="172" t="s">
        <v>2764</v>
      </c>
      <c r="D7" s="173" t="s">
        <v>2774</v>
      </c>
      <c r="E7" s="173" t="s">
        <v>16</v>
      </c>
      <c r="F7" s="172" t="s">
        <v>2778</v>
      </c>
    </row>
    <row r="8" ht="45.75" spans="1:6">
      <c r="A8" t="s">
        <v>2779</v>
      </c>
      <c r="B8" s="172" t="s">
        <v>2780</v>
      </c>
      <c r="C8" s="172" t="s">
        <v>2781</v>
      </c>
      <c r="D8" s="173" t="s">
        <v>2782</v>
      </c>
      <c r="E8" s="173" t="s">
        <v>15</v>
      </c>
      <c r="F8" s="172" t="s">
        <v>2783</v>
      </c>
    </row>
    <row r="9" ht="45.75" spans="1:6">
      <c r="A9" t="s">
        <v>2784</v>
      </c>
      <c r="B9" s="172" t="s">
        <v>2785</v>
      </c>
      <c r="C9" s="172" t="s">
        <v>2786</v>
      </c>
      <c r="D9" s="173" t="s">
        <v>2782</v>
      </c>
      <c r="E9" s="173" t="s">
        <v>15</v>
      </c>
      <c r="F9" s="172" t="s">
        <v>2787</v>
      </c>
    </row>
    <row r="10" ht="43.5" spans="1:6">
      <c r="A10" t="s">
        <v>2788</v>
      </c>
      <c r="B10" s="172" t="s">
        <v>2789</v>
      </c>
      <c r="C10" s="172" t="s">
        <v>2790</v>
      </c>
      <c r="D10" s="173" t="s">
        <v>2791</v>
      </c>
      <c r="E10" s="173" t="s">
        <v>19</v>
      </c>
      <c r="F10" s="172" t="s">
        <v>2792</v>
      </c>
    </row>
    <row r="11" ht="15.75" spans="1:6">
      <c r="A11" t="s">
        <v>2793</v>
      </c>
      <c r="B11" s="172" t="s">
        <v>2794</v>
      </c>
      <c r="C11" s="172" t="s">
        <v>2795</v>
      </c>
      <c r="D11" s="173" t="s">
        <v>2791</v>
      </c>
      <c r="E11" s="173" t="s">
        <v>19</v>
      </c>
      <c r="F11" s="172" t="s">
        <v>2796</v>
      </c>
    </row>
    <row r="12" ht="15" spans="2:6">
      <c r="B12" s="172"/>
      <c r="C12" s="172"/>
      <c r="D12" s="172"/>
      <c r="E12" s="172"/>
      <c r="F12" s="174"/>
    </row>
    <row r="13" spans="1:1">
      <c r="A13" t="s">
        <v>2797</v>
      </c>
    </row>
    <row r="14" spans="1:1">
      <c r="A14" t="s">
        <v>2798</v>
      </c>
    </row>
    <row r="16" spans="1:1">
      <c r="A16" t="s">
        <v>2799</v>
      </c>
    </row>
    <row r="18" spans="1:1">
      <c r="A18" t="s">
        <v>2800</v>
      </c>
    </row>
    <row r="20" spans="1:1">
      <c r="A20" t="s">
        <v>2801</v>
      </c>
    </row>
    <row r="22" spans="1:1">
      <c r="A22" t="s">
        <v>2802</v>
      </c>
    </row>
    <row r="24" spans="1:1">
      <c r="A24" t="s">
        <v>2803</v>
      </c>
    </row>
    <row r="26" spans="1:1">
      <c r="A26" t="s">
        <v>2804</v>
      </c>
    </row>
    <row r="28" spans="1:1">
      <c r="A28" t="s">
        <v>2805</v>
      </c>
    </row>
    <row r="30" spans="1:1">
      <c r="A30" t="s">
        <v>2806</v>
      </c>
    </row>
    <row r="32" spans="1:1">
      <c r="A32" t="s">
        <v>2807</v>
      </c>
    </row>
    <row r="34" spans="1:1">
      <c r="A34" t="s">
        <v>2808</v>
      </c>
    </row>
    <row r="36" spans="1:1">
      <c r="A36" t="s">
        <v>2809</v>
      </c>
    </row>
    <row r="38" spans="1:1">
      <c r="A38" t="s">
        <v>2810</v>
      </c>
    </row>
    <row r="40" spans="1:1">
      <c r="A40" t="s">
        <v>2811</v>
      </c>
    </row>
    <row r="42" spans="1:1">
      <c r="A42" t="s">
        <v>2812</v>
      </c>
    </row>
    <row r="44" spans="1:1">
      <c r="A44" t="s">
        <v>2813</v>
      </c>
    </row>
    <row r="46" spans="1:1">
      <c r="A46" t="s">
        <v>2814</v>
      </c>
    </row>
    <row r="48" spans="1:1">
      <c r="A48" t="s">
        <v>2815</v>
      </c>
    </row>
    <row r="50" spans="1:1">
      <c r="A50" t="s">
        <v>2816</v>
      </c>
    </row>
    <row r="52" spans="1:1">
      <c r="A52" t="s">
        <v>2817</v>
      </c>
    </row>
    <row r="54" spans="1:1">
      <c r="A54" t="s">
        <v>2818</v>
      </c>
    </row>
    <row r="58" spans="1:12">
      <c r="A58" t="s">
        <v>2819</v>
      </c>
      <c r="B58" s="11"/>
      <c r="C58" s="11"/>
      <c r="D58" s="11"/>
      <c r="E58" s="11"/>
      <c r="F58" s="11"/>
      <c r="G58" s="11"/>
      <c r="H58" s="11"/>
      <c r="I58" s="11"/>
      <c r="J58" s="11"/>
      <c r="K58" s="11"/>
      <c r="L58" s="11"/>
    </row>
    <row r="59" spans="2:12">
      <c r="B59" s="11"/>
      <c r="C59" s="11"/>
      <c r="D59" s="11"/>
      <c r="E59" s="11"/>
      <c r="F59" s="11"/>
      <c r="G59" s="11"/>
      <c r="H59" s="11"/>
      <c r="I59" s="11"/>
      <c r="J59" s="11"/>
      <c r="K59" s="11"/>
      <c r="L59" s="11"/>
    </row>
    <row r="60" ht="14.25" spans="1:12">
      <c r="A60" t="s">
        <v>2820</v>
      </c>
      <c r="B60" s="11"/>
      <c r="C60" s="11"/>
      <c r="D60" s="11"/>
      <c r="E60" s="11"/>
      <c r="F60" s="11"/>
      <c r="G60" s="11"/>
      <c r="H60" s="11"/>
      <c r="I60" s="11"/>
      <c r="J60" s="11"/>
      <c r="K60" s="11"/>
      <c r="L60" s="11"/>
    </row>
    <row r="61" spans="2:12">
      <c r="B61" s="11"/>
      <c r="C61" s="11"/>
      <c r="D61" s="11"/>
      <c r="E61" s="11"/>
      <c r="F61" s="11"/>
      <c r="G61" s="11"/>
      <c r="H61" s="11"/>
      <c r="I61" s="11"/>
      <c r="J61" s="11"/>
      <c r="K61" s="11"/>
      <c r="L61" s="11"/>
    </row>
    <row r="62" spans="1:12">
      <c r="A62" t="s">
        <v>2821</v>
      </c>
      <c r="B62" s="11"/>
      <c r="C62" s="11"/>
      <c r="D62" s="11"/>
      <c r="E62" s="11"/>
      <c r="F62" s="11"/>
      <c r="G62" s="11"/>
      <c r="H62" s="11"/>
      <c r="I62" s="11"/>
      <c r="J62" s="11"/>
      <c r="K62" s="11"/>
      <c r="L62" s="11"/>
    </row>
    <row r="63" spans="2:12">
      <c r="B63" s="11"/>
      <c r="C63" s="11"/>
      <c r="D63" s="11"/>
      <c r="E63" s="11"/>
      <c r="F63" s="11"/>
      <c r="G63" s="11"/>
      <c r="H63" s="11"/>
      <c r="I63" s="11"/>
      <c r="J63" s="11"/>
      <c r="K63" s="11"/>
      <c r="L63" s="11"/>
    </row>
    <row r="64" spans="1:12">
      <c r="A64" t="s">
        <v>2822</v>
      </c>
      <c r="B64" s="11"/>
      <c r="C64" s="11"/>
      <c r="D64" s="11"/>
      <c r="E64" s="11"/>
      <c r="F64" s="11"/>
      <c r="G64" s="11"/>
      <c r="H64" s="11"/>
      <c r="I64" s="11"/>
      <c r="J64" s="11"/>
      <c r="K64" s="11"/>
      <c r="L64" s="11"/>
    </row>
    <row r="65" spans="2:12">
      <c r="B65" s="11"/>
      <c r="C65" s="11"/>
      <c r="D65" s="11"/>
      <c r="E65" s="11"/>
      <c r="F65" s="11"/>
      <c r="G65" s="11"/>
      <c r="H65" s="11"/>
      <c r="I65" s="11"/>
      <c r="J65" s="11"/>
      <c r="K65" s="11"/>
      <c r="L65" s="11"/>
    </row>
    <row r="66" spans="1:12">
      <c r="A66" t="s">
        <v>2823</v>
      </c>
      <c r="B66" s="11"/>
      <c r="C66" s="11"/>
      <c r="D66" s="11"/>
      <c r="E66" s="11"/>
      <c r="F66" s="11"/>
      <c r="G66" s="11"/>
      <c r="H66" s="11"/>
      <c r="I66" s="11"/>
      <c r="J66" s="11"/>
      <c r="K66" s="11"/>
      <c r="L66" s="11"/>
    </row>
    <row r="67" spans="2:12">
      <c r="B67" s="11"/>
      <c r="C67" s="11"/>
      <c r="D67" s="11"/>
      <c r="E67" s="11"/>
      <c r="F67" s="11"/>
      <c r="G67" s="11"/>
      <c r="H67" s="11"/>
      <c r="I67" s="11"/>
      <c r="J67" s="11"/>
      <c r="K67" s="11"/>
      <c r="L67" s="11"/>
    </row>
    <row r="68" spans="1:12">
      <c r="A68" t="s">
        <v>2824</v>
      </c>
      <c r="B68" s="11"/>
      <c r="C68" s="11"/>
      <c r="D68" s="11"/>
      <c r="E68" s="11"/>
      <c r="F68" s="11"/>
      <c r="G68" s="11"/>
      <c r="H68" s="11"/>
      <c r="I68" s="11"/>
      <c r="J68" s="11"/>
      <c r="K68" s="11"/>
      <c r="L68" s="11"/>
    </row>
    <row r="69" spans="1:12">
      <c r="A69" t="s">
        <v>2825</v>
      </c>
      <c r="B69" s="11"/>
      <c r="C69" s="11"/>
      <c r="D69" s="11"/>
      <c r="E69" s="11"/>
      <c r="F69" s="11"/>
      <c r="G69" s="11"/>
      <c r="H69" s="11"/>
      <c r="I69" s="11"/>
      <c r="J69" s="11"/>
      <c r="K69" s="11"/>
      <c r="L69" s="11"/>
    </row>
    <row r="70" spans="1:12">
      <c r="A70" t="s">
        <v>2826</v>
      </c>
      <c r="B70" s="11"/>
      <c r="C70" s="11"/>
      <c r="D70" s="11"/>
      <c r="E70" s="11"/>
      <c r="F70" s="11"/>
      <c r="G70" s="11"/>
      <c r="H70" s="11"/>
      <c r="I70" s="11"/>
      <c r="J70" s="11"/>
      <c r="K70" s="11"/>
      <c r="L70" s="11"/>
    </row>
    <row r="71" spans="1:12">
      <c r="A71" t="s">
        <v>2827</v>
      </c>
      <c r="B71" s="11"/>
      <c r="C71" s="11"/>
      <c r="D71" s="11"/>
      <c r="E71" s="11"/>
      <c r="F71" s="11"/>
      <c r="G71" s="11"/>
      <c r="H71" s="11"/>
      <c r="I71" s="11"/>
      <c r="J71" s="11"/>
      <c r="K71" s="11"/>
      <c r="L71" s="11"/>
    </row>
    <row r="72" spans="1:12">
      <c r="A72" t="s">
        <v>2828</v>
      </c>
      <c r="B72" s="11"/>
      <c r="C72" s="11"/>
      <c r="D72" s="11"/>
      <c r="E72" s="11"/>
      <c r="F72" s="11"/>
      <c r="G72" s="11"/>
      <c r="H72" s="11"/>
      <c r="I72" s="11"/>
      <c r="J72" s="11"/>
      <c r="K72" s="11"/>
      <c r="L72" s="11"/>
    </row>
    <row r="73" spans="1:12">
      <c r="A73" t="s">
        <v>2829</v>
      </c>
      <c r="B73" s="11"/>
      <c r="C73" s="11"/>
      <c r="D73" s="11"/>
      <c r="E73" s="11"/>
      <c r="F73" s="11"/>
      <c r="G73" s="11"/>
      <c r="H73" s="11"/>
      <c r="I73" s="11"/>
      <c r="J73" s="11"/>
      <c r="K73" s="11"/>
      <c r="L73" s="11"/>
    </row>
    <row r="74" spans="1:12">
      <c r="A74" t="s">
        <v>2830</v>
      </c>
      <c r="B74" s="11"/>
      <c r="C74" s="11"/>
      <c r="D74" s="11"/>
      <c r="E74" s="11"/>
      <c r="F74" s="11"/>
      <c r="G74" s="11"/>
      <c r="H74" s="11"/>
      <c r="I74" s="11"/>
      <c r="J74" s="11"/>
      <c r="K74" s="11"/>
      <c r="L74" s="11"/>
    </row>
    <row r="75" spans="1:12">
      <c r="A75" t="s">
        <v>2831</v>
      </c>
      <c r="B75" s="11"/>
      <c r="C75" s="11"/>
      <c r="D75" s="11"/>
      <c r="E75" s="11"/>
      <c r="F75" s="11"/>
      <c r="G75" s="11"/>
      <c r="H75" s="11"/>
      <c r="I75" s="11"/>
      <c r="J75" s="11"/>
      <c r="K75" s="11"/>
      <c r="L75" s="11"/>
    </row>
    <row r="76" spans="1:12">
      <c r="A76" t="s">
        <v>2832</v>
      </c>
      <c r="B76" s="11"/>
      <c r="C76" s="11"/>
      <c r="D76" s="11"/>
      <c r="E76" s="11"/>
      <c r="F76" s="11"/>
      <c r="G76" s="11"/>
      <c r="H76" s="11"/>
      <c r="I76" s="11"/>
      <c r="J76" s="11"/>
      <c r="K76" s="11"/>
      <c r="L76" s="11"/>
    </row>
    <row r="77" spans="1:12">
      <c r="A77" t="s">
        <v>2833</v>
      </c>
      <c r="B77" s="11"/>
      <c r="C77" s="11"/>
      <c r="D77" s="11"/>
      <c r="E77" s="11"/>
      <c r="F77" s="11"/>
      <c r="G77" s="11"/>
      <c r="H77" s="11"/>
      <c r="I77" s="11"/>
      <c r="J77" s="11"/>
      <c r="K77" s="11"/>
      <c r="L77" s="11"/>
    </row>
    <row r="78" spans="1:12">
      <c r="A78" t="s">
        <v>2834</v>
      </c>
      <c r="B78" s="11"/>
      <c r="C78" s="11"/>
      <c r="D78" s="11"/>
      <c r="E78" s="11"/>
      <c r="F78" s="11"/>
      <c r="G78" s="11"/>
      <c r="H78" s="11"/>
      <c r="I78" s="11"/>
      <c r="J78" s="11"/>
      <c r="K78" s="11"/>
      <c r="L78" s="11"/>
    </row>
    <row r="79" spans="1:12">
      <c r="A79" t="s">
        <v>2835</v>
      </c>
      <c r="B79" s="11"/>
      <c r="C79" s="11"/>
      <c r="D79" s="11"/>
      <c r="E79" s="11"/>
      <c r="F79" s="11"/>
      <c r="G79" s="11"/>
      <c r="H79" s="11"/>
      <c r="I79" s="11"/>
      <c r="J79" s="11"/>
      <c r="K79" s="11"/>
      <c r="L79" s="11"/>
    </row>
    <row r="80" spans="1:12">
      <c r="A80" t="s">
        <v>2836</v>
      </c>
      <c r="B80" s="11"/>
      <c r="C80" s="11"/>
      <c r="D80" s="11"/>
      <c r="E80" s="11"/>
      <c r="F80" s="11"/>
      <c r="G80" s="11"/>
      <c r="H80" s="11"/>
      <c r="I80" s="11"/>
      <c r="J80" s="11"/>
      <c r="K80" s="11"/>
      <c r="L80" s="11"/>
    </row>
    <row r="81" spans="1:12">
      <c r="A81" t="s">
        <v>2837</v>
      </c>
      <c r="B81" s="11"/>
      <c r="C81" s="11"/>
      <c r="D81" s="11"/>
      <c r="E81" s="11"/>
      <c r="F81" s="11"/>
      <c r="G81" s="11"/>
      <c r="H81" s="11"/>
      <c r="I81" s="11"/>
      <c r="J81" s="11"/>
      <c r="K81" s="11"/>
      <c r="L81" s="11"/>
    </row>
    <row r="82" spans="1:12">
      <c r="A82" t="s">
        <v>2838</v>
      </c>
      <c r="B82" s="11"/>
      <c r="C82" s="11"/>
      <c r="D82" s="11"/>
      <c r="E82" s="11"/>
      <c r="F82" s="11"/>
      <c r="G82" s="11"/>
      <c r="H82" s="11"/>
      <c r="I82" s="11"/>
      <c r="J82" s="11"/>
      <c r="K82" s="11"/>
      <c r="L82" s="11"/>
    </row>
    <row r="83" spans="1:12">
      <c r="A83" t="s">
        <v>2839</v>
      </c>
      <c r="B83" s="11"/>
      <c r="C83" s="11"/>
      <c r="D83" s="11"/>
      <c r="E83" s="11"/>
      <c r="F83" s="11"/>
      <c r="G83" s="11"/>
      <c r="H83" s="11"/>
      <c r="I83" s="11"/>
      <c r="J83" s="11"/>
      <c r="K83" s="11"/>
      <c r="L83" s="11"/>
    </row>
    <row r="84" spans="1:12">
      <c r="A84" t="s">
        <v>2840</v>
      </c>
      <c r="B84" s="11"/>
      <c r="C84" s="11"/>
      <c r="D84" s="11"/>
      <c r="E84" s="11"/>
      <c r="F84" s="11"/>
      <c r="G84" s="11"/>
      <c r="H84" s="11"/>
      <c r="I84" s="11"/>
      <c r="J84" s="11"/>
      <c r="K84" s="11"/>
      <c r="L84" s="11"/>
    </row>
    <row r="85" spans="1:12">
      <c r="A85" t="s">
        <v>2841</v>
      </c>
      <c r="B85" s="11"/>
      <c r="C85" s="11"/>
      <c r="D85" s="11"/>
      <c r="E85" s="11"/>
      <c r="F85" s="11"/>
      <c r="G85" s="11"/>
      <c r="H85" s="11"/>
      <c r="I85" s="11"/>
      <c r="J85" s="11"/>
      <c r="K85" s="11"/>
      <c r="L85" s="11"/>
    </row>
    <row r="86" spans="1:12">
      <c r="A86" t="s">
        <v>2842</v>
      </c>
      <c r="B86" s="11"/>
      <c r="C86" s="11"/>
      <c r="D86" s="11"/>
      <c r="E86" s="11"/>
      <c r="F86" s="11"/>
      <c r="G86" s="11"/>
      <c r="H86" s="11"/>
      <c r="I86" s="11"/>
      <c r="J86" s="11"/>
      <c r="K86" s="11"/>
      <c r="L86" s="11"/>
    </row>
    <row r="87" spans="2:12">
      <c r="B87" s="11"/>
      <c r="C87" s="11"/>
      <c r="D87" s="11"/>
      <c r="E87" s="11"/>
      <c r="F87" s="11"/>
      <c r="G87" s="11"/>
      <c r="H87" s="11"/>
      <c r="I87" s="11"/>
      <c r="J87" s="11"/>
      <c r="K87" s="11"/>
      <c r="L87" s="11"/>
    </row>
    <row r="88" spans="2:12">
      <c r="B88" s="11"/>
      <c r="C88" s="11"/>
      <c r="D88" s="11"/>
      <c r="E88" s="11"/>
      <c r="F88" s="11"/>
      <c r="G88" s="11"/>
      <c r="H88" s="11"/>
      <c r="I88" s="11"/>
      <c r="J88" s="11"/>
      <c r="K88" s="11"/>
      <c r="L88" s="11"/>
    </row>
    <row r="89" ht="17.25" spans="1:12">
      <c r="A89" s="22" t="s">
        <v>2843</v>
      </c>
      <c r="B89" s="11"/>
      <c r="C89" s="11"/>
      <c r="D89" s="11"/>
      <c r="E89" s="11"/>
      <c r="F89" s="11"/>
      <c r="G89" s="11"/>
      <c r="H89" s="11"/>
      <c r="I89" s="11"/>
      <c r="J89" s="11"/>
      <c r="K89" s="11"/>
      <c r="L89" s="11"/>
    </row>
    <row r="90" spans="2:12">
      <c r="B90" s="11"/>
      <c r="C90" s="11"/>
      <c r="D90" s="11"/>
      <c r="E90" s="11"/>
      <c r="F90" s="11"/>
      <c r="G90" s="11"/>
      <c r="H90" s="11"/>
      <c r="I90" s="11"/>
      <c r="J90" s="11"/>
      <c r="K90" s="11"/>
      <c r="L90" s="11"/>
    </row>
    <row r="91" spans="1:12">
      <c r="A91" s="175" t="s">
        <v>2844</v>
      </c>
      <c r="B91" s="11"/>
      <c r="C91" s="11"/>
      <c r="D91" s="11"/>
      <c r="E91" s="11"/>
      <c r="F91" s="11"/>
      <c r="G91" s="11"/>
      <c r="H91" s="11"/>
      <c r="I91" s="11"/>
      <c r="J91" s="11"/>
      <c r="K91" s="11"/>
      <c r="L91" s="11"/>
    </row>
    <row r="92" spans="1:12">
      <c r="A92" s="176" t="s">
        <v>2845</v>
      </c>
      <c r="B92" s="11"/>
      <c r="C92" s="11"/>
      <c r="D92" s="11"/>
      <c r="E92" s="11"/>
      <c r="F92" s="11"/>
      <c r="G92" s="11"/>
      <c r="H92" s="11"/>
      <c r="I92" s="11"/>
      <c r="J92" s="11"/>
      <c r="K92" s="11"/>
      <c r="L92" s="11"/>
    </row>
    <row r="93" spans="2:12">
      <c r="B93" s="11"/>
      <c r="C93" s="11"/>
      <c r="D93" s="11"/>
      <c r="E93" s="11"/>
      <c r="F93" s="11"/>
      <c r="G93" s="11"/>
      <c r="H93" s="11"/>
      <c r="I93" s="11"/>
      <c r="J93" s="11"/>
      <c r="K93" s="11"/>
      <c r="L93" s="11"/>
    </row>
    <row r="94" spans="1:12">
      <c r="A94" s="175" t="s">
        <v>2846</v>
      </c>
      <c r="B94" s="11"/>
      <c r="C94" s="11"/>
      <c r="D94" s="11"/>
      <c r="E94" s="11"/>
      <c r="F94" s="11"/>
      <c r="G94" s="11"/>
      <c r="H94" s="11"/>
      <c r="I94" s="11"/>
      <c r="J94" s="11"/>
      <c r="K94" s="11"/>
      <c r="L94" s="11"/>
    </row>
    <row r="95" spans="1:12">
      <c r="A95" s="176" t="s">
        <v>2847</v>
      </c>
      <c r="B95" s="11"/>
      <c r="C95" s="11"/>
      <c r="D95" s="11"/>
      <c r="E95" s="11"/>
      <c r="F95" s="11"/>
      <c r="G95" s="11"/>
      <c r="H95" s="11"/>
      <c r="I95" s="11"/>
      <c r="J95" s="11"/>
      <c r="K95" s="11"/>
      <c r="L95" s="11"/>
    </row>
    <row r="96" spans="2:12">
      <c r="B96" s="11"/>
      <c r="C96" s="11"/>
      <c r="D96" s="11"/>
      <c r="E96" s="11"/>
      <c r="F96" s="11"/>
      <c r="G96" s="11"/>
      <c r="H96" s="11"/>
      <c r="I96" s="11"/>
      <c r="J96" s="11"/>
      <c r="K96" s="11"/>
      <c r="L96" s="11"/>
    </row>
    <row r="97" spans="1:12">
      <c r="A97" s="175" t="s">
        <v>2848</v>
      </c>
      <c r="B97" s="11"/>
      <c r="C97" s="11"/>
      <c r="D97" s="11"/>
      <c r="E97" s="11"/>
      <c r="F97" s="11"/>
      <c r="G97" s="11"/>
      <c r="H97" s="11"/>
      <c r="I97" s="11"/>
      <c r="J97" s="11"/>
      <c r="K97" s="11"/>
      <c r="L97" s="11"/>
    </row>
    <row r="98" spans="1:12">
      <c r="A98" s="177" t="s">
        <v>2849</v>
      </c>
      <c r="B98" s="11"/>
      <c r="C98" s="11"/>
      <c r="D98" s="11"/>
      <c r="E98" s="11"/>
      <c r="F98" s="11"/>
      <c r="G98" s="11"/>
      <c r="H98" s="11"/>
      <c r="I98" s="11"/>
      <c r="J98" s="11"/>
      <c r="K98" s="11"/>
      <c r="L98" s="11"/>
    </row>
    <row r="99" spans="1:12">
      <c r="A99" s="177" t="s">
        <v>2850</v>
      </c>
      <c r="B99" s="11"/>
      <c r="C99" s="11"/>
      <c r="D99" s="11"/>
      <c r="E99" s="11"/>
      <c r="F99" s="11"/>
      <c r="G99" s="11"/>
      <c r="H99" s="11"/>
      <c r="I99" s="11"/>
      <c r="J99" s="11"/>
      <c r="K99" s="11"/>
      <c r="L99" s="11"/>
    </row>
    <row r="100" spans="1:12">
      <c r="A100" s="176" t="s">
        <v>2851</v>
      </c>
      <c r="B100" s="11"/>
      <c r="C100" s="11"/>
      <c r="D100" s="11"/>
      <c r="E100" s="11"/>
      <c r="F100" s="11"/>
      <c r="G100" s="11"/>
      <c r="H100" s="11"/>
      <c r="I100" s="11"/>
      <c r="J100" s="11"/>
      <c r="K100" s="11"/>
      <c r="L100" s="11"/>
    </row>
    <row r="101" spans="2:12">
      <c r="B101" s="11"/>
      <c r="C101" s="11"/>
      <c r="D101" s="11"/>
      <c r="E101" s="11"/>
      <c r="F101" s="11"/>
      <c r="G101" s="11"/>
      <c r="H101" s="11"/>
      <c r="I101" s="11"/>
      <c r="J101" s="11"/>
      <c r="K101" s="11"/>
      <c r="L101" s="11"/>
    </row>
    <row r="102" spans="2:12">
      <c r="B102" s="11"/>
      <c r="C102" s="11"/>
      <c r="D102" s="11"/>
      <c r="E102" s="11"/>
      <c r="F102" s="11"/>
      <c r="G102" s="11"/>
      <c r="H102" s="11"/>
      <c r="I102" s="11"/>
      <c r="J102" s="11"/>
      <c r="K102" s="11"/>
      <c r="L102" s="11"/>
    </row>
    <row r="103" spans="2:12">
      <c r="B103" s="11"/>
      <c r="C103" s="11"/>
      <c r="D103" s="11"/>
      <c r="E103" s="11"/>
      <c r="F103" s="11"/>
      <c r="G103" s="11"/>
      <c r="H103" s="11"/>
      <c r="I103" s="11"/>
      <c r="J103" s="11"/>
      <c r="K103" s="11"/>
      <c r="L103" s="11"/>
    </row>
    <row r="104" ht="18.75" spans="1:12">
      <c r="A104" s="178" t="s">
        <v>2852</v>
      </c>
      <c r="B104" s="11"/>
      <c r="C104" s="11"/>
      <c r="D104" s="11"/>
      <c r="E104" s="11"/>
      <c r="F104" s="11"/>
      <c r="G104" s="11"/>
      <c r="H104" s="11"/>
      <c r="I104" s="11"/>
      <c r="J104" s="11"/>
      <c r="K104" s="11"/>
      <c r="L104" s="11"/>
    </row>
    <row r="105" spans="2:12">
      <c r="B105" s="11"/>
      <c r="C105" s="11"/>
      <c r="D105" s="11"/>
      <c r="E105" s="11"/>
      <c r="F105" s="11"/>
      <c r="G105" s="11"/>
      <c r="H105" s="11"/>
      <c r="I105" s="11"/>
      <c r="J105" s="11"/>
      <c r="K105" s="11"/>
      <c r="L105" s="11"/>
    </row>
    <row r="106" spans="1:12">
      <c r="A106" s="176" t="s">
        <v>2853</v>
      </c>
      <c r="B106" s="11"/>
      <c r="C106" s="11"/>
      <c r="D106" s="11"/>
      <c r="E106" s="11"/>
      <c r="F106" s="11"/>
      <c r="G106" s="11"/>
      <c r="H106" s="11"/>
      <c r="I106" s="11"/>
      <c r="J106" s="11"/>
      <c r="K106" s="11"/>
      <c r="L106" s="11"/>
    </row>
    <row r="107" spans="2:12">
      <c r="B107" s="11"/>
      <c r="C107" s="11"/>
      <c r="D107" s="11"/>
      <c r="E107" s="11"/>
      <c r="F107" s="11"/>
      <c r="G107" s="11"/>
      <c r="H107" s="11"/>
      <c r="I107" s="11"/>
      <c r="J107" s="11"/>
      <c r="K107" s="11"/>
      <c r="L107" s="11"/>
    </row>
    <row r="108" spans="1:12">
      <c r="A108" s="179" t="s">
        <v>2854</v>
      </c>
      <c r="B108" s="11"/>
      <c r="C108" s="11"/>
      <c r="D108" s="11"/>
      <c r="E108" s="11"/>
      <c r="F108" s="11"/>
      <c r="G108" s="11"/>
      <c r="H108" s="11"/>
      <c r="I108" s="11"/>
      <c r="J108" s="11"/>
      <c r="K108" s="11"/>
      <c r="L108" s="11"/>
    </row>
    <row r="109" spans="2:12">
      <c r="B109" s="11"/>
      <c r="C109" s="11"/>
      <c r="D109" s="11"/>
      <c r="E109" s="11"/>
      <c r="F109" s="11"/>
      <c r="G109" s="11"/>
      <c r="H109" s="11"/>
      <c r="I109" s="11"/>
      <c r="J109" s="11"/>
      <c r="K109" s="11"/>
      <c r="L109" s="11"/>
    </row>
    <row r="110" spans="1:12">
      <c r="A110" s="180" t="s">
        <v>2855</v>
      </c>
      <c r="B110" s="11"/>
      <c r="C110" s="11"/>
      <c r="D110" s="11"/>
      <c r="E110" s="11"/>
      <c r="F110" s="11"/>
      <c r="G110" s="11"/>
      <c r="H110" s="11"/>
      <c r="I110" s="11"/>
      <c r="J110" s="11"/>
      <c r="K110" s="11"/>
      <c r="L110" s="11"/>
    </row>
    <row r="111" spans="2:12">
      <c r="B111" s="11"/>
      <c r="C111" s="11"/>
      <c r="D111" s="11"/>
      <c r="E111" s="11"/>
      <c r="F111" s="11"/>
      <c r="G111" s="11"/>
      <c r="H111" s="11"/>
      <c r="I111" s="11"/>
      <c r="J111" s="11"/>
      <c r="K111" s="11"/>
      <c r="L111" s="11"/>
    </row>
    <row r="112" spans="1:12">
      <c r="A112" s="176" t="s">
        <v>2856</v>
      </c>
      <c r="B112" s="11"/>
      <c r="C112" s="11"/>
      <c r="D112" s="11"/>
      <c r="E112" s="11"/>
      <c r="F112" s="11"/>
      <c r="G112" s="11"/>
      <c r="H112" s="11"/>
      <c r="I112" s="11"/>
      <c r="J112" s="11"/>
      <c r="K112" s="11"/>
      <c r="L112" s="11"/>
    </row>
    <row r="113" spans="2:12">
      <c r="B113" s="11"/>
      <c r="C113" s="11"/>
      <c r="D113" s="11"/>
      <c r="E113" s="11"/>
      <c r="F113" s="11"/>
      <c r="G113" s="11"/>
      <c r="H113" s="11"/>
      <c r="I113" s="11"/>
      <c r="J113" s="11"/>
      <c r="K113" s="11"/>
      <c r="L113" s="11"/>
    </row>
    <row r="114" spans="1:12">
      <c r="A114" s="179" t="s">
        <v>2857</v>
      </c>
      <c r="B114" s="11"/>
      <c r="C114" s="11"/>
      <c r="D114" s="11"/>
      <c r="E114" s="11"/>
      <c r="F114" s="11"/>
      <c r="G114" s="11"/>
      <c r="H114" s="11"/>
      <c r="I114" s="11"/>
      <c r="J114" s="11"/>
      <c r="K114" s="11"/>
      <c r="L114" s="11"/>
    </row>
    <row r="115" spans="2:12">
      <c r="B115" s="11"/>
      <c r="C115" s="11"/>
      <c r="D115" s="11"/>
      <c r="E115" s="11"/>
      <c r="F115" s="11"/>
      <c r="G115" s="11"/>
      <c r="H115" s="11"/>
      <c r="I115" s="11"/>
      <c r="J115" s="11"/>
      <c r="K115" s="11"/>
      <c r="L115" s="11"/>
    </row>
    <row r="116" spans="1:12">
      <c r="A116" s="180" t="s">
        <v>2858</v>
      </c>
      <c r="B116" s="11"/>
      <c r="C116" s="11"/>
      <c r="D116" s="11"/>
      <c r="E116" s="11"/>
      <c r="F116" s="11"/>
      <c r="G116" s="11"/>
      <c r="H116" s="11"/>
      <c r="I116" s="11"/>
      <c r="J116" s="11"/>
      <c r="K116" s="11"/>
      <c r="L116" s="11"/>
    </row>
    <row r="118" ht="18.75" spans="1:1">
      <c r="A118" s="178" t="s">
        <v>2859</v>
      </c>
    </row>
    <row r="120" spans="1:1">
      <c r="A120" s="175" t="s">
        <v>2860</v>
      </c>
    </row>
    <row r="122" spans="1:1">
      <c r="A122" s="175" t="s">
        <v>2861</v>
      </c>
    </row>
    <row r="125" spans="1:1">
      <c r="A125" s="176" t="s">
        <v>2862</v>
      </c>
    </row>
    <row r="127" spans="1:1">
      <c r="A127" s="176" t="s">
        <v>2863</v>
      </c>
    </row>
    <row r="129" spans="1:1">
      <c r="A129" s="175" t="s">
        <v>2864</v>
      </c>
    </row>
    <row r="132" spans="1:1">
      <c r="A132" s="177" t="s">
        <v>2865</v>
      </c>
    </row>
    <row r="134" spans="1:1">
      <c r="A134" s="177" t="s">
        <v>2866</v>
      </c>
    </row>
    <row r="136" ht="18.75" spans="1:1">
      <c r="A136" s="178" t="s">
        <v>2867</v>
      </c>
    </row>
    <row r="138" spans="1:1">
      <c r="A138" s="176" t="s">
        <v>2868</v>
      </c>
    </row>
    <row r="140" spans="1:1">
      <c r="A140" s="176" t="s">
        <v>2869</v>
      </c>
    </row>
    <row r="142" spans="1:1">
      <c r="A142" s="176" t="s">
        <v>2870</v>
      </c>
    </row>
    <row r="144" spans="1:1">
      <c r="A144" t="s">
        <v>2871</v>
      </c>
    </row>
    <row r="145" ht="14.25"/>
    <row r="146" ht="27.75" spans="1:4">
      <c r="A146" s="181" t="s">
        <v>2872</v>
      </c>
      <c r="B146" s="181" t="s">
        <v>2873</v>
      </c>
      <c r="C146" s="181" t="s">
        <v>2874</v>
      </c>
      <c r="D146" s="181" t="s">
        <v>2875</v>
      </c>
    </row>
    <row r="147" ht="165" spans="1:4">
      <c r="A147" s="181" t="s">
        <v>2876</v>
      </c>
      <c r="B147" s="181" t="s">
        <v>41</v>
      </c>
      <c r="C147" s="181" t="s">
        <v>2877</v>
      </c>
      <c r="D147" s="182" t="s">
        <v>2878</v>
      </c>
    </row>
    <row r="148" ht="193.5" spans="1:4">
      <c r="A148" s="181" t="s">
        <v>2876</v>
      </c>
      <c r="B148" s="181" t="s">
        <v>578</v>
      </c>
      <c r="C148" s="181" t="s">
        <v>2879</v>
      </c>
      <c r="D148" s="182" t="s">
        <v>2880</v>
      </c>
    </row>
    <row r="149" ht="178.5" spans="1:4">
      <c r="A149" s="181" t="s">
        <v>2876</v>
      </c>
      <c r="B149" s="181" t="s">
        <v>2881</v>
      </c>
      <c r="C149" s="181" t="s">
        <v>2882</v>
      </c>
      <c r="D149" s="182" t="s">
        <v>2883</v>
      </c>
    </row>
    <row r="150" ht="125.25" spans="1:4">
      <c r="A150" s="181" t="s">
        <v>2884</v>
      </c>
      <c r="B150" s="181" t="s">
        <v>2885</v>
      </c>
      <c r="C150" s="181" t="s">
        <v>2886</v>
      </c>
      <c r="D150" s="182" t="s">
        <v>2887</v>
      </c>
    </row>
    <row r="151" ht="109.5" spans="1:4">
      <c r="A151" s="181" t="s">
        <v>2888</v>
      </c>
      <c r="B151" s="181" t="s">
        <v>160</v>
      </c>
      <c r="C151" s="181" t="s">
        <v>2886</v>
      </c>
      <c r="D151" s="182" t="s">
        <v>2889</v>
      </c>
    </row>
    <row r="155" ht="18.75" spans="1:1">
      <c r="A155" s="178" t="s">
        <v>2890</v>
      </c>
    </row>
    <row r="157" spans="1:1">
      <c r="A157" s="176" t="s">
        <v>2891</v>
      </c>
    </row>
    <row r="159" spans="1:1">
      <c r="A159" s="180" t="s">
        <v>2892</v>
      </c>
    </row>
    <row r="161" spans="1:1">
      <c r="A161" s="180" t="s">
        <v>2893</v>
      </c>
    </row>
    <row r="163" spans="1:1">
      <c r="A163" s="176" t="s">
        <v>2894</v>
      </c>
    </row>
    <row r="165" spans="1:1">
      <c r="A165" s="180" t="s">
        <v>2895</v>
      </c>
    </row>
    <row r="167" spans="1:1">
      <c r="A167" s="180" t="s">
        <v>2896</v>
      </c>
    </row>
    <row r="169" spans="1:1">
      <c r="A169" s="176" t="s">
        <v>2897</v>
      </c>
    </row>
    <row r="171" ht="18.75" spans="1:1">
      <c r="A171" s="178" t="s">
        <v>2898</v>
      </c>
    </row>
    <row r="173" spans="1:1">
      <c r="A173" s="176" t="s">
        <v>2899</v>
      </c>
    </row>
    <row r="175" spans="1:1">
      <c r="A175" s="179" t="s">
        <v>2900</v>
      </c>
    </row>
    <row r="177" spans="1:1">
      <c r="A177" s="180" t="s">
        <v>2901</v>
      </c>
    </row>
    <row r="179" spans="1:1">
      <c r="A179" s="180" t="s">
        <v>2902</v>
      </c>
    </row>
    <row r="181" spans="1:1">
      <c r="A181" s="180" t="s">
        <v>2903</v>
      </c>
    </row>
    <row r="183" spans="1:1">
      <c r="A183" s="176" t="s">
        <v>2904</v>
      </c>
    </row>
    <row r="185" spans="1:1">
      <c r="A185" s="180" t="s">
        <v>2905</v>
      </c>
    </row>
    <row r="187" spans="1:1">
      <c r="A187" s="180" t="s">
        <v>2906</v>
      </c>
    </row>
    <row r="189" spans="1:1">
      <c r="A189" s="180" t="s">
        <v>2907</v>
      </c>
    </row>
    <row r="191" ht="18.75" spans="1:1">
      <c r="A191" s="178" t="s">
        <v>2908</v>
      </c>
    </row>
    <row r="193" spans="1:1">
      <c r="A193" s="176" t="s">
        <v>2909</v>
      </c>
    </row>
    <row r="195" spans="1:1">
      <c r="A195" s="176" t="s">
        <v>2910</v>
      </c>
    </row>
    <row r="197" spans="1:1">
      <c r="A197" s="176" t="s">
        <v>2911</v>
      </c>
    </row>
    <row r="201" spans="1:1">
      <c r="A201" s="175" t="s">
        <v>2912</v>
      </c>
    </row>
    <row r="203" ht="17.25" spans="1:1">
      <c r="A203" s="22" t="s">
        <v>2913</v>
      </c>
    </row>
    <row r="204" ht="17.25" spans="1:1">
      <c r="A204" s="22" t="s">
        <v>2914</v>
      </c>
    </row>
    <row r="205" ht="17.25" spans="1:1">
      <c r="A205" s="22" t="s">
        <v>2915</v>
      </c>
    </row>
    <row r="210" ht="17.25" spans="1:1">
      <c r="A210" s="22" t="s">
        <v>2916</v>
      </c>
    </row>
    <row r="211" ht="14.25" spans="1:1">
      <c r="A211" s="183" t="s">
        <v>2917</v>
      </c>
    </row>
    <row r="212" ht="17.25" spans="1:1">
      <c r="A212" s="22" t="s">
        <v>2918</v>
      </c>
    </row>
    <row r="213" ht="17.25" spans="1:1">
      <c r="A213" s="22" t="s">
        <v>2919</v>
      </c>
    </row>
    <row r="214" spans="1:1">
      <c r="A214" t="s">
        <v>2920</v>
      </c>
    </row>
    <row r="220" spans="1:1">
      <c r="A220" t="s">
        <v>2921</v>
      </c>
    </row>
  </sheetData>
  <hyperlinks>
    <hyperlink ref="A22" r:id="rId1" display="首选推荐： Resource Raid (Chapter 4) —— 14个敌人（全游戏常规关卡最高之一）。" tooltip="https://steamcommunity.com/sharedfiles/filedetails?id=2852045892"/>
    <hyperlink ref="A24" r:id="rId1" display="初期过渡： * Chapter 1 - 关卡 7 &amp; 8：各有 12个敌人。" tooltip="https://steamcommunity.com/sharedfiles/filedetails?id=2852045892"/>
    <hyperlink ref="A26" r:id="rId1" display="Chapter 3 - 关卡 6 &amp; 11：各有 15个敌人。" tooltip="https://steamcommunity.com/sharedfiles/filedetails?id=2852045892"/>
    <hyperlink ref="A28" r:id="rId1" display="后期高效： * Chapter 7 - 关卡 12：约 17个敌人。" tooltip="https://steamcommunity.com/sharedfiles/filedetails?id=2852045892"/>
    <hyperlink ref="A30" r:id="rId1" display="The Slammer (Ch 7 资源关)：18个敌人（目前最高）。" tooltip="https://steamcommunity.com/sharedfiles/filedetails?id=2852045892"/>
    <hyperlink ref="A36" r:id="rId1" display="最高产出： Kim 的好感任务 (Trust Mission) —— 3个箱子，且流程极短。" tooltip="https://steamcommunity.com/sharedfiles/filedetails?id=2852045892"/>
    <hyperlink ref="A38" r:id="rId1" display="关卡推荐： * Chapter 1 - 关卡 8：3个箱子。" tooltip="https://steamcommunity.com/sharedfiles/filedetails?id=2852045892"/>
    <hyperlink ref="A40" r:id="rId1" display="Chapter 4 - 关卡 4：2个箱子（这个关卡金币产出也非常可观）。" tooltip="https://steamcommunity.com/sharedfiles/filedetails?id=2852045892"/>
    <hyperlink ref="A42" r:id="rId1" display="Abandoned Shacks (Ch 7 资源关)：5个箱子（后期必刷）。" tooltip="https://steamcommunity.com/sharedfiles/filedetails?id=2852045892"/>
    <hyperlink ref="A46" r:id="rId1" display="刷金币 (Credits)： 优先打 Chapter 4 - 关卡 4，这关在玩家圈子里被称为“金币小矿山”。" tooltip="https://steamcommunity.com/sharedfiles/filedetails?id=2852045892"/>
    <hyperlink ref="A48" r:id="rId2" display="刷 eLDi (医药)： * Doing Minor Favors (Ch 2 资源关)：这关的箱子有固定概率产出 eLDi，是初期极缺药时的救命关。" tooltip="https://steamcommunity.com/sharedfiles/filedetails?id=2809032245"/>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7"/>
  <sheetViews>
    <sheetView topLeftCell="A267" workbookViewId="0">
      <selection activeCell="A282" sqref="A282"/>
    </sheetView>
  </sheetViews>
  <sheetFormatPr defaultColWidth="9" defaultRowHeight="13.5"/>
  <cols>
    <col min="1" max="1" width="161.25" customWidth="1"/>
    <col min="3" max="3" width="11.875" customWidth="1"/>
  </cols>
  <sheetData>
    <row r="1" spans="1:1">
      <c r="A1" t="s">
        <v>2922</v>
      </c>
    </row>
    <row r="2" spans="1:1">
      <c r="A2" t="s">
        <v>2923</v>
      </c>
    </row>
    <row r="3" spans="1:1">
      <c r="A3" t="s">
        <v>2924</v>
      </c>
    </row>
    <row r="4" spans="1:1">
      <c r="A4" t="s">
        <v>2925</v>
      </c>
    </row>
    <row r="6" spans="1:1">
      <c r="A6" t="s">
        <v>2926</v>
      </c>
    </row>
    <row r="7" spans="1:1">
      <c r="A7" t="s">
        <v>2927</v>
      </c>
    </row>
    <row r="8" spans="1:1">
      <c r="A8" t="s">
        <v>2928</v>
      </c>
    </row>
    <row r="9" spans="1:1">
      <c r="A9" t="s">
        <v>2929</v>
      </c>
    </row>
    <row r="15" ht="17.25" spans="1:1">
      <c r="A15" s="163"/>
    </row>
    <row r="16" ht="17.25" spans="1:1">
      <c r="A16" s="163"/>
    </row>
    <row r="17" ht="14.25" spans="1:1">
      <c r="A17" s="163" t="s">
        <v>2930</v>
      </c>
    </row>
    <row r="18" ht="34.5" spans="1:1">
      <c r="A18" s="163" t="s">
        <v>2931</v>
      </c>
    </row>
    <row r="19" ht="14.25" spans="1:1">
      <c r="A19" s="163" t="s">
        <v>2932</v>
      </c>
    </row>
    <row r="20" ht="17.25" spans="1:1">
      <c r="A20" s="163" t="s">
        <v>2933</v>
      </c>
    </row>
    <row r="21" ht="14.25" spans="1:1">
      <c r="A21" s="163" t="s">
        <v>2934</v>
      </c>
    </row>
    <row r="22" ht="17.25" spans="1:1">
      <c r="A22" s="163" t="s">
        <v>2935</v>
      </c>
    </row>
    <row r="23" ht="14.25" spans="1:1">
      <c r="A23" s="163" t="s">
        <v>2936</v>
      </c>
    </row>
    <row r="24" ht="17.25" spans="1:1">
      <c r="A24" s="163" t="s">
        <v>2937</v>
      </c>
    </row>
    <row r="25" ht="17.25" spans="1:1">
      <c r="A25" s="163" t="s">
        <v>2938</v>
      </c>
    </row>
    <row r="26" ht="17.25" spans="1:1">
      <c r="A26" s="163" t="s">
        <v>2939</v>
      </c>
    </row>
    <row r="27" ht="17.25" spans="1:1">
      <c r="A27" s="163"/>
    </row>
    <row r="28" ht="14.25" spans="1:1">
      <c r="A28" s="163" t="s">
        <v>2940</v>
      </c>
    </row>
    <row r="29" ht="17.25" spans="1:1">
      <c r="A29" s="163" t="s">
        <v>2941</v>
      </c>
    </row>
    <row r="30" ht="17.25" spans="1:1">
      <c r="A30" s="163" t="s">
        <v>2942</v>
      </c>
    </row>
    <row r="31" ht="14.25" spans="1:1">
      <c r="A31" s="163" t="s">
        <v>2943</v>
      </c>
    </row>
    <row r="32" ht="17.25" spans="1:1">
      <c r="A32" s="163" t="s">
        <v>2944</v>
      </c>
    </row>
    <row r="33" ht="14.25" spans="1:1">
      <c r="A33" s="163" t="s">
        <v>2945</v>
      </c>
    </row>
    <row r="34" ht="17.25" spans="1:1">
      <c r="A34" s="163" t="s">
        <v>2946</v>
      </c>
    </row>
    <row r="35" ht="14.25" spans="1:1">
      <c r="A35" s="163" t="s">
        <v>2947</v>
      </c>
    </row>
    <row r="36" ht="17.25" spans="1:1">
      <c r="A36" s="163" t="s">
        <v>2948</v>
      </c>
    </row>
    <row r="37" ht="14.25" spans="1:1">
      <c r="A37" s="163" t="s">
        <v>2949</v>
      </c>
    </row>
    <row r="38" ht="17.25" spans="1:1">
      <c r="A38" s="163" t="s">
        <v>2950</v>
      </c>
    </row>
    <row r="39" ht="14.25" spans="1:1">
      <c r="A39" s="163" t="s">
        <v>2951</v>
      </c>
    </row>
    <row r="40" ht="17.25" spans="1:1">
      <c r="A40" s="163" t="s">
        <v>2952</v>
      </c>
    </row>
    <row r="41" ht="14.25" spans="1:1">
      <c r="A41" s="163" t="s">
        <v>2953</v>
      </c>
    </row>
    <row r="42" ht="17.25" spans="1:1">
      <c r="A42" s="163" t="s">
        <v>2954</v>
      </c>
    </row>
    <row r="43" ht="14.25" spans="1:1">
      <c r="A43" s="163" t="s">
        <v>2955</v>
      </c>
    </row>
    <row r="44" ht="17.25" spans="1:1">
      <c r="A44" s="163" t="s">
        <v>2956</v>
      </c>
    </row>
    <row r="45" ht="14.25" spans="1:1">
      <c r="A45" s="163" t="s">
        <v>2957</v>
      </c>
    </row>
    <row r="46" ht="17.25" spans="1:1">
      <c r="A46" s="163" t="s">
        <v>2958</v>
      </c>
    </row>
    <row r="47" ht="14.25" spans="1:1">
      <c r="A47" s="163" t="s">
        <v>2959</v>
      </c>
    </row>
    <row r="48" ht="17.25" spans="1:1">
      <c r="A48" s="163" t="s">
        <v>2960</v>
      </c>
    </row>
    <row r="49" ht="14.25" spans="1:1">
      <c r="A49" s="163" t="s">
        <v>2961</v>
      </c>
    </row>
    <row r="50" ht="34.5" spans="1:1">
      <c r="A50" s="163" t="s">
        <v>2962</v>
      </c>
    </row>
    <row r="51" ht="17.25" spans="1:1">
      <c r="A51" s="163" t="s">
        <v>2963</v>
      </c>
    </row>
    <row r="52" ht="17.25" spans="1:1">
      <c r="A52" s="163"/>
    </row>
    <row r="53" ht="17.25" spans="1:1">
      <c r="A53" s="163"/>
    </row>
    <row r="54" ht="14.25" spans="1:1">
      <c r="A54" s="163" t="s">
        <v>2964</v>
      </c>
    </row>
    <row r="55" ht="34.5" spans="1:1">
      <c r="A55" s="163" t="s">
        <v>2965</v>
      </c>
    </row>
    <row r="56" ht="14.25" spans="1:1">
      <c r="A56" s="163" t="s">
        <v>2966</v>
      </c>
    </row>
    <row r="57" ht="17.25" spans="1:1">
      <c r="A57" s="163" t="s">
        <v>2967</v>
      </c>
    </row>
    <row r="58" ht="17.25" spans="1:1">
      <c r="A58" s="163" t="s">
        <v>2968</v>
      </c>
    </row>
    <row r="59" ht="17.25" spans="1:1">
      <c r="A59" s="163" t="s">
        <v>2969</v>
      </c>
    </row>
    <row r="60" ht="17.25" spans="1:1">
      <c r="A60" s="163" t="s">
        <v>2970</v>
      </c>
    </row>
    <row r="61" ht="14.25" spans="1:1">
      <c r="A61" s="163" t="s">
        <v>2971</v>
      </c>
    </row>
    <row r="62" ht="17.25" spans="1:1">
      <c r="A62" s="163"/>
    </row>
    <row r="63" ht="17.25" spans="1:1">
      <c r="A63" s="163"/>
    </row>
    <row r="64" ht="14.25" spans="1:1">
      <c r="A64" s="163" t="s">
        <v>2972</v>
      </c>
    </row>
    <row r="65" ht="51.75" spans="1:1">
      <c r="A65" s="163" t="s">
        <v>2973</v>
      </c>
    </row>
    <row r="66" ht="17.25" spans="1:1">
      <c r="A66" s="163" t="s">
        <v>2974</v>
      </c>
    </row>
    <row r="67" ht="14.25" spans="1:1">
      <c r="A67" s="163" t="s">
        <v>2975</v>
      </c>
    </row>
    <row r="68" ht="17.25" spans="1:1">
      <c r="A68" s="163" t="s">
        <v>2976</v>
      </c>
    </row>
    <row r="69" ht="17.25" spans="1:1">
      <c r="A69" s="163" t="s">
        <v>2977</v>
      </c>
    </row>
    <row r="70" ht="17.25" spans="1:1">
      <c r="A70" s="163" t="s">
        <v>2978</v>
      </c>
    </row>
    <row r="71" ht="14.25" spans="1:1">
      <c r="A71" s="163" t="s">
        <v>2979</v>
      </c>
    </row>
    <row r="72" ht="51.75" spans="1:1">
      <c r="A72" s="163" t="s">
        <v>2980</v>
      </c>
    </row>
    <row r="73" ht="17.25" spans="1:1">
      <c r="A73" s="163" t="s">
        <v>2981</v>
      </c>
    </row>
    <row r="74" ht="17.25" spans="1:1">
      <c r="A74" s="163" t="s">
        <v>2982</v>
      </c>
    </row>
    <row r="75" ht="17.25" spans="1:1">
      <c r="A75" s="163" t="s">
        <v>2983</v>
      </c>
    </row>
    <row r="76" ht="17.25" spans="1:1">
      <c r="A76" s="163" t="s">
        <v>2984</v>
      </c>
    </row>
    <row r="77" ht="17.25" spans="1:1">
      <c r="A77" s="163" t="s">
        <v>2985</v>
      </c>
    </row>
    <row r="78" ht="14.25" spans="1:1">
      <c r="A78" s="163" t="s">
        <v>2986</v>
      </c>
    </row>
    <row r="79" ht="17.25" spans="1:1">
      <c r="A79" s="163" t="s">
        <v>2987</v>
      </c>
    </row>
    <row r="80" ht="17.25" spans="1:1">
      <c r="A80" s="163"/>
    </row>
    <row r="81" ht="14.25" spans="1:1">
      <c r="A81" s="163" t="s">
        <v>2964</v>
      </c>
    </row>
    <row r="82" ht="34.5" spans="1:1">
      <c r="A82" s="163" t="s">
        <v>2988</v>
      </c>
    </row>
    <row r="83" ht="14.25" spans="1:1">
      <c r="A83" s="163" t="s">
        <v>2966</v>
      </c>
    </row>
    <row r="84" ht="34.5" spans="1:1">
      <c r="A84" s="163" t="s">
        <v>2989</v>
      </c>
    </row>
    <row r="85" ht="17.25" spans="1:1">
      <c r="A85" s="163" t="s">
        <v>2990</v>
      </c>
    </row>
    <row r="86" ht="17.25" spans="1:1">
      <c r="A86" s="163" t="s">
        <v>2991</v>
      </c>
    </row>
    <row r="87" ht="17.25" spans="1:1">
      <c r="A87" s="163" t="s">
        <v>2992</v>
      </c>
    </row>
    <row r="88" ht="14.25" spans="1:1">
      <c r="A88" s="163" t="s">
        <v>2971</v>
      </c>
    </row>
    <row r="89" ht="17.25" spans="1:1">
      <c r="A89" s="163"/>
    </row>
    <row r="90" ht="17.25" spans="1:1">
      <c r="A90" s="163"/>
    </row>
    <row r="91" ht="14.25" spans="1:1">
      <c r="A91" s="163" t="s">
        <v>2972</v>
      </c>
    </row>
    <row r="92" ht="69" spans="1:1">
      <c r="A92" s="163" t="s">
        <v>2993</v>
      </c>
    </row>
    <row r="93" ht="17.25" spans="1:1">
      <c r="A93" s="163" t="s">
        <v>2994</v>
      </c>
    </row>
    <row r="94" ht="14.25" spans="1:1">
      <c r="A94" s="163" t="s">
        <v>2975</v>
      </c>
    </row>
    <row r="95" ht="17.25" spans="1:1">
      <c r="A95" s="163" t="s">
        <v>2995</v>
      </c>
    </row>
    <row r="96" ht="17.25" spans="1:1">
      <c r="A96" s="163" t="s">
        <v>2996</v>
      </c>
    </row>
    <row r="97" ht="17.25" spans="1:1">
      <c r="A97" s="163" t="s">
        <v>2997</v>
      </c>
    </row>
    <row r="98" ht="14.25" spans="1:1">
      <c r="A98" s="163" t="s">
        <v>2979</v>
      </c>
    </row>
    <row r="99" ht="51.75" spans="1:1">
      <c r="A99" s="163" t="s">
        <v>2998</v>
      </c>
    </row>
    <row r="100" ht="17.25" spans="1:1">
      <c r="A100" s="163" t="s">
        <v>2999</v>
      </c>
    </row>
    <row r="101" ht="17.25" spans="1:1">
      <c r="A101" s="163" t="s">
        <v>3000</v>
      </c>
    </row>
    <row r="102" ht="17.25" spans="1:1">
      <c r="A102" s="163" t="s">
        <v>3001</v>
      </c>
    </row>
    <row r="103" ht="17.25" spans="1:1">
      <c r="A103" s="163" t="s">
        <v>3002</v>
      </c>
    </row>
    <row r="104" ht="17.25" spans="1:1">
      <c r="A104" s="163" t="s">
        <v>3003</v>
      </c>
    </row>
    <row r="105" ht="14.25" spans="1:1">
      <c r="A105" s="163" t="s">
        <v>3004</v>
      </c>
    </row>
    <row r="106" ht="34.5" spans="1:1">
      <c r="A106" s="163" t="s">
        <v>3005</v>
      </c>
    </row>
    <row r="107" ht="18" spans="1:1">
      <c r="A107" s="163" t="s">
        <v>3006</v>
      </c>
    </row>
    <row r="108" ht="17.25" spans="1:1">
      <c r="A108" s="163" t="s">
        <v>3007</v>
      </c>
    </row>
    <row r="109" ht="14.25" spans="1:1">
      <c r="A109" s="163" t="s">
        <v>3008</v>
      </c>
    </row>
    <row r="110" ht="17.25" spans="1:1">
      <c r="A110" s="163" t="s">
        <v>3009</v>
      </c>
    </row>
    <row r="111" ht="17.25" spans="1:1">
      <c r="A111" s="163" t="s">
        <v>3010</v>
      </c>
    </row>
    <row r="112" ht="17.25" spans="1:1">
      <c r="A112" s="163"/>
    </row>
    <row r="113" ht="14.25" spans="1:1">
      <c r="A113" s="163" t="s">
        <v>3011</v>
      </c>
    </row>
    <row r="114" ht="17.25" spans="1:1">
      <c r="A114" s="163" t="s">
        <v>3012</v>
      </c>
    </row>
    <row r="115" ht="17.25" spans="1:1">
      <c r="A115" s="163"/>
    </row>
    <row r="116" ht="17.25" spans="1:1">
      <c r="A116" s="163" t="s">
        <v>3013</v>
      </c>
    </row>
    <row r="117" ht="14.25" spans="1:1">
      <c r="A117" s="163" t="s">
        <v>3014</v>
      </c>
    </row>
    <row r="118" ht="17.25" spans="1:1">
      <c r="A118" s="163" t="s">
        <v>3015</v>
      </c>
    </row>
    <row r="119" ht="14.25" spans="1:1">
      <c r="A119" s="163" t="s">
        <v>3016</v>
      </c>
    </row>
    <row r="120" ht="17.25" spans="1:1">
      <c r="A120" s="163" t="s">
        <v>3017</v>
      </c>
    </row>
    <row r="121" ht="17.25" spans="1:1">
      <c r="A121" s="163" t="s">
        <v>3018</v>
      </c>
    </row>
    <row r="122" ht="14.25" spans="1:1">
      <c r="A122" s="163" t="s">
        <v>3019</v>
      </c>
    </row>
    <row r="123" ht="17.25" spans="1:1">
      <c r="A123" s="163" t="s">
        <v>3020</v>
      </c>
    </row>
    <row r="124" ht="17.25" spans="1:1">
      <c r="A124" s="163" t="s">
        <v>3021</v>
      </c>
    </row>
    <row r="125" ht="14.25" spans="1:1">
      <c r="A125" s="163" t="s">
        <v>3022</v>
      </c>
    </row>
    <row r="126" ht="34.5" spans="1:1">
      <c r="A126" s="163" t="s">
        <v>3023</v>
      </c>
    </row>
    <row r="127" ht="14.25" spans="1:1">
      <c r="A127" s="163" t="s">
        <v>3024</v>
      </c>
    </row>
    <row r="128" ht="17.25" spans="1:1">
      <c r="A128" s="163" t="s">
        <v>3025</v>
      </c>
    </row>
    <row r="129" ht="17.25" spans="1:1">
      <c r="A129" s="163"/>
    </row>
    <row r="130" ht="14.25" spans="1:1">
      <c r="A130" s="163" t="s">
        <v>3026</v>
      </c>
    </row>
    <row r="131" ht="17.25" spans="1:1">
      <c r="A131" s="163" t="s">
        <v>3027</v>
      </c>
    </row>
    <row r="132" ht="14.25" spans="1:1">
      <c r="A132" s="163" t="s">
        <v>3028</v>
      </c>
    </row>
    <row r="133" ht="17.25" spans="1:1">
      <c r="A133" s="163" t="s">
        <v>3029</v>
      </c>
    </row>
    <row r="134" ht="17.25" spans="1:1">
      <c r="A134" s="163" t="s">
        <v>3030</v>
      </c>
    </row>
    <row r="135" ht="17.25" spans="1:1">
      <c r="A135" s="163" t="s">
        <v>3031</v>
      </c>
    </row>
    <row r="136" ht="17.25" spans="1:1">
      <c r="A136" s="163" t="s">
        <v>3032</v>
      </c>
    </row>
    <row r="137" ht="17.25" spans="1:1">
      <c r="A137" s="163" t="s">
        <v>3033</v>
      </c>
    </row>
    <row r="138" ht="14.25" spans="1:1">
      <c r="A138" s="163" t="s">
        <v>3034</v>
      </c>
    </row>
    <row r="139" ht="17.25" spans="1:1">
      <c r="A139" s="163" t="s">
        <v>3035</v>
      </c>
    </row>
    <row r="140" ht="14.25" spans="1:1">
      <c r="A140" s="163" t="s">
        <v>3036</v>
      </c>
    </row>
    <row r="141" ht="51.75" spans="1:1">
      <c r="A141" s="163" t="s">
        <v>3037</v>
      </c>
    </row>
    <row r="142" ht="14.25" spans="1:1">
      <c r="A142" s="163" t="s">
        <v>3038</v>
      </c>
    </row>
    <row r="143" ht="17.25" spans="1:1">
      <c r="A143" s="163" t="s">
        <v>3039</v>
      </c>
    </row>
    <row r="144" ht="17.25" spans="1:1">
      <c r="A144" s="163" t="s">
        <v>3040</v>
      </c>
    </row>
    <row r="145" ht="17.25" spans="1:1">
      <c r="A145" s="163" t="s">
        <v>3041</v>
      </c>
    </row>
    <row r="146" ht="17.25" spans="1:1">
      <c r="A146" s="163" t="s">
        <v>3042</v>
      </c>
    </row>
    <row r="147" ht="14.25" spans="1:1">
      <c r="A147" s="163" t="s">
        <v>3043</v>
      </c>
    </row>
    <row r="148" ht="34.5" spans="1:1">
      <c r="A148" s="163" t="s">
        <v>3044</v>
      </c>
    </row>
    <row r="149" ht="17.25" spans="1:1">
      <c r="A149" s="163"/>
    </row>
    <row r="150" ht="17.25" spans="1:1">
      <c r="A150" s="163"/>
    </row>
    <row r="151" ht="14.25" spans="1:1">
      <c r="A151" s="163" t="s">
        <v>3045</v>
      </c>
    </row>
    <row r="152" ht="17.25" spans="1:1">
      <c r="A152" s="163" t="s">
        <v>3046</v>
      </c>
    </row>
    <row r="153" ht="14.25" spans="1:1">
      <c r="A153" s="163" t="s">
        <v>3047</v>
      </c>
    </row>
    <row r="154" ht="17.25" spans="1:1">
      <c r="A154" s="163" t="s">
        <v>3048</v>
      </c>
    </row>
    <row r="155" ht="17.25" spans="1:1">
      <c r="A155" s="163" t="s">
        <v>3049</v>
      </c>
    </row>
    <row r="156" ht="14.25" spans="1:1">
      <c r="A156" s="163" t="s">
        <v>3050</v>
      </c>
    </row>
    <row r="157" ht="17.25" spans="1:1">
      <c r="A157" s="163" t="s">
        <v>3051</v>
      </c>
    </row>
    <row r="158" ht="17.25" spans="1:1">
      <c r="A158" s="163" t="s">
        <v>3052</v>
      </c>
    </row>
    <row r="159" ht="17.25" spans="1:1">
      <c r="A159" s="163" t="s">
        <v>3053</v>
      </c>
    </row>
    <row r="160" ht="14.25" spans="1:1">
      <c r="A160" s="163" t="s">
        <v>3054</v>
      </c>
    </row>
    <row r="161" ht="17.25" spans="1:1">
      <c r="A161" s="163" t="s">
        <v>3055</v>
      </c>
    </row>
    <row r="162" ht="14.25" spans="1:1">
      <c r="A162" s="163" t="s">
        <v>3056</v>
      </c>
    </row>
    <row r="163" ht="17.25" spans="1:1">
      <c r="A163" s="163" t="s">
        <v>3057</v>
      </c>
    </row>
    <row r="164" ht="17.25" spans="1:1">
      <c r="A164" s="163" t="s">
        <v>3058</v>
      </c>
    </row>
    <row r="165" ht="14.25" spans="1:1">
      <c r="A165" s="163" t="s">
        <v>3059</v>
      </c>
    </row>
    <row r="166" ht="17.25" spans="1:1">
      <c r="A166" s="163" t="s">
        <v>3060</v>
      </c>
    </row>
    <row r="167" ht="14.25" spans="1:1">
      <c r="A167" s="163" t="s">
        <v>3061</v>
      </c>
    </row>
    <row r="168" ht="17.25" spans="1:1">
      <c r="A168" s="163" t="s">
        <v>3062</v>
      </c>
    </row>
    <row r="169" ht="17.25" spans="1:1">
      <c r="A169" s="163" t="s">
        <v>3063</v>
      </c>
    </row>
    <row r="170" ht="17.25" spans="1:1">
      <c r="A170" s="163" t="s">
        <v>3064</v>
      </c>
    </row>
    <row r="171" ht="17.25" spans="1:1">
      <c r="A171" s="163"/>
    </row>
    <row r="172" ht="14.25" spans="1:1">
      <c r="A172" s="163" t="s">
        <v>3065</v>
      </c>
    </row>
    <row r="173" ht="17.25" spans="1:1">
      <c r="A173" s="163" t="s">
        <v>3066</v>
      </c>
    </row>
    <row r="174" ht="14.25" spans="1:1">
      <c r="A174" s="163" t="s">
        <v>3067</v>
      </c>
    </row>
    <row r="175" ht="17.25" spans="1:1">
      <c r="A175" s="163" t="s">
        <v>3068</v>
      </c>
    </row>
    <row r="176" ht="17.25" spans="1:1">
      <c r="A176" s="163" t="s">
        <v>3069</v>
      </c>
    </row>
    <row r="177" ht="14.25" spans="1:1">
      <c r="A177" s="163" t="s">
        <v>3070</v>
      </c>
    </row>
    <row r="178" ht="17.25" spans="1:1">
      <c r="A178" s="163" t="s">
        <v>3071</v>
      </c>
    </row>
    <row r="179" ht="14.25" spans="1:1">
      <c r="A179" s="163" t="s">
        <v>3072</v>
      </c>
    </row>
    <row r="180" ht="17.25" spans="1:1">
      <c r="A180" s="163" t="s">
        <v>3073</v>
      </c>
    </row>
    <row r="181" ht="17.25" spans="1:1">
      <c r="A181" s="163" t="s">
        <v>3074</v>
      </c>
    </row>
    <row r="182" ht="14.25" spans="1:1">
      <c r="A182" s="163" t="s">
        <v>3075</v>
      </c>
    </row>
    <row r="183" ht="17.25" spans="1:1">
      <c r="A183" s="163" t="s">
        <v>3076</v>
      </c>
    </row>
    <row r="184" ht="17.25" spans="1:1">
      <c r="A184" s="163" t="s">
        <v>3077</v>
      </c>
    </row>
    <row r="185" ht="17.25" spans="1:1">
      <c r="A185" s="163" t="s">
        <v>3078</v>
      </c>
    </row>
    <row r="186" ht="17.25" spans="1:1">
      <c r="A186" s="163"/>
    </row>
    <row r="187" ht="14.25" spans="1:1">
      <c r="A187" s="163" t="s">
        <v>3079</v>
      </c>
    </row>
    <row r="188" ht="17.25" spans="1:1">
      <c r="A188" s="163" t="s">
        <v>3080</v>
      </c>
    </row>
    <row r="189" ht="17.25" spans="1:1">
      <c r="A189" s="163"/>
    </row>
    <row r="190" ht="17.25" spans="1:1">
      <c r="A190" s="163" t="s">
        <v>3081</v>
      </c>
    </row>
    <row r="191" ht="17.25" spans="1:1">
      <c r="A191" s="163" t="s">
        <v>3082</v>
      </c>
    </row>
    <row r="192" ht="14.25" spans="1:1">
      <c r="A192" s="163" t="s">
        <v>3083</v>
      </c>
    </row>
    <row r="193" ht="17.25" spans="1:1">
      <c r="A193" s="163" t="s">
        <v>3084</v>
      </c>
    </row>
    <row r="194" ht="14.25" spans="1:1">
      <c r="A194" s="163" t="s">
        <v>3085</v>
      </c>
    </row>
    <row r="195" ht="17.25" spans="1:1">
      <c r="A195" s="163" t="s">
        <v>3086</v>
      </c>
    </row>
    <row r="196" ht="14.25" spans="1:1">
      <c r="A196" s="163" t="s">
        <v>3087</v>
      </c>
    </row>
    <row r="197" ht="17.25" spans="1:1">
      <c r="A197" s="163" t="s">
        <v>3088</v>
      </c>
    </row>
    <row r="198" ht="14.25" spans="1:1">
      <c r="A198" s="163" t="s">
        <v>3089</v>
      </c>
    </row>
    <row r="199" ht="189.75" spans="1:1">
      <c r="A199" s="163" t="s">
        <v>3090</v>
      </c>
    </row>
    <row r="200" ht="14.25" spans="1:1">
      <c r="A200" s="163" t="s">
        <v>3091</v>
      </c>
    </row>
    <row r="201" ht="17.25" spans="1:1">
      <c r="A201" s="163"/>
    </row>
    <row r="202" ht="17.25" spans="1:1">
      <c r="A202" s="163"/>
    </row>
    <row r="203" ht="14.25" spans="1:1">
      <c r="A203" s="163" t="s">
        <v>3092</v>
      </c>
    </row>
    <row r="204" ht="86.25" spans="1:1">
      <c r="A204" s="163" t="s">
        <v>3093</v>
      </c>
    </row>
    <row r="205" ht="14.25" spans="1:1">
      <c r="A205" s="163" t="s">
        <v>3094</v>
      </c>
    </row>
    <row r="206" ht="17.25" spans="1:1">
      <c r="A206" s="163" t="s">
        <v>3095</v>
      </c>
    </row>
    <row r="207" ht="14.25" spans="1:1">
      <c r="A207" s="163" t="s">
        <v>3096</v>
      </c>
    </row>
    <row r="208" ht="17.25" spans="1:1">
      <c r="A208" s="163" t="s">
        <v>3097</v>
      </c>
    </row>
    <row r="209" ht="14.25" spans="1:1">
      <c r="A209" s="163" t="s">
        <v>3098</v>
      </c>
    </row>
    <row r="210" ht="17.25" spans="1:1">
      <c r="A210" s="163" t="s">
        <v>3099</v>
      </c>
    </row>
    <row r="211" ht="17.25" spans="1:1">
      <c r="A211" s="163" t="s">
        <v>3100</v>
      </c>
    </row>
    <row r="212" ht="17.25" spans="1:1">
      <c r="A212" s="163" t="s">
        <v>3101</v>
      </c>
    </row>
    <row r="213" ht="14.25" spans="1:1">
      <c r="A213" s="163" t="s">
        <v>3102</v>
      </c>
    </row>
    <row r="214" ht="17.25" spans="1:1">
      <c r="A214" s="163" t="s">
        <v>3103</v>
      </c>
    </row>
    <row r="215" ht="18" spans="1:1">
      <c r="A215" s="163" t="s">
        <v>3104</v>
      </c>
    </row>
    <row r="216" ht="17.25" spans="1:1">
      <c r="A216" s="163" t="s">
        <v>3105</v>
      </c>
    </row>
    <row r="217" ht="14.25" spans="1:1">
      <c r="A217" s="163" t="s">
        <v>3106</v>
      </c>
    </row>
    <row r="218" ht="17.25" spans="1:1">
      <c r="A218" s="163" t="s">
        <v>3107</v>
      </c>
    </row>
    <row r="219" ht="17.25" spans="1:1">
      <c r="A219" s="163"/>
    </row>
    <row r="220" ht="17.25" spans="1:1">
      <c r="A220" s="163" t="s">
        <v>3108</v>
      </c>
    </row>
    <row r="221" ht="17.25" spans="1:1">
      <c r="A221" s="163" t="s">
        <v>3109</v>
      </c>
    </row>
    <row r="222" ht="17.25" spans="1:1">
      <c r="A222" s="163"/>
    </row>
    <row r="223" ht="14.25" spans="1:1">
      <c r="A223" s="163" t="s">
        <v>3110</v>
      </c>
    </row>
    <row r="224" ht="17.25" spans="1:1">
      <c r="A224" s="163" t="s">
        <v>3111</v>
      </c>
    </row>
    <row r="225" ht="14.25" spans="1:1">
      <c r="A225" s="163" t="s">
        <v>3112</v>
      </c>
    </row>
    <row r="226" ht="34.5" spans="1:1">
      <c r="A226" s="164" t="s">
        <v>3113</v>
      </c>
    </row>
    <row r="227" ht="17.25" spans="1:1">
      <c r="A227" s="164"/>
    </row>
    <row r="228" ht="17.25" spans="1:1">
      <c r="A228" s="164" t="s">
        <v>3114</v>
      </c>
    </row>
    <row r="229" ht="17.25" spans="1:1">
      <c r="A229" s="164"/>
    </row>
    <row r="230" ht="17.25" spans="1:1">
      <c r="A230" s="164"/>
    </row>
    <row r="231" ht="17.25" spans="1:1">
      <c r="A231" s="163"/>
    </row>
    <row r="232" ht="34.5" spans="1:1">
      <c r="A232" s="163" t="s">
        <v>3115</v>
      </c>
    </row>
    <row r="233" ht="34.5" spans="1:1">
      <c r="A233" s="163" t="s">
        <v>3116</v>
      </c>
    </row>
    <row r="234" ht="17.25" spans="1:1">
      <c r="A234" s="163"/>
    </row>
    <row r="235" ht="17.25" spans="1:1">
      <c r="A235" s="163"/>
    </row>
    <row r="236" ht="17.25" spans="1:1">
      <c r="A236" s="163" t="s">
        <v>3117</v>
      </c>
    </row>
    <row r="237" ht="34.5" spans="1:1">
      <c r="A237" s="163" t="s">
        <v>3118</v>
      </c>
    </row>
    <row r="238" ht="34.5" spans="1:1">
      <c r="A238" s="163" t="s">
        <v>3119</v>
      </c>
    </row>
    <row r="239" ht="17.25" spans="1:1">
      <c r="A239" s="163" t="s">
        <v>3120</v>
      </c>
    </row>
    <row r="240" ht="17.25" spans="1:1">
      <c r="A240" s="163" t="s">
        <v>3121</v>
      </c>
    </row>
    <row r="241" ht="17.25" spans="1:1">
      <c r="A241" s="163" t="s">
        <v>3122</v>
      </c>
    </row>
    <row r="242" ht="17.25" spans="1:1">
      <c r="A242" s="163" t="s">
        <v>3123</v>
      </c>
    </row>
    <row r="243" ht="17.25" spans="1:1">
      <c r="A243" s="163" t="s">
        <v>3124</v>
      </c>
    </row>
    <row r="244" ht="17.25" spans="1:1">
      <c r="A244" s="163" t="s">
        <v>3125</v>
      </c>
    </row>
    <row r="245" ht="17.25" spans="1:1">
      <c r="A245" s="163" t="s">
        <v>3126</v>
      </c>
    </row>
    <row r="246" ht="17.25" spans="1:1">
      <c r="A246" s="163" t="s">
        <v>3127</v>
      </c>
    </row>
    <row r="247" ht="17.25" spans="1:1">
      <c r="A247" s="163" t="s">
        <v>3128</v>
      </c>
    </row>
    <row r="248" ht="17.25" spans="1:1">
      <c r="A248" s="163" t="s">
        <v>3129</v>
      </c>
    </row>
    <row r="249" ht="17.25" spans="1:1">
      <c r="A249" s="163" t="s">
        <v>3130</v>
      </c>
    </row>
    <row r="250" ht="17.25" spans="1:1">
      <c r="A250" s="163" t="s">
        <v>3131</v>
      </c>
    </row>
    <row r="251" ht="17.25" spans="1:1">
      <c r="A251" s="163" t="s">
        <v>3132</v>
      </c>
    </row>
    <row r="252" ht="17.25" spans="1:1">
      <c r="A252" s="163" t="s">
        <v>3133</v>
      </c>
    </row>
    <row r="253" ht="17.25" spans="1:1">
      <c r="A253" s="163" t="s">
        <v>3134</v>
      </c>
    </row>
    <row r="254" ht="34.5" spans="1:1">
      <c r="A254" s="163" t="s">
        <v>3135</v>
      </c>
    </row>
    <row r="255" ht="34.5" spans="1:1">
      <c r="A255" s="163" t="s">
        <v>3136</v>
      </c>
    </row>
    <row r="256" ht="17.25" spans="1:1">
      <c r="A256" s="163"/>
    </row>
    <row r="257" ht="17.25" spans="1:1">
      <c r="A257" s="163"/>
    </row>
    <row r="258" ht="17.25" spans="1:1">
      <c r="A258" s="163"/>
    </row>
    <row r="259" ht="17.25" spans="1:1">
      <c r="A259" s="163" t="s">
        <v>3137</v>
      </c>
    </row>
    <row r="260" ht="36" spans="1:1">
      <c r="A260" s="163" t="s">
        <v>3138</v>
      </c>
    </row>
    <row r="261" ht="17.25" spans="1:1">
      <c r="A261" s="163" t="s">
        <v>3139</v>
      </c>
    </row>
    <row r="262" ht="17.25" spans="1:1">
      <c r="A262" s="163" t="s">
        <v>3140</v>
      </c>
    </row>
    <row r="263" ht="17.25" spans="1:1">
      <c r="A263" s="163" t="s">
        <v>3141</v>
      </c>
    </row>
    <row r="264" ht="17.25" spans="1:1">
      <c r="A264" s="163" t="s">
        <v>3142</v>
      </c>
    </row>
    <row r="265" ht="17.25" spans="1:1">
      <c r="A265" s="163" t="s">
        <v>3143</v>
      </c>
    </row>
    <row r="266" ht="17.25" spans="1:1">
      <c r="A266" s="163" t="s">
        <v>3144</v>
      </c>
    </row>
    <row r="267" ht="17.25" spans="1:1">
      <c r="A267" s="163" t="s">
        <v>3145</v>
      </c>
    </row>
    <row r="268" ht="17.25" spans="1:1">
      <c r="A268" s="163" t="s">
        <v>3146</v>
      </c>
    </row>
    <row r="269" ht="17.25" spans="1:1">
      <c r="A269" s="163" t="s">
        <v>3147</v>
      </c>
    </row>
    <row r="270" ht="17.25" spans="1:1">
      <c r="A270" s="163" t="s">
        <v>3148</v>
      </c>
    </row>
    <row r="271" ht="17.25" spans="1:1">
      <c r="A271" s="163" t="s">
        <v>3149</v>
      </c>
    </row>
    <row r="272" ht="17.25" spans="1:1">
      <c r="A272" s="163" t="s">
        <v>3150</v>
      </c>
    </row>
    <row r="273" ht="17.25" spans="1:1">
      <c r="A273" s="163" t="s">
        <v>3151</v>
      </c>
    </row>
    <row r="274" ht="17.25" spans="1:1">
      <c r="A274" s="163" t="s">
        <v>3152</v>
      </c>
    </row>
    <row r="275" ht="17.25" spans="1:1">
      <c r="A275" s="163" t="s">
        <v>3153</v>
      </c>
    </row>
    <row r="276" ht="17.25" spans="1:1">
      <c r="A276" s="163" t="s">
        <v>3154</v>
      </c>
    </row>
    <row r="277" ht="17.25" spans="1:1">
      <c r="A277" s="163"/>
    </row>
    <row r="278" ht="17.25" spans="1:1">
      <c r="A278" s="163" t="s">
        <v>3155</v>
      </c>
    </row>
    <row r="279" ht="17.25" spans="1:1">
      <c r="A279" s="163" t="s">
        <v>3156</v>
      </c>
    </row>
    <row r="280" ht="17.25" spans="1:1">
      <c r="A280" s="163" t="s">
        <v>3157</v>
      </c>
    </row>
    <row r="281" ht="17.25" spans="1:1">
      <c r="A281" s="163" t="s">
        <v>3158</v>
      </c>
    </row>
    <row r="282" ht="17.25" spans="1:1">
      <c r="A282" s="163" t="s">
        <v>3159</v>
      </c>
    </row>
    <row r="283" ht="17.25" spans="1:1">
      <c r="A283" s="163" t="s">
        <v>3160</v>
      </c>
    </row>
    <row r="284" ht="17.25" spans="1:1">
      <c r="A284" s="163"/>
    </row>
    <row r="288" ht="17.25" spans="1:1">
      <c r="A288" s="164" t="s">
        <v>3161</v>
      </c>
    </row>
    <row r="289" ht="34.5" spans="1:1">
      <c r="A289" s="164" t="s">
        <v>2843</v>
      </c>
    </row>
    <row r="290" ht="17.25" spans="1:1">
      <c r="A290" s="164" t="s">
        <v>3162</v>
      </c>
    </row>
    <row r="291" ht="34.5" spans="1:1">
      <c r="A291" s="164" t="s">
        <v>3163</v>
      </c>
    </row>
    <row r="292" ht="17.25" spans="1:1">
      <c r="A292" s="164" t="s">
        <v>3164</v>
      </c>
    </row>
    <row r="293" ht="17.25" spans="1:1">
      <c r="A293" s="164" t="s">
        <v>3165</v>
      </c>
    </row>
    <row r="295" ht="14.25" spans="1:1">
      <c r="A295" s="165" t="s">
        <v>3166</v>
      </c>
    </row>
    <row r="296" ht="17.25" spans="1:1">
      <c r="A296" s="163" t="s">
        <v>3167</v>
      </c>
    </row>
    <row r="297" ht="17.25" spans="1:1">
      <c r="A297" s="163" t="s">
        <v>3168</v>
      </c>
    </row>
    <row r="298" ht="17.25" spans="1:1">
      <c r="A298" s="163" t="s">
        <v>3169</v>
      </c>
    </row>
    <row r="299" ht="17.25" spans="1:1">
      <c r="A299" s="163" t="s">
        <v>3170</v>
      </c>
    </row>
    <row r="300" ht="17.25" spans="1:1">
      <c r="A300" s="163" t="s">
        <v>3171</v>
      </c>
    </row>
    <row r="301" ht="14.25" spans="1:1">
      <c r="A301" s="165" t="s">
        <v>3172</v>
      </c>
    </row>
    <row r="302" ht="17.25" spans="1:1">
      <c r="A302" s="163" t="s">
        <v>3173</v>
      </c>
    </row>
    <row r="303" ht="17.25" spans="1:1">
      <c r="A303" s="163" t="s">
        <v>3174</v>
      </c>
    </row>
    <row r="304" ht="17.25" spans="1:1">
      <c r="A304" s="163" t="s">
        <v>3175</v>
      </c>
    </row>
    <row r="306" ht="17.25" spans="1:1">
      <c r="A306" s="164" t="s">
        <v>3176</v>
      </c>
    </row>
    <row r="307" ht="17.25" spans="1:1">
      <c r="A307" s="164" t="s">
        <v>3177</v>
      </c>
    </row>
    <row r="308" ht="17.25" spans="1:1">
      <c r="A308" s="164" t="s">
        <v>3178</v>
      </c>
    </row>
    <row r="309" ht="17.25" spans="1:1">
      <c r="A309" s="164" t="s">
        <v>3179</v>
      </c>
    </row>
    <row r="310" ht="17.25" spans="1:1">
      <c r="A310" s="164" t="s">
        <v>3180</v>
      </c>
    </row>
    <row r="311" ht="17.25" spans="1:1">
      <c r="A311" s="164" t="s">
        <v>3181</v>
      </c>
    </row>
    <row r="312" spans="1:1">
      <c r="A312" s="166" t="s">
        <v>3182</v>
      </c>
    </row>
    <row r="314" ht="17.25" spans="1:1">
      <c r="A314" s="164" t="s">
        <v>3183</v>
      </c>
    </row>
    <row r="315" ht="34.5" spans="1:1">
      <c r="A315" s="164" t="s">
        <v>3184</v>
      </c>
    </row>
    <row r="316" ht="17.25" spans="1:1">
      <c r="A316" s="164" t="s">
        <v>3185</v>
      </c>
    </row>
    <row r="317" ht="17.25" spans="1:1">
      <c r="A317" s="164" t="s">
        <v>3186</v>
      </c>
    </row>
    <row r="318" ht="17.25" spans="1:1">
      <c r="A318" s="164" t="s">
        <v>3187</v>
      </c>
    </row>
    <row r="319" ht="17.25" spans="1:1">
      <c r="A319" s="164" t="s">
        <v>3188</v>
      </c>
    </row>
    <row r="320" ht="17.25" spans="1:1">
      <c r="A320" s="164" t="s">
        <v>3189</v>
      </c>
    </row>
    <row r="321" ht="17.25" spans="1:1">
      <c r="A321" s="164" t="s">
        <v>3190</v>
      </c>
    </row>
    <row r="326" ht="17.25" spans="1:1">
      <c r="A326" s="167" t="s">
        <v>3191</v>
      </c>
    </row>
    <row r="327" ht="17.25" spans="1:1">
      <c r="A327" s="167" t="s">
        <v>3192</v>
      </c>
    </row>
    <row r="329" ht="17.25" spans="1:1">
      <c r="A329" s="163" t="s">
        <v>3193</v>
      </c>
    </row>
    <row r="330" ht="17.25" spans="1:1">
      <c r="A330" s="163" t="s">
        <v>3194</v>
      </c>
    </row>
    <row r="331" ht="17.25" spans="1:1">
      <c r="A331" s="163" t="s">
        <v>3195</v>
      </c>
    </row>
    <row r="332" ht="17.25" spans="1:1">
      <c r="A332" s="163" t="s">
        <v>3196</v>
      </c>
    </row>
    <row r="333" ht="17.25" spans="1:1">
      <c r="A333" s="163" t="s">
        <v>3197</v>
      </c>
    </row>
    <row r="334" ht="17.25" spans="1:1">
      <c r="A334" s="168" t="s">
        <v>3198</v>
      </c>
    </row>
    <row r="335" ht="17.25" spans="1:1">
      <c r="A335" s="163" t="s">
        <v>3199</v>
      </c>
    </row>
    <row r="336" ht="17.25" spans="1:1">
      <c r="A336" s="163" t="s">
        <v>3200</v>
      </c>
    </row>
    <row r="337" ht="17.25" spans="1:1">
      <c r="A337" s="163" t="s">
        <v>3201</v>
      </c>
    </row>
    <row r="338" ht="17.25" spans="1:1">
      <c r="A338" s="163" t="s">
        <v>3202</v>
      </c>
    </row>
    <row r="339" ht="17.25" spans="1:1">
      <c r="A339" s="163" t="s">
        <v>3203</v>
      </c>
    </row>
    <row r="340" ht="17.25" spans="1:1">
      <c r="A340" s="163" t="s">
        <v>3204</v>
      </c>
    </row>
    <row r="341" ht="17.25" spans="1:1">
      <c r="A341" s="163" t="s">
        <v>3205</v>
      </c>
    </row>
    <row r="342" ht="17.25" spans="1:1">
      <c r="A342" s="163" t="s">
        <v>3206</v>
      </c>
    </row>
    <row r="343" ht="18" spans="1:1">
      <c r="A343" s="163" t="s">
        <v>3207</v>
      </c>
    </row>
    <row r="344" ht="17.25" spans="1:1">
      <c r="A344" s="163" t="s">
        <v>3208</v>
      </c>
    </row>
    <row r="346" ht="17.25" spans="1:1">
      <c r="A346" s="163" t="s">
        <v>3203</v>
      </c>
    </row>
    <row r="347" ht="17.25" spans="1:1">
      <c r="A347" s="163" t="s">
        <v>3209</v>
      </c>
    </row>
    <row r="348" ht="17.25" spans="1:1">
      <c r="A348" s="163" t="s">
        <v>3210</v>
      </c>
    </row>
    <row r="349" ht="17.25" spans="1:1">
      <c r="A349" s="163" t="s">
        <v>3211</v>
      </c>
    </row>
    <row r="350" ht="34.5" spans="1:1">
      <c r="A350" s="163" t="s">
        <v>3212</v>
      </c>
    </row>
    <row r="351" ht="34.5" spans="1:1">
      <c r="A351" s="163" t="s">
        <v>3213</v>
      </c>
    </row>
    <row r="352" ht="17.25" spans="1:1">
      <c r="A352" s="163" t="s">
        <v>3214</v>
      </c>
    </row>
    <row r="353" ht="17.25" spans="1:1">
      <c r="A353" s="163" t="s">
        <v>3215</v>
      </c>
    </row>
    <row r="354" ht="17.25" spans="1:1">
      <c r="A354" s="168" t="s">
        <v>3216</v>
      </c>
    </row>
    <row r="355" ht="17.25" spans="1:1">
      <c r="A355" s="163" t="s">
        <v>3217</v>
      </c>
    </row>
    <row r="356" ht="17.25" spans="1:1">
      <c r="A356" s="163" t="s">
        <v>3218</v>
      </c>
    </row>
    <row r="357" ht="17.25" spans="1:1">
      <c r="A357" s="163" t="s">
        <v>3219</v>
      </c>
    </row>
    <row r="358" ht="34.5" spans="1:1">
      <c r="A358" s="163" t="s">
        <v>3220</v>
      </c>
    </row>
    <row r="359" ht="17.25" spans="1:1">
      <c r="A359" s="163" t="s">
        <v>3221</v>
      </c>
    </row>
    <row r="360" ht="17.25" spans="1:1">
      <c r="A360" s="163" t="s">
        <v>3222</v>
      </c>
    </row>
    <row r="361" ht="17.25" spans="1:1">
      <c r="A361" s="163" t="s">
        <v>3223</v>
      </c>
    </row>
    <row r="362" ht="17.25" spans="1:1">
      <c r="A362" s="168" t="s">
        <v>3224</v>
      </c>
    </row>
    <row r="363" ht="17.25" spans="1:1">
      <c r="A363" s="163" t="s">
        <v>3225</v>
      </c>
    </row>
    <row r="364" ht="17.25" spans="1:1">
      <c r="A364" s="163" t="s">
        <v>3226</v>
      </c>
    </row>
    <row r="365" ht="17.25" spans="1:1">
      <c r="A365" s="163" t="s">
        <v>3227</v>
      </c>
    </row>
    <row r="366" ht="17.25" spans="1:1">
      <c r="A366" s="163" t="s">
        <v>3228</v>
      </c>
    </row>
    <row r="367" ht="17.25" spans="1:1">
      <c r="A367" s="163" t="s">
        <v>3229</v>
      </c>
    </row>
    <row r="368" ht="17.25" spans="1:1">
      <c r="A368" s="163" t="s">
        <v>3230</v>
      </c>
    </row>
    <row r="369" ht="17.25" spans="1:1">
      <c r="A369" s="163" t="s">
        <v>3231</v>
      </c>
    </row>
    <row r="370" ht="17.25" spans="1:1">
      <c r="A370" s="163" t="s">
        <v>3232</v>
      </c>
    </row>
    <row r="371" ht="17.25" spans="1:1">
      <c r="A371" s="163" t="s">
        <v>3233</v>
      </c>
    </row>
    <row r="372" ht="17.25" spans="1:1">
      <c r="A372" s="168" t="s">
        <v>3234</v>
      </c>
    </row>
    <row r="373" ht="17.25" spans="1:1">
      <c r="A373" s="163" t="s">
        <v>3235</v>
      </c>
    </row>
    <row r="374" ht="17.25" spans="1:1">
      <c r="A374" s="163" t="s">
        <v>3236</v>
      </c>
    </row>
    <row r="375" ht="17.25" spans="1:1">
      <c r="A375" s="163" t="s">
        <v>3237</v>
      </c>
    </row>
    <row r="376" ht="17.25" spans="1:1">
      <c r="A376" s="163" t="s">
        <v>3238</v>
      </c>
    </row>
    <row r="377" ht="17.25" spans="1:1">
      <c r="A377" s="163" t="s">
        <v>3239</v>
      </c>
    </row>
    <row r="378" ht="17.25" spans="1:1">
      <c r="A378" s="168" t="s">
        <v>3240</v>
      </c>
    </row>
    <row r="379" ht="17.25" spans="1:1">
      <c r="A379" s="163" t="s">
        <v>3241</v>
      </c>
    </row>
    <row r="380" ht="17.25" spans="1:1">
      <c r="A380" s="163" t="s">
        <v>3242</v>
      </c>
    </row>
    <row r="381" ht="17.25" spans="1:1">
      <c r="A381" s="163" t="s">
        <v>3243</v>
      </c>
    </row>
    <row r="382" ht="17.25" spans="1:1">
      <c r="A382" s="163" t="s">
        <v>3244</v>
      </c>
    </row>
    <row r="383" ht="17.25" spans="1:1">
      <c r="A383" s="163" t="s">
        <v>3245</v>
      </c>
    </row>
    <row r="384" ht="69" spans="1:1">
      <c r="A384" s="163" t="s">
        <v>3246</v>
      </c>
    </row>
    <row r="385" ht="34.5" spans="1:1">
      <c r="A385" s="163" t="s">
        <v>3247</v>
      </c>
    </row>
    <row r="386" ht="17.25" spans="1:1">
      <c r="A386" s="163" t="s">
        <v>3248</v>
      </c>
    </row>
    <row r="387" ht="17.25" spans="1:1">
      <c r="A387" s="163" t="s">
        <v>3249</v>
      </c>
    </row>
    <row r="388" ht="17.25" spans="1:1">
      <c r="A388" s="163" t="s">
        <v>3250</v>
      </c>
    </row>
    <row r="389" ht="34.5" spans="1:1">
      <c r="A389" s="163" t="s">
        <v>3251</v>
      </c>
    </row>
    <row r="390" ht="34.5" spans="1:1">
      <c r="A390" s="163" t="s">
        <v>3252</v>
      </c>
    </row>
    <row r="391" ht="17.25" spans="1:1">
      <c r="A391" s="168" t="s">
        <v>3253</v>
      </c>
    </row>
    <row r="392" ht="17.25" spans="1:1">
      <c r="A392" s="163" t="s">
        <v>3254</v>
      </c>
    </row>
    <row r="393" ht="17.25" spans="1:1">
      <c r="A393" s="163" t="s">
        <v>3255</v>
      </c>
    </row>
    <row r="394" ht="17.25" spans="1:1">
      <c r="A394" s="163" t="s">
        <v>3256</v>
      </c>
    </row>
    <row r="395" ht="17.25" spans="1:1">
      <c r="A395" s="163" t="s">
        <v>3257</v>
      </c>
    </row>
    <row r="396" ht="17.25" spans="1:1">
      <c r="A396" s="163" t="s">
        <v>3258</v>
      </c>
    </row>
    <row r="398" ht="17.25" spans="1:1">
      <c r="A398" s="22" t="s">
        <v>2913</v>
      </c>
    </row>
    <row r="399" ht="17.25" spans="1:1">
      <c r="A399" s="22" t="s">
        <v>2914</v>
      </c>
    </row>
    <row r="400" ht="17.25" spans="1:1">
      <c r="A400" s="22" t="s">
        <v>2915</v>
      </c>
    </row>
    <row r="403" ht="17.25" spans="1:1">
      <c r="A403" s="164" t="s">
        <v>3259</v>
      </c>
    </row>
    <row r="404" ht="17.25" spans="1:1">
      <c r="A404" s="164" t="s">
        <v>3260</v>
      </c>
    </row>
    <row r="405" ht="17.25" spans="1:1">
      <c r="A405" s="164" t="s">
        <v>3261</v>
      </c>
    </row>
    <row r="406" ht="17.25" spans="1:1">
      <c r="A406" s="164" t="s">
        <v>3262</v>
      </c>
    </row>
    <row r="407" ht="34.5" spans="1:1">
      <c r="A407" s="164" t="s">
        <v>3263</v>
      </c>
    </row>
    <row r="408" ht="17.25" spans="1:1">
      <c r="A408" s="164" t="s">
        <v>3264</v>
      </c>
    </row>
    <row r="409" ht="17.25" spans="1:1">
      <c r="A409" s="164" t="s">
        <v>3265</v>
      </c>
    </row>
    <row r="410" ht="17.25" spans="1:1">
      <c r="A410" s="164" t="s">
        <v>3266</v>
      </c>
    </row>
    <row r="411" ht="17.25" spans="1:1">
      <c r="A411" s="164" t="s">
        <v>3267</v>
      </c>
    </row>
    <row r="412" ht="17.25" spans="1:1">
      <c r="A412" s="164" t="s">
        <v>3268</v>
      </c>
    </row>
    <row r="413" ht="17.25" spans="1:1">
      <c r="A413" s="164" t="s">
        <v>3269</v>
      </c>
    </row>
    <row r="414" ht="34.5" spans="1:1">
      <c r="A414" s="164" t="s">
        <v>3270</v>
      </c>
    </row>
    <row r="415" ht="34.5" spans="1:1">
      <c r="A415" s="164" t="s">
        <v>3271</v>
      </c>
    </row>
    <row r="416" ht="17.25" spans="1:1">
      <c r="A416" s="164" t="s">
        <v>3272</v>
      </c>
    </row>
    <row r="417" ht="17.25" spans="1:1">
      <c r="A417" s="164" t="s">
        <v>3273</v>
      </c>
    </row>
    <row r="418" ht="17.25" spans="1:1">
      <c r="A418" s="164" t="s">
        <v>3274</v>
      </c>
    </row>
    <row r="419" ht="17.25" spans="1:1">
      <c r="A419" s="164" t="s">
        <v>3275</v>
      </c>
    </row>
    <row r="420" ht="17.25" spans="1:1">
      <c r="A420" s="164" t="s">
        <v>3276</v>
      </c>
    </row>
    <row r="421" ht="17.25" spans="1:1">
      <c r="A421" s="164" t="s">
        <v>3277</v>
      </c>
    </row>
    <row r="422" ht="17.25" spans="1:1">
      <c r="A422" s="164" t="s">
        <v>3278</v>
      </c>
    </row>
    <row r="423" ht="17.25" spans="1:1">
      <c r="A423" s="164" t="s">
        <v>3279</v>
      </c>
    </row>
    <row r="424" ht="17.25" spans="1:1">
      <c r="A424" s="164" t="s">
        <v>3280</v>
      </c>
    </row>
    <row r="425" ht="17.25" spans="1:1">
      <c r="A425" s="164" t="s">
        <v>3281</v>
      </c>
    </row>
    <row r="426" ht="17.25" spans="1:1">
      <c r="A426" s="164" t="s">
        <v>3282</v>
      </c>
    </row>
    <row r="427" ht="17.25" spans="1:1">
      <c r="A427" s="164" t="s">
        <v>3283</v>
      </c>
    </row>
    <row r="428" ht="17.25" spans="1:1">
      <c r="A428" s="164" t="s">
        <v>3284</v>
      </c>
    </row>
    <row r="429" ht="17.25" spans="1:1">
      <c r="A429" s="164" t="s">
        <v>3285</v>
      </c>
    </row>
    <row r="430" ht="17.25" spans="1:1">
      <c r="A430" s="164" t="s">
        <v>3286</v>
      </c>
    </row>
    <row r="431" ht="17.25" spans="1:1">
      <c r="A431" s="164" t="s">
        <v>3287</v>
      </c>
    </row>
    <row r="432" ht="17.25" spans="1:1">
      <c r="A432" s="164" t="s">
        <v>3288</v>
      </c>
    </row>
    <row r="433" ht="17.25" spans="1:1">
      <c r="A433" s="164" t="s">
        <v>3289</v>
      </c>
    </row>
    <row r="434" ht="17.25" spans="1:1">
      <c r="A434" s="164" t="s">
        <v>3290</v>
      </c>
    </row>
    <row r="435" ht="34.5" spans="1:1">
      <c r="A435" s="164" t="s">
        <v>3291</v>
      </c>
    </row>
    <row r="436" ht="17.25" spans="1:1">
      <c r="A436" s="164" t="s">
        <v>3292</v>
      </c>
    </row>
    <row r="437" ht="17.25" spans="1:1">
      <c r="A437" s="164" t="s">
        <v>3293</v>
      </c>
    </row>
    <row r="438" ht="51.75" spans="1:1">
      <c r="A438" s="164" t="s">
        <v>3294</v>
      </c>
    </row>
    <row r="439" ht="51.75" spans="1:1">
      <c r="A439" s="164" t="s">
        <v>3295</v>
      </c>
    </row>
    <row r="440" ht="17.25" spans="1:1">
      <c r="A440" s="164" t="s">
        <v>3296</v>
      </c>
    </row>
    <row r="441" ht="51.75" spans="1:1">
      <c r="A441" s="164" t="s">
        <v>3297</v>
      </c>
    </row>
    <row r="442" ht="34.5" spans="1:1">
      <c r="A442" s="164" t="s">
        <v>3298</v>
      </c>
    </row>
    <row r="443" ht="17.25" spans="1:1">
      <c r="A443" s="164" t="s">
        <v>3299</v>
      </c>
    </row>
    <row r="444" ht="69" spans="1:1">
      <c r="A444" s="164" t="s">
        <v>3300</v>
      </c>
    </row>
    <row r="445" ht="51.75" spans="1:1">
      <c r="A445" s="164" t="s">
        <v>3301</v>
      </c>
    </row>
    <row r="446" ht="17.25" spans="1:1">
      <c r="A446" s="164" t="s">
        <v>3302</v>
      </c>
    </row>
    <row r="447" ht="17.25" spans="1:1">
      <c r="A447" s="164" t="s">
        <v>3303</v>
      </c>
    </row>
    <row r="448" ht="17.25" spans="1:1">
      <c r="A448" s="164" t="s">
        <v>3304</v>
      </c>
    </row>
    <row r="451" spans="1:1">
      <c r="A451" t="s">
        <v>3305</v>
      </c>
    </row>
    <row r="454" spans="1:1">
      <c r="A454" s="169" t="s">
        <v>3247</v>
      </c>
    </row>
    <row r="455" spans="1:1">
      <c r="A455" s="169" t="s">
        <v>3306</v>
      </c>
    </row>
    <row r="456" spans="1:1">
      <c r="A456" s="169" t="s">
        <v>3307</v>
      </c>
    </row>
    <row r="457" spans="1:1">
      <c r="A457" s="169" t="s">
        <v>3163</v>
      </c>
    </row>
    <row r="458" spans="1:1">
      <c r="A458" s="169" t="s">
        <v>3308</v>
      </c>
    </row>
    <row r="459" spans="1:1">
      <c r="A459" s="169" t="s">
        <v>3309</v>
      </c>
    </row>
    <row r="460" spans="1:1">
      <c r="A460" s="169" t="s">
        <v>3310</v>
      </c>
    </row>
    <row r="461" spans="1:1">
      <c r="A461" s="169" t="s">
        <v>3057</v>
      </c>
    </row>
    <row r="462" spans="1:1">
      <c r="A462" s="169" t="s">
        <v>3311</v>
      </c>
    </row>
    <row r="463" spans="1:1">
      <c r="A463" s="169" t="s">
        <v>3049</v>
      </c>
    </row>
    <row r="464" spans="1:1">
      <c r="A464" s="169" t="s">
        <v>3312</v>
      </c>
    </row>
    <row r="465" spans="1:1">
      <c r="A465" s="169" t="s">
        <v>3313</v>
      </c>
    </row>
    <row r="466" spans="1:1">
      <c r="A466" s="169" t="s">
        <v>3314</v>
      </c>
    </row>
    <row r="467" spans="1:1">
      <c r="A467" s="169" t="s">
        <v>3113</v>
      </c>
    </row>
    <row r="468" spans="1:1">
      <c r="A468" s="169" t="s">
        <v>3315</v>
      </c>
    </row>
    <row r="469" spans="1:1">
      <c r="A469" s="169" t="s">
        <v>3316</v>
      </c>
    </row>
    <row r="470" spans="1:1">
      <c r="A470" s="169" t="s">
        <v>194</v>
      </c>
    </row>
    <row r="471" spans="1:1">
      <c r="A471" s="169" t="s">
        <v>3317</v>
      </c>
    </row>
    <row r="472" spans="1:1">
      <c r="A472" s="169" t="s">
        <v>3318</v>
      </c>
    </row>
    <row r="473" spans="1:1">
      <c r="A473" s="169" t="s">
        <v>2919</v>
      </c>
    </row>
    <row r="474" spans="1:1">
      <c r="A474" s="169" t="s">
        <v>3319</v>
      </c>
    </row>
    <row r="475" spans="1:1">
      <c r="A475" s="169" t="s">
        <v>3320</v>
      </c>
    </row>
    <row r="476" spans="1:1">
      <c r="A476" s="169" t="s">
        <v>196</v>
      </c>
    </row>
    <row r="477" spans="1:1">
      <c r="A477" s="169" t="s">
        <v>200</v>
      </c>
    </row>
    <row r="478" spans="1:1">
      <c r="A478" s="169" t="s">
        <v>3321</v>
      </c>
    </row>
    <row r="479" spans="1:1">
      <c r="A479" s="169" t="s">
        <v>3322</v>
      </c>
    </row>
    <row r="480" spans="1:1">
      <c r="A480" s="169" t="s">
        <v>195</v>
      </c>
    </row>
    <row r="481" spans="1:1">
      <c r="A481" s="169" t="s">
        <v>3323</v>
      </c>
    </row>
    <row r="482" spans="1:1">
      <c r="A482" s="169" t="s">
        <v>3324</v>
      </c>
    </row>
    <row r="483" spans="1:1">
      <c r="A483" s="169" t="s">
        <v>3325</v>
      </c>
    </row>
    <row r="484" spans="1:1">
      <c r="A484" s="169" t="s">
        <v>197</v>
      </c>
    </row>
    <row r="485" spans="1:1">
      <c r="A485" s="169" t="s">
        <v>3326</v>
      </c>
    </row>
    <row r="486" spans="1:1">
      <c r="A486" s="169" t="s">
        <v>201</v>
      </c>
    </row>
    <row r="487" spans="1:1">
      <c r="A487" s="169" t="s">
        <v>202</v>
      </c>
    </row>
    <row r="488" spans="1:1">
      <c r="A488" s="169" t="s">
        <v>3327</v>
      </c>
    </row>
    <row r="489" spans="1:1">
      <c r="A489" s="169" t="s">
        <v>3328</v>
      </c>
    </row>
    <row r="490" spans="1:1">
      <c r="A490" s="169" t="s">
        <v>3329</v>
      </c>
    </row>
    <row r="491" spans="1:1">
      <c r="A491" s="169" t="s">
        <v>3330</v>
      </c>
    </row>
    <row r="492" spans="1:1">
      <c r="A492" s="169" t="s">
        <v>3331</v>
      </c>
    </row>
    <row r="494" spans="1:1">
      <c r="A494" t="s">
        <v>3332</v>
      </c>
    </row>
    <row r="496" spans="1:1">
      <c r="A496" t="s">
        <v>3333</v>
      </c>
    </row>
    <row r="497" spans="1:1">
      <c r="A497" t="s">
        <v>3334</v>
      </c>
    </row>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8"/>
  <sheetViews>
    <sheetView workbookViewId="0">
      <selection activeCell="D8" sqref="D8"/>
    </sheetView>
  </sheetViews>
  <sheetFormatPr defaultColWidth="9" defaultRowHeight="13.5" outlineLevelCol="5"/>
  <cols>
    <col min="2" max="2" width="14" customWidth="1"/>
    <col min="3" max="3" width="28" customWidth="1"/>
    <col min="4" max="4" width="18.125" customWidth="1"/>
  </cols>
  <sheetData>
    <row r="1" ht="45.75" spans="2:6">
      <c r="B1" s="157" t="s">
        <v>36</v>
      </c>
      <c r="C1" s="157" t="s">
        <v>37</v>
      </c>
      <c r="D1" s="157" t="s">
        <v>38</v>
      </c>
      <c r="E1" s="157" t="s">
        <v>39</v>
      </c>
      <c r="F1" s="157" t="s">
        <v>40</v>
      </c>
    </row>
    <row r="2" ht="128.25" customHeight="1" spans="2:6">
      <c r="B2" s="157" t="s">
        <v>3335</v>
      </c>
      <c r="C2" s="158" t="s">
        <v>44</v>
      </c>
      <c r="D2" s="158" t="s">
        <v>45</v>
      </c>
      <c r="E2" s="158" t="s">
        <v>46</v>
      </c>
      <c r="F2" s="158" t="s">
        <v>47</v>
      </c>
    </row>
    <row r="3" ht="14.25" spans="2:6">
      <c r="B3" s="157"/>
      <c r="C3" s="159"/>
      <c r="D3" s="159"/>
      <c r="E3" s="159"/>
      <c r="F3" s="159"/>
    </row>
    <row r="4" ht="15" spans="2:6">
      <c r="B4" s="157"/>
      <c r="C4" s="160" t="s">
        <v>53</v>
      </c>
      <c r="D4" s="160" t="s">
        <v>54</v>
      </c>
      <c r="E4" s="160" t="s">
        <v>55</v>
      </c>
      <c r="F4" s="160" t="s">
        <v>56</v>
      </c>
    </row>
    <row r="5" ht="114" customHeight="1" spans="2:6">
      <c r="B5" s="157" t="s">
        <v>60</v>
      </c>
      <c r="C5" s="158" t="s">
        <v>61</v>
      </c>
      <c r="D5" s="158" t="s">
        <v>62</v>
      </c>
      <c r="E5" s="158" t="s">
        <v>63</v>
      </c>
      <c r="F5" s="158" t="s">
        <v>64</v>
      </c>
    </row>
    <row r="6" ht="14.25" spans="2:6">
      <c r="B6" s="157"/>
      <c r="C6" s="159"/>
      <c r="D6" s="159"/>
      <c r="E6" s="159"/>
      <c r="F6" s="159"/>
    </row>
    <row r="7" ht="15" spans="2:6">
      <c r="B7" s="157"/>
      <c r="C7" s="160" t="s">
        <v>70</v>
      </c>
      <c r="D7" s="160" t="s">
        <v>71</v>
      </c>
      <c r="E7" s="160" t="s">
        <v>72</v>
      </c>
      <c r="F7" s="160" t="s">
        <v>73</v>
      </c>
    </row>
    <row r="8" ht="114" customHeight="1" spans="2:6">
      <c r="B8" s="157" t="s">
        <v>76</v>
      </c>
      <c r="C8" s="158" t="s">
        <v>77</v>
      </c>
      <c r="D8" s="161" t="s">
        <v>3336</v>
      </c>
      <c r="E8" s="158" t="s">
        <v>79</v>
      </c>
      <c r="F8" s="158" t="s">
        <v>80</v>
      </c>
    </row>
    <row r="9" ht="14.25" spans="2:6">
      <c r="B9" s="157"/>
      <c r="C9" s="159"/>
      <c r="D9" s="159"/>
      <c r="E9" s="159"/>
      <c r="F9" s="159"/>
    </row>
    <row r="10" ht="15" spans="2:6">
      <c r="B10" s="157"/>
      <c r="C10" s="160" t="s">
        <v>85</v>
      </c>
      <c r="D10" s="160" t="s">
        <v>86</v>
      </c>
      <c r="E10" s="160" t="s">
        <v>87</v>
      </c>
      <c r="F10" s="160" t="s">
        <v>88</v>
      </c>
    </row>
    <row r="11" ht="106.5" customHeight="1" spans="2:6">
      <c r="B11" s="157" t="s">
        <v>91</v>
      </c>
      <c r="C11" s="158" t="s">
        <v>92</v>
      </c>
      <c r="D11" s="158" t="s">
        <v>93</v>
      </c>
      <c r="E11" s="158" t="s">
        <v>94</v>
      </c>
      <c r="F11" s="158" t="s">
        <v>95</v>
      </c>
    </row>
    <row r="12" ht="14.25" spans="2:6">
      <c r="B12" s="157"/>
      <c r="C12" s="159"/>
      <c r="D12" s="159"/>
      <c r="E12" s="159"/>
      <c r="F12" s="159"/>
    </row>
    <row r="13" ht="15" spans="2:6">
      <c r="B13" s="157"/>
      <c r="C13" s="160" t="s">
        <v>100</v>
      </c>
      <c r="D13" s="160" t="s">
        <v>100</v>
      </c>
      <c r="E13" s="160" t="s">
        <v>101</v>
      </c>
      <c r="F13" s="160" t="s">
        <v>102</v>
      </c>
    </row>
    <row r="14" ht="46.5" customHeight="1" spans="2:6">
      <c r="B14" s="157" t="s">
        <v>105</v>
      </c>
      <c r="C14" s="158" t="s">
        <v>106</v>
      </c>
      <c r="D14" s="158" t="s">
        <v>107</v>
      </c>
      <c r="E14" s="158" t="s">
        <v>108</v>
      </c>
      <c r="F14" s="157" t="s">
        <v>109</v>
      </c>
    </row>
    <row r="15" ht="14.25" spans="2:6">
      <c r="B15" s="157"/>
      <c r="C15" s="159"/>
      <c r="D15" s="159"/>
      <c r="E15" s="159"/>
      <c r="F15" s="157"/>
    </row>
    <row r="16" ht="15" spans="2:6">
      <c r="B16" s="157"/>
      <c r="C16" s="160" t="s">
        <v>117</v>
      </c>
      <c r="D16" s="160" t="s">
        <v>118</v>
      </c>
      <c r="E16" s="160" t="s">
        <v>53</v>
      </c>
      <c r="F16" s="157"/>
    </row>
    <row r="17" ht="91.5" customHeight="1" spans="2:6">
      <c r="B17" s="157" t="s">
        <v>121</v>
      </c>
      <c r="C17" s="158" t="s">
        <v>122</v>
      </c>
      <c r="D17" s="158" t="s">
        <v>123</v>
      </c>
      <c r="E17" s="158" t="s">
        <v>124</v>
      </c>
      <c r="F17" s="157" t="s">
        <v>125</v>
      </c>
    </row>
    <row r="18" ht="14.25" spans="2:6">
      <c r="B18" s="157"/>
      <c r="C18" s="159"/>
      <c r="D18" s="159"/>
      <c r="E18" s="159"/>
      <c r="F18" s="157"/>
    </row>
    <row r="19" ht="15" spans="2:6">
      <c r="B19" s="157"/>
      <c r="C19" s="160" t="s">
        <v>100</v>
      </c>
      <c r="D19" s="160" t="s">
        <v>100</v>
      </c>
      <c r="E19" s="160" t="s">
        <v>130</v>
      </c>
      <c r="F19" s="157"/>
    </row>
    <row r="21" ht="14.25"/>
    <row r="22" ht="30.75" spans="2:5">
      <c r="B22" s="157" t="s">
        <v>3337</v>
      </c>
      <c r="C22" s="157" t="s">
        <v>3338</v>
      </c>
      <c r="D22" s="157" t="s">
        <v>3339</v>
      </c>
      <c r="E22" s="157" t="s">
        <v>3340</v>
      </c>
    </row>
    <row r="23" ht="41.25" spans="2:5">
      <c r="B23" s="157" t="s">
        <v>3341</v>
      </c>
      <c r="C23" s="157" t="s">
        <v>61</v>
      </c>
      <c r="D23" s="157" t="s">
        <v>64</v>
      </c>
      <c r="E23" s="162" t="s">
        <v>3342</v>
      </c>
    </row>
    <row r="24" ht="55.5" spans="2:5">
      <c r="B24" s="157" t="s">
        <v>3341</v>
      </c>
      <c r="C24" s="157" t="s">
        <v>92</v>
      </c>
      <c r="D24" s="157" t="s">
        <v>3343</v>
      </c>
      <c r="E24" s="162" t="s">
        <v>3344</v>
      </c>
    </row>
    <row r="25" ht="54.75" spans="2:5">
      <c r="B25" s="157" t="s">
        <v>3345</v>
      </c>
      <c r="C25" s="157" t="s">
        <v>3346</v>
      </c>
      <c r="D25" s="157" t="s">
        <v>3343</v>
      </c>
      <c r="E25" s="162" t="s">
        <v>3347</v>
      </c>
    </row>
    <row r="26" ht="42" spans="2:5">
      <c r="B26" s="157" t="s">
        <v>3345</v>
      </c>
      <c r="C26" s="157" t="s">
        <v>3348</v>
      </c>
      <c r="D26" s="157" t="s">
        <v>3349</v>
      </c>
      <c r="E26" s="162" t="s">
        <v>3350</v>
      </c>
    </row>
    <row r="27" ht="41.25" spans="2:5">
      <c r="B27" s="157" t="s">
        <v>3351</v>
      </c>
      <c r="C27" s="157" t="s">
        <v>3352</v>
      </c>
      <c r="D27" s="157" t="s">
        <v>3353</v>
      </c>
      <c r="E27" s="162" t="s">
        <v>3354</v>
      </c>
    </row>
    <row r="28" ht="42" spans="2:5">
      <c r="B28" s="157" t="s">
        <v>3355</v>
      </c>
      <c r="C28" s="157" t="s">
        <v>3356</v>
      </c>
      <c r="D28" s="157" t="s">
        <v>80</v>
      </c>
      <c r="E28" s="162" t="s">
        <v>3357</v>
      </c>
    </row>
    <row r="29" ht="56.25" spans="2:5">
      <c r="B29" s="157" t="s">
        <v>3358</v>
      </c>
      <c r="C29" s="157" t="s">
        <v>63</v>
      </c>
      <c r="D29" s="157" t="s">
        <v>64</v>
      </c>
      <c r="E29" s="162" t="s">
        <v>3359</v>
      </c>
    </row>
    <row r="30" ht="42" spans="2:5">
      <c r="B30" s="157" t="s">
        <v>3358</v>
      </c>
      <c r="C30" s="157" t="s">
        <v>46</v>
      </c>
      <c r="D30" s="157" t="s">
        <v>47</v>
      </c>
      <c r="E30" s="162" t="s">
        <v>3360</v>
      </c>
    </row>
    <row r="32" spans="2:2">
      <c r="B32" t="s">
        <v>3361</v>
      </c>
    </row>
    <row r="38" spans="2:2">
      <c r="B38" t="s">
        <v>3362</v>
      </c>
    </row>
    <row r="39" spans="2:2">
      <c r="B39" t="s">
        <v>643</v>
      </c>
    </row>
    <row r="40" spans="2:2">
      <c r="B40" t="s">
        <v>786</v>
      </c>
    </row>
    <row r="41" spans="2:2">
      <c r="B41" t="s">
        <v>779</v>
      </c>
    </row>
    <row r="42" spans="2:2">
      <c r="B42" t="s">
        <v>3363</v>
      </c>
    </row>
    <row r="43" spans="2:2">
      <c r="B43" t="s">
        <v>3364</v>
      </c>
    </row>
    <row r="44" spans="2:2">
      <c r="B44" t="s">
        <v>1689</v>
      </c>
    </row>
    <row r="45" spans="2:2">
      <c r="B45" t="s">
        <v>3365</v>
      </c>
    </row>
    <row r="46" spans="2:2">
      <c r="B46" t="s">
        <v>3366</v>
      </c>
    </row>
    <row r="47" spans="2:2">
      <c r="B47" t="s">
        <v>1430</v>
      </c>
    </row>
    <row r="48" spans="2:2">
      <c r="B48" t="s">
        <v>3367</v>
      </c>
    </row>
  </sheetData>
  <mergeCells count="8">
    <mergeCell ref="B2:B4"/>
    <mergeCell ref="B5:B7"/>
    <mergeCell ref="B8:B10"/>
    <mergeCell ref="B11:B13"/>
    <mergeCell ref="B14:B16"/>
    <mergeCell ref="B17:B19"/>
    <mergeCell ref="F14:F16"/>
    <mergeCell ref="F17:F19"/>
  </mergeCells>
  <hyperlinks>
    <hyperlink ref="B32" r:id="rId1" display="对于拥有两个以上“最佳属性”的角色（如 Lady Judith W, I），建议优先选择 连衣裙 (Dresses)，因为其单一属性在传奇等级最高可达 78点，比分开升级上衣和裤子更省资源。" tooltip="https://wiki.jntgames.com/en/games/Shelter_69/Equipment/Equipment_Stat_scaling"/>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topLeftCell="A23" workbookViewId="0">
      <selection activeCell="C32" sqref="C32"/>
    </sheetView>
  </sheetViews>
  <sheetFormatPr defaultColWidth="9" defaultRowHeight="14.25" outlineLevelCol="5"/>
  <cols>
    <col min="1" max="1" width="6.625" style="145" customWidth="1"/>
    <col min="2" max="2" width="3" style="145" customWidth="1"/>
    <col min="3" max="3" width="10.375" style="145" customWidth="1"/>
    <col min="4" max="4" width="31.75" style="146" customWidth="1"/>
    <col min="5" max="5" width="4.125" style="146" customWidth="1"/>
    <col min="6" max="6" width="31.75" style="147" customWidth="1"/>
    <col min="7" max="16384" width="9" style="145"/>
  </cols>
  <sheetData>
    <row r="1" ht="27.75" spans="1:5">
      <c r="A1" s="148" t="s">
        <v>3368</v>
      </c>
      <c r="B1" s="149" t="s">
        <v>3369</v>
      </c>
      <c r="C1" s="149" t="s">
        <v>3370</v>
      </c>
      <c r="D1" s="147" t="s">
        <v>285</v>
      </c>
      <c r="E1" s="150"/>
    </row>
    <row r="2" ht="54.75" spans="1:6">
      <c r="A2" s="151" t="s">
        <v>320</v>
      </c>
      <c r="B2" s="152">
        <v>1</v>
      </c>
      <c r="C2" s="152" t="s">
        <v>3371</v>
      </c>
      <c r="D2" s="147" t="s">
        <v>3372</v>
      </c>
      <c r="E2" s="150"/>
      <c r="F2" s="147" t="s">
        <v>3373</v>
      </c>
    </row>
    <row r="3" ht="54.75" spans="1:6">
      <c r="A3" s="151" t="str">
        <f>A2</f>
        <v>Andrea</v>
      </c>
      <c r="B3" s="152">
        <v>2</v>
      </c>
      <c r="C3" s="152" t="s">
        <v>3374</v>
      </c>
      <c r="D3" s="147" t="s">
        <v>3375</v>
      </c>
      <c r="E3" s="150"/>
      <c r="F3" s="147" t="s">
        <v>3376</v>
      </c>
    </row>
    <row r="4" ht="29.25" spans="1:6">
      <c r="A4" s="151" t="str">
        <f>A3</f>
        <v>Andrea</v>
      </c>
      <c r="B4" s="152">
        <v>3</v>
      </c>
      <c r="C4" s="152" t="s">
        <v>3377</v>
      </c>
      <c r="D4" s="147" t="s">
        <v>3378</v>
      </c>
      <c r="E4" s="150"/>
      <c r="F4" s="147" t="s">
        <v>3379</v>
      </c>
    </row>
    <row r="5" ht="29.25" spans="1:5">
      <c r="A5" s="151" t="s">
        <v>96</v>
      </c>
      <c r="B5" s="152">
        <v>1</v>
      </c>
      <c r="C5" s="152" t="s">
        <v>3380</v>
      </c>
      <c r="D5" s="153" t="s">
        <v>3381</v>
      </c>
      <c r="E5" s="150"/>
    </row>
    <row r="6" ht="29.25" spans="1:6">
      <c r="A6" s="151" t="str">
        <f>A5</f>
        <v>Ann</v>
      </c>
      <c r="B6" s="152">
        <v>2</v>
      </c>
      <c r="C6" s="152" t="s">
        <v>3382</v>
      </c>
      <c r="D6" s="153" t="s">
        <v>3383</v>
      </c>
      <c r="E6" s="150"/>
      <c r="F6" s="147" t="s">
        <v>3384</v>
      </c>
    </row>
    <row r="7" ht="29.25" spans="1:5">
      <c r="A7" s="151" t="str">
        <f>A6</f>
        <v>Ann</v>
      </c>
      <c r="B7" s="152">
        <v>3</v>
      </c>
      <c r="C7" s="152" t="s">
        <v>3385</v>
      </c>
      <c r="D7" s="147" t="s">
        <v>3386</v>
      </c>
      <c r="E7" s="150"/>
    </row>
    <row r="8" ht="108.75" spans="1:6">
      <c r="A8" s="151" t="s">
        <v>374</v>
      </c>
      <c r="B8" s="152">
        <v>1</v>
      </c>
      <c r="C8" s="152" t="s">
        <v>3387</v>
      </c>
      <c r="D8" s="153" t="s">
        <v>3388</v>
      </c>
      <c r="E8" s="150"/>
      <c r="F8" s="147" t="s">
        <v>3389</v>
      </c>
    </row>
    <row r="9" ht="42.75" spans="1:5">
      <c r="A9" s="151" t="str">
        <f>A8</f>
        <v>Cloe</v>
      </c>
      <c r="B9" s="152">
        <v>2</v>
      </c>
      <c r="C9" s="152" t="s">
        <v>3390</v>
      </c>
      <c r="D9" s="147" t="s">
        <v>3391</v>
      </c>
      <c r="E9" s="150"/>
    </row>
    <row r="10" ht="42.75" spans="1:6">
      <c r="A10" s="151" t="str">
        <f>A9</f>
        <v>Cloe</v>
      </c>
      <c r="B10" s="152">
        <v>3</v>
      </c>
      <c r="C10" s="152" t="s">
        <v>3392</v>
      </c>
      <c r="D10" s="147" t="s">
        <v>3393</v>
      </c>
      <c r="E10" s="150"/>
      <c r="F10" s="147" t="s">
        <v>3394</v>
      </c>
    </row>
    <row r="11" ht="29.25" spans="1:5">
      <c r="A11" s="151" t="s">
        <v>381</v>
      </c>
      <c r="B11" s="152">
        <v>1</v>
      </c>
      <c r="C11" s="152" t="s">
        <v>3395</v>
      </c>
      <c r="D11" s="147" t="s">
        <v>3396</v>
      </c>
      <c r="E11" s="150"/>
    </row>
    <row r="12" ht="41.25" spans="1:6">
      <c r="A12" s="151" t="str">
        <f>A11</f>
        <v>Crazy</v>
      </c>
      <c r="B12" s="152">
        <v>3</v>
      </c>
      <c r="C12" s="152" t="s">
        <v>3397</v>
      </c>
      <c r="D12" s="153" t="s">
        <v>3398</v>
      </c>
      <c r="E12" s="150"/>
      <c r="F12" s="147" t="s">
        <v>3399</v>
      </c>
    </row>
    <row r="13" ht="29.25" spans="1:5">
      <c r="A13" s="151" t="s">
        <v>170</v>
      </c>
      <c r="B13" s="152">
        <v>1</v>
      </c>
      <c r="C13" s="152" t="s">
        <v>3400</v>
      </c>
      <c r="D13" s="147" t="s">
        <v>3401</v>
      </c>
      <c r="E13" s="150"/>
    </row>
    <row r="14" ht="81.75" spans="1:6">
      <c r="A14" s="151" t="str">
        <f>A13</f>
        <v>Irma</v>
      </c>
      <c r="B14" s="152">
        <v>2</v>
      </c>
      <c r="C14" s="152" t="s">
        <v>3402</v>
      </c>
      <c r="D14" s="147" t="s">
        <v>3403</v>
      </c>
      <c r="E14" s="150"/>
      <c r="F14" s="147" t="s">
        <v>3404</v>
      </c>
    </row>
    <row r="15" ht="42.75" spans="1:5">
      <c r="A15" s="151" t="str">
        <f>A14</f>
        <v>Irma</v>
      </c>
      <c r="B15" s="152">
        <v>3</v>
      </c>
      <c r="C15" s="152" t="s">
        <v>3405</v>
      </c>
      <c r="D15" s="147" t="s">
        <v>3406</v>
      </c>
      <c r="E15" s="150"/>
    </row>
    <row r="16" ht="29.25" spans="1:6">
      <c r="A16" s="151" t="s">
        <v>444</v>
      </c>
      <c r="B16" s="152">
        <v>1</v>
      </c>
      <c r="C16" s="152" t="s">
        <v>3407</v>
      </c>
      <c r="D16" s="147" t="s">
        <v>3408</v>
      </c>
      <c r="E16" s="150"/>
      <c r="F16" s="147" t="s">
        <v>3409</v>
      </c>
    </row>
    <row r="17" ht="29.25" spans="1:5">
      <c r="A17" s="151" t="str">
        <f>A16</f>
        <v>Jane</v>
      </c>
      <c r="B17" s="152">
        <v>2</v>
      </c>
      <c r="C17" s="152" t="s">
        <v>3410</v>
      </c>
      <c r="D17" s="147" t="s">
        <v>3411</v>
      </c>
      <c r="E17" s="150"/>
    </row>
    <row r="18" ht="42.75" spans="1:6">
      <c r="A18" s="151" t="str">
        <f>A17</f>
        <v>Jane</v>
      </c>
      <c r="B18" s="152">
        <v>3</v>
      </c>
      <c r="C18" s="152" t="s">
        <v>3412</v>
      </c>
      <c r="D18" s="153" t="s">
        <v>3413</v>
      </c>
      <c r="E18" s="150"/>
      <c r="F18" s="147" t="s">
        <v>3414</v>
      </c>
    </row>
    <row r="19" ht="29.25" spans="1:5">
      <c r="A19" s="151" t="s">
        <v>449</v>
      </c>
      <c r="B19" s="152">
        <v>1</v>
      </c>
      <c r="C19" s="152" t="s">
        <v>3415</v>
      </c>
      <c r="D19" s="147" t="s">
        <v>3416</v>
      </c>
      <c r="E19" s="150"/>
    </row>
    <row r="20" ht="95.25" spans="1:6">
      <c r="A20" s="151" t="str">
        <f>A19</f>
        <v>Karin</v>
      </c>
      <c r="B20" s="152">
        <v>2</v>
      </c>
      <c r="C20" s="152" t="s">
        <v>3417</v>
      </c>
      <c r="D20" s="147" t="s">
        <v>3418</v>
      </c>
      <c r="E20" s="150"/>
      <c r="F20" s="147" t="s">
        <v>3419</v>
      </c>
    </row>
    <row r="21" ht="29.25" spans="1:5">
      <c r="A21" s="151" t="str">
        <f>A20</f>
        <v>Karin</v>
      </c>
      <c r="B21" s="152">
        <v>3</v>
      </c>
      <c r="C21" s="152" t="s">
        <v>3420</v>
      </c>
      <c r="D21" s="147" t="s">
        <v>3421</v>
      </c>
      <c r="E21" s="150"/>
    </row>
    <row r="22" ht="29.25" spans="1:6">
      <c r="A22" s="151" t="s">
        <v>41</v>
      </c>
      <c r="B22" s="152">
        <v>1</v>
      </c>
      <c r="C22" s="152" t="s">
        <v>3422</v>
      </c>
      <c r="D22" s="147" t="s">
        <v>3423</v>
      </c>
      <c r="E22" s="150"/>
      <c r="F22" s="147" t="s">
        <v>3424</v>
      </c>
    </row>
    <row r="23" ht="42.75" spans="1:5">
      <c r="A23" s="151" t="str">
        <f>A22</f>
        <v>Kim</v>
      </c>
      <c r="B23" s="152">
        <v>2</v>
      </c>
      <c r="C23" s="152" t="s">
        <v>3425</v>
      </c>
      <c r="D23" s="147" t="s">
        <v>3426</v>
      </c>
      <c r="E23" s="150"/>
    </row>
    <row r="24" ht="122.25" spans="1:6">
      <c r="A24" s="151" t="str">
        <f>A23</f>
        <v>Kim</v>
      </c>
      <c r="B24" s="152">
        <v>3</v>
      </c>
      <c r="C24" s="152" t="s">
        <v>3427</v>
      </c>
      <c r="D24" s="153" t="s">
        <v>3428</v>
      </c>
      <c r="E24" s="150"/>
      <c r="F24" s="147" t="s">
        <v>3429</v>
      </c>
    </row>
    <row r="25" ht="29.25" spans="1:5">
      <c r="A25" s="151" t="s">
        <v>477</v>
      </c>
      <c r="B25" s="152">
        <v>1</v>
      </c>
      <c r="C25" s="152" t="s">
        <v>3430</v>
      </c>
      <c r="D25" s="147" t="s">
        <v>3431</v>
      </c>
      <c r="E25" s="150"/>
    </row>
    <row r="26" ht="42.75" spans="1:5">
      <c r="A26" s="151" t="str">
        <f>A25</f>
        <v>Lane</v>
      </c>
      <c r="B26" s="152">
        <v>2</v>
      </c>
      <c r="C26" s="152" t="s">
        <v>3432</v>
      </c>
      <c r="D26" s="153" t="s">
        <v>3433</v>
      </c>
      <c r="E26" s="150"/>
    </row>
    <row r="27" ht="29.25" spans="1:5">
      <c r="A27" s="151" t="str">
        <f>A26</f>
        <v>Lane</v>
      </c>
      <c r="B27" s="152">
        <v>3</v>
      </c>
      <c r="C27" s="152" t="s">
        <v>3434</v>
      </c>
      <c r="D27" s="147" t="s">
        <v>3416</v>
      </c>
      <c r="E27" s="150"/>
    </row>
    <row r="28" ht="42.75" spans="1:5">
      <c r="A28" s="151" t="s">
        <v>501</v>
      </c>
      <c r="B28" s="152">
        <v>1</v>
      </c>
      <c r="C28" s="152" t="s">
        <v>3435</v>
      </c>
      <c r="D28" s="153" t="s">
        <v>3436</v>
      </c>
      <c r="E28" s="150"/>
    </row>
    <row r="29" ht="42.75" spans="1:5">
      <c r="A29" s="151" t="str">
        <f>A28</f>
        <v>Martha</v>
      </c>
      <c r="B29" s="152">
        <v>2</v>
      </c>
      <c r="C29" s="152" t="s">
        <v>3437</v>
      </c>
      <c r="D29" s="147" t="s">
        <v>3438</v>
      </c>
      <c r="E29" s="150"/>
    </row>
    <row r="30" ht="29.25" spans="1:5">
      <c r="A30" s="151" t="str">
        <f>A29</f>
        <v>Martha</v>
      </c>
      <c r="B30" s="152">
        <v>3</v>
      </c>
      <c r="C30" s="152" t="s">
        <v>3439</v>
      </c>
      <c r="D30" s="147" t="s">
        <v>3440</v>
      </c>
      <c r="E30" s="150"/>
    </row>
    <row r="31" ht="42.75" spans="1:5">
      <c r="A31" s="151" t="s">
        <v>115</v>
      </c>
      <c r="B31" s="152">
        <v>1</v>
      </c>
      <c r="C31" s="152" t="s">
        <v>3441</v>
      </c>
      <c r="D31" s="147" t="s">
        <v>3442</v>
      </c>
      <c r="E31" s="150"/>
    </row>
    <row r="32" ht="29.25" spans="1:5">
      <c r="A32" s="151" t="str">
        <f>A31</f>
        <v>Momoka</v>
      </c>
      <c r="B32" s="152">
        <v>2</v>
      </c>
      <c r="C32" s="152" t="s">
        <v>3443</v>
      </c>
      <c r="D32" s="147" t="s">
        <v>3444</v>
      </c>
      <c r="E32" s="150"/>
    </row>
    <row r="33" ht="29.25" spans="1:5">
      <c r="A33" s="151" t="str">
        <f>A32</f>
        <v>Momoka</v>
      </c>
      <c r="B33" s="152">
        <v>3</v>
      </c>
      <c r="C33" s="152" t="s">
        <v>3445</v>
      </c>
      <c r="D33" s="147" t="s">
        <v>3446</v>
      </c>
      <c r="E33" s="150"/>
    </row>
    <row r="34" ht="29.25" spans="1:5">
      <c r="A34" s="151" t="s">
        <v>556</v>
      </c>
      <c r="B34" s="152">
        <v>1</v>
      </c>
      <c r="C34" s="152" t="s">
        <v>3447</v>
      </c>
      <c r="D34" s="147" t="s">
        <v>3448</v>
      </c>
      <c r="E34" s="150"/>
    </row>
    <row r="35" ht="29.25" spans="1:5">
      <c r="A35" s="151" t="str">
        <f>A34</f>
        <v>Samantha</v>
      </c>
      <c r="B35" s="152">
        <v>2</v>
      </c>
      <c r="C35" s="152" t="s">
        <v>3449</v>
      </c>
      <c r="D35" s="147" t="s">
        <v>3450</v>
      </c>
      <c r="E35" s="150"/>
    </row>
    <row r="36" ht="42.75" spans="1:5">
      <c r="A36" s="151" t="s">
        <v>561</v>
      </c>
      <c r="B36" s="152">
        <v>1</v>
      </c>
      <c r="C36" s="152" t="s">
        <v>3451</v>
      </c>
      <c r="D36" s="147" t="s">
        <v>3452</v>
      </c>
      <c r="E36" s="150"/>
    </row>
    <row r="37" ht="29.25" spans="1:5">
      <c r="A37" s="151" t="str">
        <f>A36</f>
        <v>Sara</v>
      </c>
      <c r="B37" s="152">
        <v>3</v>
      </c>
      <c r="C37" s="152" t="s">
        <v>3453</v>
      </c>
      <c r="D37" s="153" t="s">
        <v>3454</v>
      </c>
      <c r="E37" s="150"/>
    </row>
    <row r="38" ht="29.25" spans="1:5">
      <c r="A38" s="151" t="s">
        <v>568</v>
      </c>
      <c r="B38" s="152">
        <v>1</v>
      </c>
      <c r="C38" s="152" t="s">
        <v>3455</v>
      </c>
      <c r="D38" s="147" t="s">
        <v>3456</v>
      </c>
      <c r="E38" s="150"/>
    </row>
    <row r="39" ht="29.25" spans="1:5">
      <c r="A39" s="151" t="str">
        <f>A38</f>
        <v>Sonia</v>
      </c>
      <c r="B39" s="152">
        <v>2</v>
      </c>
      <c r="C39" s="152" t="s">
        <v>3427</v>
      </c>
      <c r="D39" s="153" t="s">
        <v>3457</v>
      </c>
      <c r="E39" s="150"/>
    </row>
    <row r="40" ht="29.25" spans="1:5">
      <c r="A40" s="151" t="str">
        <f>A39</f>
        <v>Sonia</v>
      </c>
      <c r="B40" s="152">
        <v>3</v>
      </c>
      <c r="C40" s="152" t="s">
        <v>3458</v>
      </c>
      <c r="D40" s="147" t="s">
        <v>3459</v>
      </c>
      <c r="E40" s="150"/>
    </row>
    <row r="41" ht="29.25" spans="1:5">
      <c r="A41" s="151" t="s">
        <v>57</v>
      </c>
      <c r="B41" s="152">
        <v>1</v>
      </c>
      <c r="C41" s="152" t="s">
        <v>3460</v>
      </c>
      <c r="D41" s="147" t="s">
        <v>3461</v>
      </c>
      <c r="E41" s="150"/>
    </row>
    <row r="42" ht="42.75" spans="1:5">
      <c r="A42" s="151" t="str">
        <f>A41</f>
        <v>Sophie</v>
      </c>
      <c r="B42" s="152">
        <v>2</v>
      </c>
      <c r="C42" s="152" t="s">
        <v>3462</v>
      </c>
      <c r="D42" s="147" t="s">
        <v>3463</v>
      </c>
      <c r="E42" s="150"/>
    </row>
    <row r="43" ht="42.75" spans="1:5">
      <c r="A43" s="151" t="str">
        <f>A42</f>
        <v>Sophie</v>
      </c>
      <c r="B43" s="152">
        <v>3</v>
      </c>
      <c r="C43" s="152" t="s">
        <v>3464</v>
      </c>
      <c r="D43" s="147" t="s">
        <v>3465</v>
      </c>
      <c r="E43" s="150"/>
    </row>
    <row r="44" ht="29.25" spans="1:5">
      <c r="A44" s="151" t="s">
        <v>584</v>
      </c>
      <c r="B44" s="152">
        <v>1</v>
      </c>
      <c r="C44" s="152" t="s">
        <v>3466</v>
      </c>
      <c r="D44" s="147" t="s">
        <v>3467</v>
      </c>
      <c r="E44" s="150"/>
    </row>
    <row r="45" ht="29.25" spans="1:5">
      <c r="A45" s="151" t="str">
        <f>A44</f>
        <v>Tess</v>
      </c>
      <c r="B45" s="152">
        <v>2</v>
      </c>
      <c r="C45" s="152" t="s">
        <v>3468</v>
      </c>
      <c r="D45" s="147" t="s">
        <v>3469</v>
      </c>
      <c r="E45" s="150"/>
    </row>
    <row r="46" ht="29.25" spans="1:5">
      <c r="A46" s="151" t="str">
        <f>A45</f>
        <v>Tess</v>
      </c>
      <c r="B46" s="152">
        <v>3</v>
      </c>
      <c r="C46" s="152" t="s">
        <v>3470</v>
      </c>
      <c r="D46" s="153" t="s">
        <v>3471</v>
      </c>
      <c r="E46" s="150"/>
    </row>
    <row r="47" ht="42.75" spans="1:5">
      <c r="A47" s="151" t="s">
        <v>592</v>
      </c>
      <c r="B47" s="152">
        <v>1</v>
      </c>
      <c r="C47" s="152" t="s">
        <v>3472</v>
      </c>
      <c r="D47" s="147" t="s">
        <v>3473</v>
      </c>
      <c r="E47" s="150"/>
    </row>
    <row r="48" ht="42.75" spans="1:5">
      <c r="A48" s="151" t="str">
        <f>A47</f>
        <v>Trixie</v>
      </c>
      <c r="B48" s="152">
        <v>2</v>
      </c>
      <c r="C48" s="152" t="s">
        <v>3474</v>
      </c>
      <c r="D48" s="147" t="s">
        <v>3475</v>
      </c>
      <c r="E48" s="150"/>
    </row>
    <row r="49" ht="29.25" spans="1:5">
      <c r="A49" s="151" t="str">
        <f>A48</f>
        <v>Trixie</v>
      </c>
      <c r="B49" s="152">
        <v>3</v>
      </c>
      <c r="C49" s="152" t="s">
        <v>3449</v>
      </c>
      <c r="D49" s="147" t="s">
        <v>3476</v>
      </c>
      <c r="E49" s="150"/>
    </row>
    <row r="50" ht="29.25" spans="1:5">
      <c r="A50" s="151" t="s">
        <v>48</v>
      </c>
      <c r="B50" s="152">
        <v>1</v>
      </c>
      <c r="C50" s="152" t="s">
        <v>3477</v>
      </c>
      <c r="D50" s="147" t="s">
        <v>3408</v>
      </c>
      <c r="E50" s="150"/>
    </row>
    <row r="51" ht="42.75" spans="1:5">
      <c r="A51" s="151" t="str">
        <f>A50</f>
        <v>XX</v>
      </c>
      <c r="B51" s="152">
        <v>2</v>
      </c>
      <c r="C51" s="152" t="s">
        <v>3478</v>
      </c>
      <c r="D51" s="147" t="s">
        <v>3479</v>
      </c>
      <c r="E51" s="150"/>
    </row>
    <row r="52" ht="29.25" spans="1:5">
      <c r="A52" s="151" t="str">
        <f>A51</f>
        <v>XX</v>
      </c>
      <c r="B52" s="152">
        <v>3</v>
      </c>
      <c r="C52" s="152" t="s">
        <v>3480</v>
      </c>
      <c r="D52" s="147" t="s">
        <v>3481</v>
      </c>
      <c r="E52" s="150"/>
    </row>
    <row r="53" ht="15" spans="2:5">
      <c r="B53" s="154"/>
      <c r="C53" s="154"/>
      <c r="D53" s="150"/>
      <c r="E53" s="150"/>
    </row>
    <row r="54" ht="15" spans="2:5">
      <c r="B54" s="155"/>
      <c r="C54" s="155"/>
      <c r="D54" s="156"/>
      <c r="E54" s="156"/>
    </row>
  </sheetData>
  <autoFilter ref="A1:D54">
    <sortState ref="A1:D54">
      <sortCondition ref="A1"/>
    </sortState>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topLeftCell="A17" workbookViewId="0">
      <selection activeCell="E25" sqref="E25"/>
    </sheetView>
  </sheetViews>
  <sheetFormatPr defaultColWidth="9" defaultRowHeight="13.5" outlineLevelCol="5"/>
  <cols>
    <col min="6" max="6" width="30.875" customWidth="1"/>
  </cols>
  <sheetData>
    <row r="1" ht="18" spans="1:1">
      <c r="A1" s="138" t="s">
        <v>3482</v>
      </c>
    </row>
    <row r="2" ht="15" spans="1:1">
      <c r="A2" s="139" t="s">
        <v>3483</v>
      </c>
    </row>
    <row r="3" ht="15" spans="1:1">
      <c r="A3" s="139" t="s">
        <v>3484</v>
      </c>
    </row>
    <row r="4" ht="15.75" spans="1:1">
      <c r="A4" s="139"/>
    </row>
    <row r="5" ht="45.75" spans="1:6">
      <c r="A5" s="140" t="s">
        <v>3485</v>
      </c>
      <c r="B5" s="140" t="s">
        <v>3486</v>
      </c>
      <c r="C5" s="140" t="s">
        <v>3487</v>
      </c>
      <c r="D5" s="140" t="s">
        <v>3488</v>
      </c>
      <c r="E5" s="140" t="s">
        <v>3489</v>
      </c>
      <c r="F5" s="141"/>
    </row>
    <row r="6" ht="42.75" spans="1:6">
      <c r="A6" s="141" t="s">
        <v>3490</v>
      </c>
      <c r="B6" s="140" t="s">
        <v>302</v>
      </c>
      <c r="C6" s="141" t="s">
        <v>3491</v>
      </c>
      <c r="D6" s="142" t="s">
        <v>3492</v>
      </c>
      <c r="E6" s="141" t="s">
        <v>3493</v>
      </c>
      <c r="F6" s="141" t="s">
        <v>3494</v>
      </c>
    </row>
    <row r="7" ht="44.25" spans="1:6">
      <c r="A7" s="140" t="s">
        <v>3495</v>
      </c>
      <c r="B7" s="140" t="s">
        <v>153</v>
      </c>
      <c r="C7" s="141" t="s">
        <v>3496</v>
      </c>
      <c r="D7" s="140" t="s">
        <v>3497</v>
      </c>
      <c r="E7" s="141" t="s">
        <v>3493</v>
      </c>
      <c r="F7" s="141" t="s">
        <v>3498</v>
      </c>
    </row>
    <row r="8" ht="43.5" spans="1:6">
      <c r="A8" s="140" t="s">
        <v>3499</v>
      </c>
      <c r="B8" s="140" t="s">
        <v>320</v>
      </c>
      <c r="C8" s="141" t="s">
        <v>3500</v>
      </c>
      <c r="D8" s="141" t="s">
        <v>3500</v>
      </c>
      <c r="E8" s="141" t="s">
        <v>3500</v>
      </c>
      <c r="F8" s="141" t="s">
        <v>3501</v>
      </c>
    </row>
    <row r="9" ht="43.5" spans="1:6">
      <c r="A9" s="141" t="s">
        <v>3502</v>
      </c>
      <c r="B9" s="140" t="s">
        <v>96</v>
      </c>
      <c r="C9" s="141" t="s">
        <v>3503</v>
      </c>
      <c r="D9" s="140" t="s">
        <v>3504</v>
      </c>
      <c r="E9" s="141" t="s">
        <v>3493</v>
      </c>
      <c r="F9" s="141" t="s">
        <v>3505</v>
      </c>
    </row>
    <row r="10" ht="42.75" spans="1:6">
      <c r="A10" s="141" t="s">
        <v>3495</v>
      </c>
      <c r="B10" s="140" t="s">
        <v>336</v>
      </c>
      <c r="C10" s="141" t="s">
        <v>3506</v>
      </c>
      <c r="D10" s="141" t="s">
        <v>3507</v>
      </c>
      <c r="E10" s="141" t="s">
        <v>3493</v>
      </c>
      <c r="F10" s="141" t="s">
        <v>3508</v>
      </c>
    </row>
    <row r="11" ht="44.25" spans="1:6">
      <c r="A11" s="141" t="s">
        <v>3509</v>
      </c>
      <c r="B11" s="140" t="s">
        <v>352</v>
      </c>
      <c r="C11" s="142" t="s">
        <v>3510</v>
      </c>
      <c r="D11" s="140" t="s">
        <v>3511</v>
      </c>
      <c r="E11" s="141" t="s">
        <v>3493</v>
      </c>
      <c r="F11" s="141" t="s">
        <v>3512</v>
      </c>
    </row>
    <row r="12" ht="44.25" spans="1:6">
      <c r="A12" s="141" t="s">
        <v>3513</v>
      </c>
      <c r="B12" s="140" t="s">
        <v>163</v>
      </c>
      <c r="C12" s="140" t="s">
        <v>3514</v>
      </c>
      <c r="D12" s="140" t="s">
        <v>3515</v>
      </c>
      <c r="E12" s="141" t="s">
        <v>3493</v>
      </c>
      <c r="F12" s="141" t="s">
        <v>3516</v>
      </c>
    </row>
    <row r="13" ht="44.25" spans="1:6">
      <c r="A13" s="141" t="s">
        <v>3499</v>
      </c>
      <c r="B13" s="140" t="s">
        <v>374</v>
      </c>
      <c r="C13" s="141" t="s">
        <v>3500</v>
      </c>
      <c r="D13" s="141" t="s">
        <v>3500</v>
      </c>
      <c r="E13" s="140" t="s">
        <v>3497</v>
      </c>
      <c r="F13" s="141" t="s">
        <v>3517</v>
      </c>
    </row>
    <row r="14" ht="28.5" spans="1:6">
      <c r="A14" s="141" t="s">
        <v>3499</v>
      </c>
      <c r="B14" s="140" t="s">
        <v>381</v>
      </c>
      <c r="C14" s="141" t="s">
        <v>3500</v>
      </c>
      <c r="D14" s="141" t="s">
        <v>3500</v>
      </c>
      <c r="E14" s="140" t="s">
        <v>3518</v>
      </c>
      <c r="F14" s="141" t="s">
        <v>3519</v>
      </c>
    </row>
    <row r="15" ht="44.25" spans="1:6">
      <c r="A15" s="140" t="s">
        <v>3520</v>
      </c>
      <c r="B15" s="140" t="s">
        <v>174</v>
      </c>
      <c r="C15" s="140" t="s">
        <v>3521</v>
      </c>
      <c r="D15" s="141" t="s">
        <v>3522</v>
      </c>
      <c r="E15" s="141" t="s">
        <v>3493</v>
      </c>
      <c r="F15" s="141" t="s">
        <v>3523</v>
      </c>
    </row>
    <row r="16" ht="42.75" spans="1:6">
      <c r="A16" s="141" t="s">
        <v>3524</v>
      </c>
      <c r="B16" s="140" t="s">
        <v>167</v>
      </c>
      <c r="C16" s="141" t="s">
        <v>3525</v>
      </c>
      <c r="D16" s="141" t="s">
        <v>3526</v>
      </c>
      <c r="E16" s="141" t="s">
        <v>3493</v>
      </c>
      <c r="F16" s="141" t="s">
        <v>3527</v>
      </c>
    </row>
    <row r="17" ht="43.5" spans="1:6">
      <c r="A17" s="140" t="s">
        <v>3524</v>
      </c>
      <c r="B17" s="140" t="s">
        <v>180</v>
      </c>
      <c r="C17" s="141" t="s">
        <v>3528</v>
      </c>
      <c r="D17" s="141" t="s">
        <v>3529</v>
      </c>
      <c r="E17" s="141" t="s">
        <v>3493</v>
      </c>
      <c r="F17" s="141" t="s">
        <v>3530</v>
      </c>
    </row>
    <row r="18" ht="43.5" spans="1:6">
      <c r="A18" s="141" t="s">
        <v>3513</v>
      </c>
      <c r="B18" s="140" t="s">
        <v>138</v>
      </c>
      <c r="C18" s="140" t="s">
        <v>3531</v>
      </c>
      <c r="D18" s="141" t="s">
        <v>3532</v>
      </c>
      <c r="E18" s="141" t="s">
        <v>3493</v>
      </c>
      <c r="F18" s="141" t="s">
        <v>3533</v>
      </c>
    </row>
    <row r="19" ht="44.25" spans="1:6">
      <c r="A19" s="140" t="s">
        <v>3509</v>
      </c>
      <c r="B19" s="140" t="s">
        <v>421</v>
      </c>
      <c r="C19" s="141" t="s">
        <v>3534</v>
      </c>
      <c r="D19" s="140" t="s">
        <v>3511</v>
      </c>
      <c r="E19" s="141" t="s">
        <v>3493</v>
      </c>
      <c r="F19" s="141" t="s">
        <v>3535</v>
      </c>
    </row>
    <row r="20" ht="43.5" spans="1:6">
      <c r="A20" s="141" t="s">
        <v>3513</v>
      </c>
      <c r="B20" s="140" t="s">
        <v>150</v>
      </c>
      <c r="C20" s="141" t="s">
        <v>3536</v>
      </c>
      <c r="D20" s="141" t="s">
        <v>3537</v>
      </c>
      <c r="E20" s="141" t="s">
        <v>3493</v>
      </c>
      <c r="F20" s="141" t="s">
        <v>3538</v>
      </c>
    </row>
    <row r="21" ht="43.5" spans="1:6">
      <c r="A21" s="141" t="s">
        <v>3499</v>
      </c>
      <c r="B21" s="140" t="s">
        <v>170</v>
      </c>
      <c r="C21" s="141" t="s">
        <v>3500</v>
      </c>
      <c r="D21" s="141" t="s">
        <v>3500</v>
      </c>
      <c r="E21" s="141" t="s">
        <v>3539</v>
      </c>
      <c r="F21" s="141" t="s">
        <v>3540</v>
      </c>
    </row>
    <row r="22" ht="42.75" spans="1:6">
      <c r="A22" s="141" t="s">
        <v>3499</v>
      </c>
      <c r="B22" s="140" t="s">
        <v>444</v>
      </c>
      <c r="C22" s="141" t="s">
        <v>3500</v>
      </c>
      <c r="D22" s="141" t="s">
        <v>3500</v>
      </c>
      <c r="E22" s="141" t="s">
        <v>3541</v>
      </c>
      <c r="F22" s="141" t="s">
        <v>3542</v>
      </c>
    </row>
    <row r="23" ht="43.5" spans="1:6">
      <c r="A23" s="141" t="s">
        <v>3499</v>
      </c>
      <c r="B23" s="140" t="s">
        <v>449</v>
      </c>
      <c r="C23" s="141" t="s">
        <v>3500</v>
      </c>
      <c r="D23" s="141" t="s">
        <v>3500</v>
      </c>
      <c r="E23" s="141" t="s">
        <v>3543</v>
      </c>
      <c r="F23" s="141" t="s">
        <v>3544</v>
      </c>
    </row>
    <row r="24" ht="43.5" spans="1:6">
      <c r="A24" s="141" t="s">
        <v>3513</v>
      </c>
      <c r="B24" s="140" t="s">
        <v>456</v>
      </c>
      <c r="C24" s="140" t="s">
        <v>3545</v>
      </c>
      <c r="D24" s="141" t="s">
        <v>3546</v>
      </c>
      <c r="E24" s="141" t="s">
        <v>3493</v>
      </c>
      <c r="F24" s="141" t="s">
        <v>3547</v>
      </c>
    </row>
    <row r="25" ht="43.5" spans="1:6">
      <c r="A25" s="141" t="s">
        <v>3548</v>
      </c>
      <c r="B25" s="140" t="s">
        <v>41</v>
      </c>
      <c r="C25" s="141" t="s">
        <v>3500</v>
      </c>
      <c r="D25" s="141" t="s">
        <v>3500</v>
      </c>
      <c r="E25" s="140" t="s">
        <v>3549</v>
      </c>
      <c r="F25" s="141" t="s">
        <v>3550</v>
      </c>
    </row>
    <row r="26" ht="43.5" spans="1:6">
      <c r="A26" s="141" t="s">
        <v>3513</v>
      </c>
      <c r="B26" s="140" t="s">
        <v>470</v>
      </c>
      <c r="C26" s="141" t="s">
        <v>3551</v>
      </c>
      <c r="D26" s="140" t="s">
        <v>3552</v>
      </c>
      <c r="E26" s="141" t="s">
        <v>3493</v>
      </c>
      <c r="F26" s="141" t="s">
        <v>3553</v>
      </c>
    </row>
    <row r="27" ht="42.75" spans="1:6">
      <c r="A27" s="140" t="s">
        <v>3548</v>
      </c>
      <c r="B27" s="140" t="s">
        <v>477</v>
      </c>
      <c r="C27" s="141" t="s">
        <v>3500</v>
      </c>
      <c r="D27" s="141" t="s">
        <v>3500</v>
      </c>
      <c r="E27" s="141" t="s">
        <v>3554</v>
      </c>
      <c r="F27" s="141" t="s">
        <v>3555</v>
      </c>
    </row>
    <row r="28" ht="44.25" spans="1:6">
      <c r="A28" s="141" t="s">
        <v>3524</v>
      </c>
      <c r="B28" s="140" t="s">
        <v>160</v>
      </c>
      <c r="C28" s="141" t="s">
        <v>3556</v>
      </c>
      <c r="D28" s="140" t="s">
        <v>3557</v>
      </c>
      <c r="E28" s="141" t="s">
        <v>3493</v>
      </c>
      <c r="F28" s="141" t="s">
        <v>3558</v>
      </c>
    </row>
    <row r="29" ht="43.5" spans="1:6">
      <c r="A29" s="141" t="s">
        <v>3499</v>
      </c>
      <c r="B29" s="140" t="s">
        <v>501</v>
      </c>
      <c r="C29" s="141" t="s">
        <v>3500</v>
      </c>
      <c r="D29" s="141" t="s">
        <v>3500</v>
      </c>
      <c r="E29" s="141" t="s">
        <v>3559</v>
      </c>
      <c r="F29" s="141" t="s">
        <v>3560</v>
      </c>
    </row>
    <row r="30" ht="43.5" spans="1:6">
      <c r="A30" s="141" t="s">
        <v>3513</v>
      </c>
      <c r="B30" s="140" t="s">
        <v>507</v>
      </c>
      <c r="C30" s="141" t="s">
        <v>3561</v>
      </c>
      <c r="D30" s="141" t="s">
        <v>3562</v>
      </c>
      <c r="E30" s="141" t="s">
        <v>3493</v>
      </c>
      <c r="F30" s="141" t="s">
        <v>3563</v>
      </c>
    </row>
    <row r="31" ht="43.5" spans="1:6">
      <c r="A31" s="141" t="s">
        <v>3548</v>
      </c>
      <c r="B31" s="140" t="s">
        <v>115</v>
      </c>
      <c r="C31" s="141" t="s">
        <v>3500</v>
      </c>
      <c r="D31" s="141" t="s">
        <v>3500</v>
      </c>
      <c r="E31" s="141" t="s">
        <v>3564</v>
      </c>
      <c r="F31" s="141" t="s">
        <v>3565</v>
      </c>
    </row>
    <row r="32" ht="43.5" spans="1:6">
      <c r="A32" s="141" t="s">
        <v>3495</v>
      </c>
      <c r="B32" s="140" t="s">
        <v>520</v>
      </c>
      <c r="C32" s="140" t="s">
        <v>3566</v>
      </c>
      <c r="D32" s="141" t="s">
        <v>3567</v>
      </c>
      <c r="E32" s="141" t="s">
        <v>3493</v>
      </c>
      <c r="F32" s="141" t="s">
        <v>3563</v>
      </c>
    </row>
    <row r="33" ht="43.5" spans="1:6">
      <c r="A33" s="141" t="s">
        <v>3495</v>
      </c>
      <c r="B33" s="140" t="s">
        <v>178</v>
      </c>
      <c r="C33" s="140" t="s">
        <v>3568</v>
      </c>
      <c r="D33" s="140" t="s">
        <v>3569</v>
      </c>
      <c r="E33" s="141" t="s">
        <v>3493</v>
      </c>
      <c r="F33" s="141" t="s">
        <v>3570</v>
      </c>
    </row>
    <row r="34" ht="43.5" spans="1:6">
      <c r="A34" s="140" t="s">
        <v>3490</v>
      </c>
      <c r="B34" s="140" t="s">
        <v>157</v>
      </c>
      <c r="C34" s="140" t="s">
        <v>3571</v>
      </c>
      <c r="D34" s="142" t="s">
        <v>3492</v>
      </c>
      <c r="E34" s="141" t="s">
        <v>3493</v>
      </c>
      <c r="F34" s="141" t="s">
        <v>3572</v>
      </c>
    </row>
    <row r="35" ht="43.5" spans="1:6">
      <c r="A35" s="141" t="s">
        <v>3490</v>
      </c>
      <c r="B35" s="140" t="s">
        <v>141</v>
      </c>
      <c r="C35" s="140" t="s">
        <v>3573</v>
      </c>
      <c r="D35" s="142" t="s">
        <v>3492</v>
      </c>
      <c r="E35" s="141" t="s">
        <v>3493</v>
      </c>
      <c r="F35" s="141" t="s">
        <v>3574</v>
      </c>
    </row>
    <row r="36" ht="42.75" spans="1:6">
      <c r="A36" s="140" t="s">
        <v>3513</v>
      </c>
      <c r="B36" s="140" t="s">
        <v>136</v>
      </c>
      <c r="C36" s="141" t="s">
        <v>3525</v>
      </c>
      <c r="D36" s="141" t="s">
        <v>3575</v>
      </c>
      <c r="E36" s="141" t="s">
        <v>3493</v>
      </c>
      <c r="F36" s="141" t="s">
        <v>3576</v>
      </c>
    </row>
    <row r="37" ht="43.5" spans="1:6">
      <c r="A37" s="140" t="s">
        <v>3502</v>
      </c>
      <c r="B37" s="140" t="s">
        <v>556</v>
      </c>
      <c r="C37" s="141" t="s">
        <v>3577</v>
      </c>
      <c r="D37" s="141" t="s">
        <v>3578</v>
      </c>
      <c r="E37" s="141" t="s">
        <v>3493</v>
      </c>
      <c r="F37" s="141" t="s">
        <v>3579</v>
      </c>
    </row>
    <row r="38" ht="44.25" spans="1:6">
      <c r="A38" s="141" t="s">
        <v>3548</v>
      </c>
      <c r="B38" s="140" t="s">
        <v>561</v>
      </c>
      <c r="C38" s="141" t="s">
        <v>3500</v>
      </c>
      <c r="D38" s="141" t="s">
        <v>3500</v>
      </c>
      <c r="E38" s="140" t="s">
        <v>3580</v>
      </c>
      <c r="F38" s="141" t="s">
        <v>3581</v>
      </c>
    </row>
    <row r="39" ht="45.75" spans="1:6">
      <c r="A39" s="141" t="s">
        <v>3502</v>
      </c>
      <c r="B39" s="140" t="s">
        <v>568</v>
      </c>
      <c r="C39" s="141" t="s">
        <v>3582</v>
      </c>
      <c r="D39" s="140" t="s">
        <v>3583</v>
      </c>
      <c r="E39" s="141" t="s">
        <v>3493</v>
      </c>
      <c r="F39" s="141" t="s">
        <v>3584</v>
      </c>
    </row>
    <row r="40" ht="57.75" spans="1:6">
      <c r="A40" s="141" t="s">
        <v>3502</v>
      </c>
      <c r="B40" s="140" t="s">
        <v>57</v>
      </c>
      <c r="C40" s="140" t="s">
        <v>3585</v>
      </c>
      <c r="D40" s="141" t="s">
        <v>3586</v>
      </c>
      <c r="E40" s="141" t="s">
        <v>3493</v>
      </c>
      <c r="F40" s="141" t="s">
        <v>3587</v>
      </c>
    </row>
    <row r="41" ht="43.5" spans="1:6">
      <c r="A41" s="141" t="s">
        <v>3502</v>
      </c>
      <c r="B41" s="140" t="s">
        <v>584</v>
      </c>
      <c r="C41" s="141" t="s">
        <v>3588</v>
      </c>
      <c r="D41" s="140" t="s">
        <v>3573</v>
      </c>
      <c r="E41" s="141" t="s">
        <v>3493</v>
      </c>
      <c r="F41" s="141" t="s">
        <v>3589</v>
      </c>
    </row>
    <row r="42" ht="43.5" spans="1:6">
      <c r="A42" s="141" t="s">
        <v>3499</v>
      </c>
      <c r="B42" s="140" t="s">
        <v>592</v>
      </c>
      <c r="C42" s="141" t="s">
        <v>3500</v>
      </c>
      <c r="D42" s="141" t="s">
        <v>3500</v>
      </c>
      <c r="E42" s="141" t="s">
        <v>3500</v>
      </c>
      <c r="F42" s="141" t="s">
        <v>3590</v>
      </c>
    </row>
    <row r="43" ht="43.5" spans="1:6">
      <c r="A43" s="141" t="s">
        <v>3495</v>
      </c>
      <c r="B43" s="140" t="s">
        <v>183</v>
      </c>
      <c r="C43" s="140" t="s">
        <v>3591</v>
      </c>
      <c r="D43" s="141" t="s">
        <v>3592</v>
      </c>
      <c r="E43" s="141" t="s">
        <v>3493</v>
      </c>
      <c r="F43" s="141" t="s">
        <v>3593</v>
      </c>
    </row>
    <row r="44" ht="43.5" spans="1:6">
      <c r="A44" s="141" t="s">
        <v>3499</v>
      </c>
      <c r="B44" s="140" t="s">
        <v>48</v>
      </c>
      <c r="C44" s="141" t="s">
        <v>3500</v>
      </c>
      <c r="D44" s="141" t="s">
        <v>3500</v>
      </c>
      <c r="E44" s="141" t="s">
        <v>3500</v>
      </c>
      <c r="F44" s="141" t="s">
        <v>3594</v>
      </c>
    </row>
    <row r="47" ht="14.25" spans="1:1">
      <c r="A47" s="143" t="s">
        <v>3595</v>
      </c>
    </row>
    <row r="49" ht="15" spans="1:1">
      <c r="A49" s="144" t="s">
        <v>3596</v>
      </c>
    </row>
    <row r="51" ht="15" spans="1:1">
      <c r="A51" s="144" t="s">
        <v>3597</v>
      </c>
    </row>
    <row r="53" ht="14.25" spans="1:1">
      <c r="A53" s="143" t="s">
        <v>3598</v>
      </c>
    </row>
  </sheetData>
  <autoFilter ref="A5:F44">
    <sortState ref="A5:F44">
      <sortCondition ref="B5"/>
    </sortState>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63"/>
  <sheetViews>
    <sheetView zoomScale="85" zoomScaleNormal="85" topLeftCell="A17" workbookViewId="0">
      <selection activeCell="A45" sqref="A45"/>
    </sheetView>
  </sheetViews>
  <sheetFormatPr defaultColWidth="9" defaultRowHeight="13.5"/>
  <cols>
    <col min="1" max="1" width="9.14166666666667" style="23"/>
    <col min="2" max="2" width="19" style="23" customWidth="1"/>
    <col min="3" max="9" width="9.14166666666667" style="23"/>
    <col min="10" max="10" width="19" style="23" customWidth="1"/>
    <col min="11" max="17" width="9.14166666666667" style="23"/>
    <col min="18" max="18" width="19" style="23" customWidth="1"/>
    <col min="19" max="25" width="9.14166666666667" style="23"/>
    <col min="26" max="26" width="19" style="23" customWidth="1"/>
    <col min="27" max="33" width="9.14166666666667" style="23"/>
    <col min="34" max="34" width="19" style="23" customWidth="1"/>
    <col min="35" max="47" width="9.14166666666667" style="23"/>
    <col min="48" max="48" width="20.2833333333333" style="23" customWidth="1"/>
    <col min="49" max="75" width="14.7083333333333" style="23" customWidth="1"/>
    <col min="76" max="16384" width="9.14166666666667" style="23"/>
  </cols>
  <sheetData>
    <row r="1" spans="1:5">
      <c r="A1" s="23" t="s">
        <v>3599</v>
      </c>
      <c r="E1" s="23" t="s">
        <v>3600</v>
      </c>
    </row>
    <row r="6" spans="1:1">
      <c r="A6" s="23" t="s">
        <v>3601</v>
      </c>
    </row>
    <row r="8" spans="1:1">
      <c r="A8" s="23" t="s">
        <v>3602</v>
      </c>
    </row>
    <row r="10" spans="6:7">
      <c r="F10" s="23" t="s">
        <v>3603</v>
      </c>
      <c r="G10" s="23" t="s">
        <v>3604</v>
      </c>
    </row>
    <row r="18" spans="2:2">
      <c r="B18" s="24" t="s">
        <v>1971</v>
      </c>
    </row>
    <row r="19" spans="2:2">
      <c r="B19" s="25" t="s">
        <v>1994</v>
      </c>
    </row>
    <row r="20" spans="2:2">
      <c r="B20" s="26" t="s">
        <v>1939</v>
      </c>
    </row>
    <row r="21" spans="2:2">
      <c r="B21" s="27" t="s">
        <v>1996</v>
      </c>
    </row>
    <row r="28" ht="15" customHeight="1" spans="2:39">
      <c r="B28" s="28" t="s">
        <v>3605</v>
      </c>
      <c r="C28" s="29"/>
      <c r="D28" s="29"/>
      <c r="E28" s="29"/>
      <c r="F28" s="29"/>
      <c r="G28" s="30"/>
      <c r="J28" s="28" t="s">
        <v>3606</v>
      </c>
      <c r="K28" s="29"/>
      <c r="L28" s="29"/>
      <c r="M28" s="29"/>
      <c r="N28" s="29"/>
      <c r="O28" s="30"/>
      <c r="R28" s="28" t="s">
        <v>2158</v>
      </c>
      <c r="S28" s="29"/>
      <c r="T28" s="29"/>
      <c r="U28" s="29"/>
      <c r="V28" s="29"/>
      <c r="W28" s="30"/>
      <c r="Z28" s="28" t="s">
        <v>2182</v>
      </c>
      <c r="AA28" s="29"/>
      <c r="AB28" s="29"/>
      <c r="AC28" s="29"/>
      <c r="AD28" s="29"/>
      <c r="AE28" s="30"/>
      <c r="AH28" s="28" t="s">
        <v>2208</v>
      </c>
      <c r="AI28" s="29"/>
      <c r="AJ28" s="29"/>
      <c r="AK28" s="29"/>
      <c r="AL28" s="29"/>
      <c r="AM28" s="30"/>
    </row>
    <row r="29" ht="15" customHeight="1" spans="2:39">
      <c r="B29" s="31"/>
      <c r="C29" s="32"/>
      <c r="D29" s="32"/>
      <c r="E29" s="32"/>
      <c r="F29" s="32"/>
      <c r="G29" s="33"/>
      <c r="J29" s="31"/>
      <c r="K29" s="32"/>
      <c r="L29" s="32"/>
      <c r="M29" s="32"/>
      <c r="N29" s="32"/>
      <c r="O29" s="33"/>
      <c r="R29" s="79"/>
      <c r="S29" s="80"/>
      <c r="T29" s="80"/>
      <c r="U29" s="80"/>
      <c r="V29" s="80"/>
      <c r="W29" s="81"/>
      <c r="Z29" s="31"/>
      <c r="AA29" s="32"/>
      <c r="AB29" s="32"/>
      <c r="AC29" s="32"/>
      <c r="AD29" s="32"/>
      <c r="AE29" s="33"/>
      <c r="AH29" s="31"/>
      <c r="AI29" s="32"/>
      <c r="AJ29" s="32"/>
      <c r="AK29" s="32"/>
      <c r="AL29" s="32"/>
      <c r="AM29" s="33"/>
    </row>
    <row r="30" ht="15" customHeight="1" spans="2:39">
      <c r="B30" s="34" t="s">
        <v>1927</v>
      </c>
      <c r="C30" s="35" t="s">
        <v>15</v>
      </c>
      <c r="D30" s="36" t="s">
        <v>16</v>
      </c>
      <c r="E30" s="36" t="s">
        <v>17</v>
      </c>
      <c r="F30" s="36" t="s">
        <v>18</v>
      </c>
      <c r="G30" s="37" t="s">
        <v>19</v>
      </c>
      <c r="J30" s="34" t="s">
        <v>1927</v>
      </c>
      <c r="K30" s="35" t="s">
        <v>15</v>
      </c>
      <c r="L30" s="65" t="s">
        <v>16</v>
      </c>
      <c r="M30" s="65" t="s">
        <v>17</v>
      </c>
      <c r="N30" s="65" t="s">
        <v>18</v>
      </c>
      <c r="O30" s="65" t="s">
        <v>19</v>
      </c>
      <c r="R30" s="82" t="s">
        <v>1927</v>
      </c>
      <c r="S30" s="83" t="s">
        <v>15</v>
      </c>
      <c r="T30" s="84" t="s">
        <v>16</v>
      </c>
      <c r="U30" s="84" t="s">
        <v>17</v>
      </c>
      <c r="V30" s="84" t="s">
        <v>18</v>
      </c>
      <c r="W30" s="84" t="s">
        <v>19</v>
      </c>
      <c r="Z30" s="91" t="s">
        <v>1927</v>
      </c>
      <c r="AA30" s="92" t="s">
        <v>15</v>
      </c>
      <c r="AB30" s="93" t="s">
        <v>16</v>
      </c>
      <c r="AC30" s="93" t="s">
        <v>17</v>
      </c>
      <c r="AD30" s="93" t="s">
        <v>18</v>
      </c>
      <c r="AE30" s="94" t="s">
        <v>19</v>
      </c>
      <c r="AH30" s="97" t="s">
        <v>1927</v>
      </c>
      <c r="AI30" s="35" t="s">
        <v>15</v>
      </c>
      <c r="AJ30" s="65" t="s">
        <v>16</v>
      </c>
      <c r="AK30" s="65" t="s">
        <v>17</v>
      </c>
      <c r="AL30" s="65" t="s">
        <v>18</v>
      </c>
      <c r="AM30" s="65" t="s">
        <v>19</v>
      </c>
    </row>
    <row r="31" ht="15" customHeight="1" spans="2:39">
      <c r="B31" s="38" t="s">
        <v>937</v>
      </c>
      <c r="C31" s="39">
        <v>1</v>
      </c>
      <c r="D31" s="40">
        <v>3</v>
      </c>
      <c r="E31" s="41">
        <v>4</v>
      </c>
      <c r="F31" s="41">
        <v>4</v>
      </c>
      <c r="G31" s="42">
        <v>3</v>
      </c>
      <c r="J31" s="66" t="s">
        <v>1320</v>
      </c>
      <c r="K31" s="46">
        <v>3</v>
      </c>
      <c r="L31" s="67">
        <v>4</v>
      </c>
      <c r="M31" s="68">
        <v>3</v>
      </c>
      <c r="N31" s="68">
        <v>3</v>
      </c>
      <c r="O31" s="69">
        <v>2</v>
      </c>
      <c r="R31" s="66" t="s">
        <v>912</v>
      </c>
      <c r="S31" s="39">
        <v>1</v>
      </c>
      <c r="T31" s="71">
        <v>5</v>
      </c>
      <c r="U31" s="67">
        <v>4</v>
      </c>
      <c r="V31" s="71">
        <v>5</v>
      </c>
      <c r="W31" s="76">
        <v>1</v>
      </c>
      <c r="Z31" s="95" t="s">
        <v>1012</v>
      </c>
      <c r="AA31" s="39">
        <v>1</v>
      </c>
      <c r="AB31" s="67">
        <v>4</v>
      </c>
      <c r="AC31" s="67">
        <v>4</v>
      </c>
      <c r="AD31" s="68">
        <v>3</v>
      </c>
      <c r="AE31" s="68">
        <v>3</v>
      </c>
      <c r="AH31" s="98" t="s">
        <v>643</v>
      </c>
      <c r="AI31" s="99">
        <v>5</v>
      </c>
      <c r="AJ31" s="100">
        <v>1</v>
      </c>
      <c r="AK31" s="100">
        <v>1</v>
      </c>
      <c r="AL31" s="101">
        <v>4</v>
      </c>
      <c r="AM31" s="62">
        <v>4</v>
      </c>
    </row>
    <row r="32" spans="2:39">
      <c r="B32" s="43" t="s">
        <v>943</v>
      </c>
      <c r="C32" s="39">
        <v>1</v>
      </c>
      <c r="D32" s="44">
        <v>1</v>
      </c>
      <c r="E32" s="45">
        <v>5</v>
      </c>
      <c r="F32" s="45">
        <v>5</v>
      </c>
      <c r="G32" s="42">
        <v>3</v>
      </c>
      <c r="J32" s="70" t="s">
        <v>1932</v>
      </c>
      <c r="K32" s="39">
        <v>1</v>
      </c>
      <c r="L32" s="71">
        <v>5</v>
      </c>
      <c r="M32" s="68">
        <v>3</v>
      </c>
      <c r="N32" s="67">
        <v>4</v>
      </c>
      <c r="O32" s="69">
        <v>2</v>
      </c>
      <c r="R32" s="85" t="s">
        <v>920</v>
      </c>
      <c r="S32" s="39">
        <v>1</v>
      </c>
      <c r="T32" s="76">
        <v>1</v>
      </c>
      <c r="U32" s="71">
        <v>5</v>
      </c>
      <c r="V32" s="67">
        <v>4</v>
      </c>
      <c r="W32" s="71">
        <v>5</v>
      </c>
      <c r="Z32" s="70" t="s">
        <v>1808</v>
      </c>
      <c r="AA32" s="58">
        <v>5</v>
      </c>
      <c r="AB32" s="69">
        <v>2</v>
      </c>
      <c r="AC32" s="69">
        <v>2</v>
      </c>
      <c r="AD32" s="68">
        <v>3</v>
      </c>
      <c r="AE32" s="68">
        <v>3</v>
      </c>
      <c r="AH32" s="102" t="s">
        <v>1419</v>
      </c>
      <c r="AI32" s="103">
        <v>1</v>
      </c>
      <c r="AJ32" s="64">
        <v>3</v>
      </c>
      <c r="AK32" s="64">
        <v>3</v>
      </c>
      <c r="AL32" s="101">
        <v>4</v>
      </c>
      <c r="AM32" s="62">
        <v>4</v>
      </c>
    </row>
    <row r="33" ht="27" spans="2:39">
      <c r="B33" s="38" t="s">
        <v>960</v>
      </c>
      <c r="C33" s="46">
        <v>3</v>
      </c>
      <c r="D33" s="41">
        <v>4</v>
      </c>
      <c r="E33" s="44">
        <v>1</v>
      </c>
      <c r="F33" s="41">
        <v>4</v>
      </c>
      <c r="G33" s="42">
        <v>3</v>
      </c>
      <c r="J33" s="72" t="s">
        <v>1590</v>
      </c>
      <c r="K33" s="48">
        <v>4</v>
      </c>
      <c r="L33" s="68">
        <v>3</v>
      </c>
      <c r="M33" s="68">
        <v>3</v>
      </c>
      <c r="N33" s="68">
        <v>3</v>
      </c>
      <c r="O33" s="69">
        <v>2</v>
      </c>
      <c r="R33" s="75" t="s">
        <v>927</v>
      </c>
      <c r="S33" s="57">
        <v>2</v>
      </c>
      <c r="T33" s="68">
        <v>3</v>
      </c>
      <c r="U33" s="67">
        <v>4</v>
      </c>
      <c r="V33" s="68">
        <v>3</v>
      </c>
      <c r="W33" s="68">
        <v>3</v>
      </c>
      <c r="Z33" s="88" t="s">
        <v>651</v>
      </c>
      <c r="AA33" s="58">
        <v>5</v>
      </c>
      <c r="AB33" s="76">
        <v>1</v>
      </c>
      <c r="AC33" s="76">
        <v>1</v>
      </c>
      <c r="AD33" s="67">
        <v>4</v>
      </c>
      <c r="AE33" s="67">
        <v>4</v>
      </c>
      <c r="AH33" s="98" t="s">
        <v>779</v>
      </c>
      <c r="AI33" s="103">
        <v>1</v>
      </c>
      <c r="AJ33" s="104">
        <v>5</v>
      </c>
      <c r="AK33" s="100">
        <v>1</v>
      </c>
      <c r="AL33" s="104">
        <v>5</v>
      </c>
      <c r="AM33" s="63">
        <v>3</v>
      </c>
    </row>
    <row r="34" spans="2:39">
      <c r="B34" s="47" t="s">
        <v>984</v>
      </c>
      <c r="C34" s="48">
        <v>4</v>
      </c>
      <c r="D34" s="44">
        <v>1</v>
      </c>
      <c r="E34" s="41">
        <v>4</v>
      </c>
      <c r="F34" s="40">
        <v>3</v>
      </c>
      <c r="G34" s="42">
        <v>3</v>
      </c>
      <c r="J34" s="73" t="s">
        <v>1366</v>
      </c>
      <c r="K34" s="39">
        <v>1</v>
      </c>
      <c r="L34" s="68">
        <v>3</v>
      </c>
      <c r="M34" s="68">
        <v>3</v>
      </c>
      <c r="N34" s="67">
        <v>4</v>
      </c>
      <c r="O34" s="67">
        <v>4</v>
      </c>
      <c r="R34" s="70" t="s">
        <v>932</v>
      </c>
      <c r="S34" s="39">
        <v>1</v>
      </c>
      <c r="T34" s="76">
        <v>1</v>
      </c>
      <c r="U34" s="68">
        <v>3</v>
      </c>
      <c r="V34" s="67">
        <v>4</v>
      </c>
      <c r="W34" s="71">
        <v>5</v>
      </c>
      <c r="Z34" s="70" t="s">
        <v>699</v>
      </c>
      <c r="AA34" s="39">
        <v>1</v>
      </c>
      <c r="AB34" s="67">
        <v>4</v>
      </c>
      <c r="AC34" s="69">
        <v>2</v>
      </c>
      <c r="AD34" s="67">
        <v>4</v>
      </c>
      <c r="AE34" s="67">
        <v>4</v>
      </c>
      <c r="AH34" s="102" t="s">
        <v>2133</v>
      </c>
      <c r="AI34" s="103">
        <v>1</v>
      </c>
      <c r="AJ34" s="64">
        <v>3</v>
      </c>
      <c r="AK34" s="105">
        <v>2</v>
      </c>
      <c r="AL34" s="104">
        <v>5</v>
      </c>
      <c r="AM34" s="62">
        <v>4</v>
      </c>
    </row>
    <row r="35" spans="2:39">
      <c r="B35" s="49" t="s">
        <v>1002</v>
      </c>
      <c r="C35" s="39">
        <v>1</v>
      </c>
      <c r="D35" s="41">
        <v>4</v>
      </c>
      <c r="E35" s="40">
        <v>3</v>
      </c>
      <c r="F35" s="41">
        <v>4</v>
      </c>
      <c r="G35" s="42">
        <v>3</v>
      </c>
      <c r="J35" s="74" t="s">
        <v>1692</v>
      </c>
      <c r="K35" s="39">
        <v>1</v>
      </c>
      <c r="L35" s="67">
        <v>4</v>
      </c>
      <c r="M35" s="69">
        <v>2</v>
      </c>
      <c r="N35" s="67">
        <v>4</v>
      </c>
      <c r="O35" s="67">
        <v>4</v>
      </c>
      <c r="R35" s="75" t="s">
        <v>955</v>
      </c>
      <c r="S35" s="57">
        <v>2</v>
      </c>
      <c r="T35" s="68">
        <v>3</v>
      </c>
      <c r="U35" s="76">
        <v>1</v>
      </c>
      <c r="V35" s="67">
        <v>4</v>
      </c>
      <c r="W35" s="71">
        <v>5</v>
      </c>
      <c r="Z35" s="88" t="s">
        <v>786</v>
      </c>
      <c r="AA35" s="39">
        <v>1</v>
      </c>
      <c r="AB35" s="71">
        <v>5</v>
      </c>
      <c r="AC35" s="76">
        <v>1</v>
      </c>
      <c r="AD35" s="71">
        <v>5</v>
      </c>
      <c r="AE35" s="68">
        <v>3</v>
      </c>
      <c r="AH35" s="102" t="s">
        <v>1614</v>
      </c>
      <c r="AI35" s="106">
        <v>4</v>
      </c>
      <c r="AJ35" s="105">
        <v>2</v>
      </c>
      <c r="AK35" s="64">
        <v>3</v>
      </c>
      <c r="AL35" s="64">
        <v>3</v>
      </c>
      <c r="AM35" s="63">
        <v>3</v>
      </c>
    </row>
    <row r="36" spans="2:39">
      <c r="B36" s="50" t="s">
        <v>1007</v>
      </c>
      <c r="C36" s="39">
        <v>1</v>
      </c>
      <c r="D36" s="40">
        <v>3</v>
      </c>
      <c r="E36" s="40">
        <v>3</v>
      </c>
      <c r="F36" s="41">
        <v>4</v>
      </c>
      <c r="G36" s="51">
        <v>4</v>
      </c>
      <c r="J36" s="70" t="s">
        <v>1722</v>
      </c>
      <c r="K36" s="57">
        <v>2</v>
      </c>
      <c r="L36" s="67">
        <v>4</v>
      </c>
      <c r="M36" s="69">
        <v>2</v>
      </c>
      <c r="N36" s="67">
        <v>4</v>
      </c>
      <c r="O36" s="68">
        <v>3</v>
      </c>
      <c r="R36" s="85" t="s">
        <v>965</v>
      </c>
      <c r="S36" s="46">
        <v>3</v>
      </c>
      <c r="T36" s="68">
        <v>3</v>
      </c>
      <c r="U36" s="68">
        <v>3</v>
      </c>
      <c r="V36" s="68">
        <v>3</v>
      </c>
      <c r="W36" s="68">
        <v>3</v>
      </c>
      <c r="Z36" s="70" t="s">
        <v>2131</v>
      </c>
      <c r="AA36" s="39">
        <v>1</v>
      </c>
      <c r="AB36" s="68">
        <v>3</v>
      </c>
      <c r="AC36" s="69">
        <v>2</v>
      </c>
      <c r="AD36" s="71">
        <v>5</v>
      </c>
      <c r="AE36" s="67">
        <v>4</v>
      </c>
      <c r="AH36" s="98" t="s">
        <v>1104</v>
      </c>
      <c r="AI36" s="107">
        <v>3</v>
      </c>
      <c r="AJ36" s="100">
        <v>1</v>
      </c>
      <c r="AK36" s="101">
        <v>4</v>
      </c>
      <c r="AL36" s="64">
        <v>3</v>
      </c>
      <c r="AM36" s="62">
        <v>4</v>
      </c>
    </row>
    <row r="37" spans="2:39">
      <c r="B37" s="52" t="s">
        <v>1030</v>
      </c>
      <c r="C37" s="48">
        <v>4</v>
      </c>
      <c r="D37" s="53">
        <v>2</v>
      </c>
      <c r="E37" s="40">
        <v>3</v>
      </c>
      <c r="F37" s="41">
        <v>4</v>
      </c>
      <c r="G37" s="54">
        <v>2</v>
      </c>
      <c r="J37" s="75" t="s">
        <v>1597</v>
      </c>
      <c r="K37" s="48">
        <v>4</v>
      </c>
      <c r="L37" s="68">
        <v>3</v>
      </c>
      <c r="M37" s="68">
        <v>3</v>
      </c>
      <c r="N37" s="68">
        <v>3</v>
      </c>
      <c r="O37" s="69">
        <v>2</v>
      </c>
      <c r="R37" s="75" t="s">
        <v>968</v>
      </c>
      <c r="S37" s="57">
        <v>2</v>
      </c>
      <c r="T37" s="76">
        <v>1</v>
      </c>
      <c r="U37" s="67">
        <v>4</v>
      </c>
      <c r="V37" s="67">
        <v>4</v>
      </c>
      <c r="W37" s="67">
        <v>4</v>
      </c>
      <c r="Z37" s="75" t="s">
        <v>716</v>
      </c>
      <c r="AA37" s="57">
        <v>2</v>
      </c>
      <c r="AB37" s="76">
        <v>1</v>
      </c>
      <c r="AC37" s="67">
        <v>4</v>
      </c>
      <c r="AD37" s="67">
        <v>4</v>
      </c>
      <c r="AE37" s="67">
        <v>4</v>
      </c>
      <c r="AH37" s="102" t="s">
        <v>802</v>
      </c>
      <c r="AI37" s="103">
        <v>1</v>
      </c>
      <c r="AJ37" s="104">
        <v>5</v>
      </c>
      <c r="AK37" s="105">
        <v>2</v>
      </c>
      <c r="AL37" s="101">
        <v>4</v>
      </c>
      <c r="AM37" s="63">
        <v>3</v>
      </c>
    </row>
    <row r="38" spans="2:39">
      <c r="B38" s="55" t="s">
        <v>1055</v>
      </c>
      <c r="C38" s="39">
        <v>1</v>
      </c>
      <c r="D38" s="40">
        <v>3</v>
      </c>
      <c r="E38" s="41">
        <v>4</v>
      </c>
      <c r="F38" s="41">
        <v>4</v>
      </c>
      <c r="G38" s="42">
        <v>3</v>
      </c>
      <c r="J38" s="70" t="s">
        <v>1550</v>
      </c>
      <c r="K38" s="48">
        <v>4</v>
      </c>
      <c r="L38" s="76">
        <v>1</v>
      </c>
      <c r="M38" s="68">
        <v>3</v>
      </c>
      <c r="N38" s="71">
        <v>5</v>
      </c>
      <c r="O38" s="69">
        <v>2</v>
      </c>
      <c r="R38" s="85" t="s">
        <v>975</v>
      </c>
      <c r="S38" s="86">
        <v>0</v>
      </c>
      <c r="T38" s="87">
        <v>0</v>
      </c>
      <c r="U38" s="87">
        <v>0</v>
      </c>
      <c r="V38" s="87">
        <v>0</v>
      </c>
      <c r="W38" s="87">
        <v>0</v>
      </c>
      <c r="Z38" s="85" t="s">
        <v>1109</v>
      </c>
      <c r="AA38" s="46">
        <v>3</v>
      </c>
      <c r="AB38" s="76">
        <v>1</v>
      </c>
      <c r="AC38" s="67">
        <v>4</v>
      </c>
      <c r="AD38" s="68">
        <v>3</v>
      </c>
      <c r="AE38" s="67">
        <v>4</v>
      </c>
      <c r="AH38" s="102" t="s">
        <v>1469</v>
      </c>
      <c r="AI38" s="108">
        <v>2</v>
      </c>
      <c r="AJ38" s="64">
        <v>3</v>
      </c>
      <c r="AK38" s="64">
        <v>3</v>
      </c>
      <c r="AL38" s="101">
        <v>4</v>
      </c>
      <c r="AM38" s="63">
        <v>3</v>
      </c>
    </row>
    <row r="39" spans="2:39">
      <c r="B39" s="56" t="s">
        <v>1060</v>
      </c>
      <c r="C39" s="46">
        <v>3</v>
      </c>
      <c r="D39" s="40">
        <v>3</v>
      </c>
      <c r="E39" s="53">
        <v>2</v>
      </c>
      <c r="F39" s="41">
        <v>4</v>
      </c>
      <c r="G39" s="42">
        <v>3</v>
      </c>
      <c r="J39" s="77" t="s">
        <v>1238</v>
      </c>
      <c r="K39" s="57">
        <v>2</v>
      </c>
      <c r="L39" s="67">
        <v>4</v>
      </c>
      <c r="M39" s="68">
        <v>3</v>
      </c>
      <c r="N39" s="67">
        <v>4</v>
      </c>
      <c r="O39" s="69">
        <v>2</v>
      </c>
      <c r="R39" s="88" t="s">
        <v>979</v>
      </c>
      <c r="S39" s="89">
        <v>0</v>
      </c>
      <c r="T39" s="90">
        <v>0</v>
      </c>
      <c r="U39" s="90">
        <v>0</v>
      </c>
      <c r="V39" s="90">
        <v>0</v>
      </c>
      <c r="W39" s="90">
        <v>0</v>
      </c>
      <c r="Z39" s="75" t="s">
        <v>794</v>
      </c>
      <c r="AA39" s="39">
        <v>1</v>
      </c>
      <c r="AB39" s="71">
        <v>5</v>
      </c>
      <c r="AC39" s="69">
        <v>2</v>
      </c>
      <c r="AD39" s="67">
        <v>4</v>
      </c>
      <c r="AE39" s="68">
        <v>3</v>
      </c>
      <c r="AH39" s="102" t="s">
        <v>1283</v>
      </c>
      <c r="AI39" s="103">
        <v>1</v>
      </c>
      <c r="AJ39" s="101">
        <v>4</v>
      </c>
      <c r="AK39" s="64">
        <v>3</v>
      </c>
      <c r="AL39" s="101">
        <v>4</v>
      </c>
      <c r="AM39" s="63">
        <v>3</v>
      </c>
    </row>
    <row r="40" spans="2:39">
      <c r="B40" s="55" t="s">
        <v>1088</v>
      </c>
      <c r="C40" s="57">
        <v>2</v>
      </c>
      <c r="D40" s="40">
        <v>3</v>
      </c>
      <c r="E40" s="53">
        <v>2</v>
      </c>
      <c r="F40" s="41">
        <v>4</v>
      </c>
      <c r="G40" s="51">
        <v>4</v>
      </c>
      <c r="J40" s="70" t="s">
        <v>1642</v>
      </c>
      <c r="K40" s="46">
        <v>3</v>
      </c>
      <c r="L40" s="68">
        <v>3</v>
      </c>
      <c r="M40" s="68">
        <v>3</v>
      </c>
      <c r="N40" s="68">
        <v>3</v>
      </c>
      <c r="O40" s="68">
        <v>3</v>
      </c>
      <c r="R40" s="70" t="s">
        <v>989</v>
      </c>
      <c r="S40" s="39">
        <v>1</v>
      </c>
      <c r="T40" s="71">
        <v>5</v>
      </c>
      <c r="U40" s="69">
        <v>2</v>
      </c>
      <c r="V40" s="67">
        <v>4</v>
      </c>
      <c r="W40" s="68">
        <v>3</v>
      </c>
      <c r="Z40" s="70" t="s">
        <v>1199</v>
      </c>
      <c r="AA40" s="48">
        <v>4</v>
      </c>
      <c r="AB40" s="68">
        <v>3</v>
      </c>
      <c r="AC40" s="67">
        <v>4</v>
      </c>
      <c r="AD40" s="69">
        <v>2</v>
      </c>
      <c r="AE40" s="69">
        <v>2</v>
      </c>
      <c r="AH40" s="102" t="s">
        <v>1189</v>
      </c>
      <c r="AI40" s="99">
        <v>5</v>
      </c>
      <c r="AJ40" s="100">
        <v>1</v>
      </c>
      <c r="AK40" s="101">
        <v>4</v>
      </c>
      <c r="AL40" s="105">
        <v>2</v>
      </c>
      <c r="AM40" s="63">
        <v>3</v>
      </c>
    </row>
    <row r="41" ht="27" spans="2:39">
      <c r="B41" s="38" t="s">
        <v>1093</v>
      </c>
      <c r="C41" s="48">
        <v>4</v>
      </c>
      <c r="D41" s="41">
        <v>4</v>
      </c>
      <c r="E41" s="41">
        <v>4</v>
      </c>
      <c r="F41" s="40">
        <v>3</v>
      </c>
      <c r="G41" s="42">
        <v>3</v>
      </c>
      <c r="J41" s="75" t="s">
        <v>1070</v>
      </c>
      <c r="K41" s="39">
        <v>1</v>
      </c>
      <c r="L41" s="68">
        <v>3</v>
      </c>
      <c r="M41" s="67">
        <v>4</v>
      </c>
      <c r="N41" s="67">
        <v>4</v>
      </c>
      <c r="O41" s="68">
        <v>3</v>
      </c>
      <c r="R41" s="88" t="s">
        <v>995</v>
      </c>
      <c r="S41" s="48">
        <v>4</v>
      </c>
      <c r="T41" s="76">
        <v>1</v>
      </c>
      <c r="U41" s="76">
        <v>1</v>
      </c>
      <c r="V41" s="67">
        <v>4</v>
      </c>
      <c r="W41" s="71">
        <v>5</v>
      </c>
      <c r="Z41" s="75" t="s">
        <v>1473</v>
      </c>
      <c r="AA41" s="57">
        <v>2</v>
      </c>
      <c r="AB41" s="68">
        <v>3</v>
      </c>
      <c r="AC41" s="68">
        <v>3</v>
      </c>
      <c r="AD41" s="71">
        <v>5</v>
      </c>
      <c r="AE41" s="69">
        <v>2</v>
      </c>
      <c r="AH41" s="102" t="s">
        <v>1396</v>
      </c>
      <c r="AI41" s="103">
        <v>1</v>
      </c>
      <c r="AJ41" s="64">
        <v>3</v>
      </c>
      <c r="AK41" s="64">
        <v>3</v>
      </c>
      <c r="AL41" s="101">
        <v>4</v>
      </c>
      <c r="AM41" s="62">
        <v>4</v>
      </c>
    </row>
    <row r="42" spans="2:39">
      <c r="B42" s="47" t="s">
        <v>1154</v>
      </c>
      <c r="C42" s="58">
        <v>5</v>
      </c>
      <c r="D42" s="40">
        <v>3</v>
      </c>
      <c r="E42" s="44">
        <v>1</v>
      </c>
      <c r="F42" s="40">
        <v>3</v>
      </c>
      <c r="G42" s="42">
        <v>3</v>
      </c>
      <c r="J42" s="70" t="s">
        <v>1511</v>
      </c>
      <c r="K42" s="57">
        <v>2</v>
      </c>
      <c r="L42" s="68">
        <v>3</v>
      </c>
      <c r="M42" s="68">
        <v>3</v>
      </c>
      <c r="N42" s="68">
        <v>3</v>
      </c>
      <c r="O42" s="67">
        <v>4</v>
      </c>
      <c r="R42" s="70" t="s">
        <v>1098</v>
      </c>
      <c r="S42" s="57">
        <v>2</v>
      </c>
      <c r="T42" s="69">
        <v>2</v>
      </c>
      <c r="U42" s="67">
        <v>4</v>
      </c>
      <c r="V42" s="68">
        <v>3</v>
      </c>
      <c r="W42" s="67">
        <v>4</v>
      </c>
      <c r="Z42" s="70" t="s">
        <v>817</v>
      </c>
      <c r="AA42" s="39">
        <v>1</v>
      </c>
      <c r="AB42" s="71">
        <v>5</v>
      </c>
      <c r="AC42" s="69">
        <v>2</v>
      </c>
      <c r="AD42" s="67">
        <v>4</v>
      </c>
      <c r="AE42" s="68">
        <v>3</v>
      </c>
      <c r="AH42" s="102" t="s">
        <v>691</v>
      </c>
      <c r="AI42" s="103">
        <v>1</v>
      </c>
      <c r="AJ42" s="101">
        <v>4</v>
      </c>
      <c r="AK42" s="105">
        <v>2</v>
      </c>
      <c r="AL42" s="101">
        <v>4</v>
      </c>
      <c r="AM42" s="62">
        <v>4</v>
      </c>
    </row>
    <row r="43" spans="2:39">
      <c r="B43" s="56" t="s">
        <v>1161</v>
      </c>
      <c r="C43" s="39">
        <v>1</v>
      </c>
      <c r="D43" s="44">
        <v>1</v>
      </c>
      <c r="E43" s="41">
        <v>4</v>
      </c>
      <c r="F43" s="41">
        <v>4</v>
      </c>
      <c r="G43" s="59">
        <v>5</v>
      </c>
      <c r="J43" s="74" t="s">
        <v>1404</v>
      </c>
      <c r="K43" s="39">
        <v>1</v>
      </c>
      <c r="L43" s="76">
        <v>1</v>
      </c>
      <c r="M43" s="68">
        <v>3</v>
      </c>
      <c r="N43" s="71">
        <v>5</v>
      </c>
      <c r="O43" s="71">
        <v>5</v>
      </c>
      <c r="R43" s="75" t="s">
        <v>1113</v>
      </c>
      <c r="S43" s="39">
        <v>1</v>
      </c>
      <c r="T43" s="68">
        <v>3</v>
      </c>
      <c r="U43" s="71">
        <v>5</v>
      </c>
      <c r="V43" s="67">
        <v>4</v>
      </c>
      <c r="W43" s="69">
        <v>2</v>
      </c>
      <c r="Z43" s="75" t="s">
        <v>1584</v>
      </c>
      <c r="AA43" s="48">
        <v>4</v>
      </c>
      <c r="AB43" s="76">
        <v>1</v>
      </c>
      <c r="AC43" s="68">
        <v>3</v>
      </c>
      <c r="AD43" s="68">
        <v>3</v>
      </c>
      <c r="AE43" s="67">
        <v>4</v>
      </c>
      <c r="AH43" s="102" t="s">
        <v>1076</v>
      </c>
      <c r="AI43" s="107">
        <v>3</v>
      </c>
      <c r="AJ43" s="100">
        <v>1</v>
      </c>
      <c r="AK43" s="101">
        <v>4</v>
      </c>
      <c r="AL43" s="101">
        <v>4</v>
      </c>
      <c r="AM43" s="63">
        <v>3</v>
      </c>
    </row>
    <row r="44" spans="2:39">
      <c r="B44" s="47" t="s">
        <v>1166</v>
      </c>
      <c r="C44" s="39">
        <v>1</v>
      </c>
      <c r="D44" s="53">
        <v>2</v>
      </c>
      <c r="E44" s="41">
        <v>4</v>
      </c>
      <c r="F44" s="41">
        <v>4</v>
      </c>
      <c r="G44" s="51">
        <v>4</v>
      </c>
      <c r="J44" s="73" t="s">
        <v>1562</v>
      </c>
      <c r="K44" s="48">
        <v>4</v>
      </c>
      <c r="L44" s="76">
        <v>1</v>
      </c>
      <c r="M44" s="68">
        <v>3</v>
      </c>
      <c r="N44" s="67">
        <v>4</v>
      </c>
      <c r="O44" s="68">
        <v>3</v>
      </c>
      <c r="R44" s="70" t="s">
        <v>1149</v>
      </c>
      <c r="S44" s="58">
        <v>5</v>
      </c>
      <c r="T44" s="76">
        <v>1</v>
      </c>
      <c r="U44" s="71">
        <v>5</v>
      </c>
      <c r="V44" s="76">
        <v>1</v>
      </c>
      <c r="W44" s="68">
        <v>3</v>
      </c>
      <c r="Z44" s="70" t="s">
        <v>1435</v>
      </c>
      <c r="AA44" s="39">
        <v>1</v>
      </c>
      <c r="AB44" s="68">
        <v>3</v>
      </c>
      <c r="AC44" s="68">
        <v>3</v>
      </c>
      <c r="AD44" s="71">
        <v>5</v>
      </c>
      <c r="AE44" s="68">
        <v>3</v>
      </c>
      <c r="AH44" s="102" t="s">
        <v>1525</v>
      </c>
      <c r="AI44" s="106">
        <v>4</v>
      </c>
      <c r="AJ44" s="101">
        <v>4</v>
      </c>
      <c r="AK44" s="64">
        <v>3</v>
      </c>
      <c r="AL44" s="64">
        <v>3</v>
      </c>
      <c r="AM44" s="109">
        <v>1</v>
      </c>
    </row>
    <row r="45" spans="2:39">
      <c r="B45" s="38" t="s">
        <v>1177</v>
      </c>
      <c r="C45" s="48">
        <v>4</v>
      </c>
      <c r="D45" s="44">
        <v>1</v>
      </c>
      <c r="E45" s="40">
        <v>3</v>
      </c>
      <c r="F45" s="41">
        <v>4</v>
      </c>
      <c r="G45" s="42">
        <v>3</v>
      </c>
      <c r="J45" s="74" t="s">
        <v>1707</v>
      </c>
      <c r="K45" s="39">
        <v>1</v>
      </c>
      <c r="L45" s="67">
        <v>4</v>
      </c>
      <c r="M45" s="69">
        <v>2</v>
      </c>
      <c r="N45" s="67">
        <v>4</v>
      </c>
      <c r="O45" s="67">
        <v>4</v>
      </c>
      <c r="R45" s="75" t="s">
        <v>1171</v>
      </c>
      <c r="S45" s="57">
        <v>2</v>
      </c>
      <c r="T45" s="67">
        <v>4</v>
      </c>
      <c r="U45" s="68">
        <v>3</v>
      </c>
      <c r="V45" s="67">
        <v>4</v>
      </c>
      <c r="W45" s="69">
        <v>2</v>
      </c>
      <c r="Z45" s="75" t="s">
        <v>1273</v>
      </c>
      <c r="AA45" s="39">
        <v>1</v>
      </c>
      <c r="AB45" s="67">
        <v>4</v>
      </c>
      <c r="AC45" s="68">
        <v>3</v>
      </c>
      <c r="AD45" s="67">
        <v>4</v>
      </c>
      <c r="AE45" s="68">
        <v>3</v>
      </c>
      <c r="AH45" s="102" t="s">
        <v>661</v>
      </c>
      <c r="AI45" s="103">
        <v>1</v>
      </c>
      <c r="AJ45" s="101">
        <v>4</v>
      </c>
      <c r="AK45" s="100">
        <v>1</v>
      </c>
      <c r="AL45" s="101">
        <v>4</v>
      </c>
      <c r="AM45" s="110">
        <v>5</v>
      </c>
    </row>
    <row r="46" spans="2:39">
      <c r="B46" s="47" t="s">
        <v>1183</v>
      </c>
      <c r="C46" s="39">
        <v>1</v>
      </c>
      <c r="D46" s="40">
        <v>3</v>
      </c>
      <c r="E46" s="45">
        <v>5</v>
      </c>
      <c r="F46" s="40">
        <v>3</v>
      </c>
      <c r="G46" s="40">
        <v>3</v>
      </c>
      <c r="J46" s="70" t="s">
        <v>1415</v>
      </c>
      <c r="K46" s="39">
        <v>1</v>
      </c>
      <c r="L46" s="76">
        <v>1</v>
      </c>
      <c r="M46" s="68">
        <v>3</v>
      </c>
      <c r="N46" s="71">
        <v>5</v>
      </c>
      <c r="O46" s="71">
        <v>5</v>
      </c>
      <c r="R46" s="70" t="s">
        <v>1212</v>
      </c>
      <c r="S46" s="39">
        <v>1</v>
      </c>
      <c r="T46" s="69">
        <v>2</v>
      </c>
      <c r="U46" s="67">
        <v>4</v>
      </c>
      <c r="V46" s="67">
        <v>4</v>
      </c>
      <c r="W46" s="67">
        <v>4</v>
      </c>
      <c r="Z46" s="70" t="s">
        <v>1602</v>
      </c>
      <c r="AA46" s="48">
        <v>4</v>
      </c>
      <c r="AB46" s="68">
        <v>3</v>
      </c>
      <c r="AC46" s="68">
        <v>3</v>
      </c>
      <c r="AD46" s="68">
        <v>3</v>
      </c>
      <c r="AE46" s="69">
        <v>2</v>
      </c>
      <c r="AH46" s="102" t="s">
        <v>1573</v>
      </c>
      <c r="AI46" s="106">
        <v>4</v>
      </c>
      <c r="AJ46" s="100">
        <v>1</v>
      </c>
      <c r="AK46" s="64">
        <v>3</v>
      </c>
      <c r="AL46" s="64">
        <v>3</v>
      </c>
      <c r="AM46" s="62">
        <v>4</v>
      </c>
    </row>
    <row r="47" spans="2:39">
      <c r="B47" s="56" t="s">
        <v>1243</v>
      </c>
      <c r="C47" s="46">
        <v>3</v>
      </c>
      <c r="D47" s="40">
        <v>3</v>
      </c>
      <c r="E47" s="40">
        <v>3</v>
      </c>
      <c r="F47" s="41">
        <v>4</v>
      </c>
      <c r="G47" s="53">
        <v>2</v>
      </c>
      <c r="J47" s="74" t="s">
        <v>1049</v>
      </c>
      <c r="K47" s="57">
        <v>2</v>
      </c>
      <c r="L47" s="69">
        <v>2</v>
      </c>
      <c r="M47" s="67">
        <v>4</v>
      </c>
      <c r="N47" s="67">
        <v>4</v>
      </c>
      <c r="O47" s="68">
        <v>3</v>
      </c>
      <c r="R47" s="88" t="s">
        <v>1217</v>
      </c>
      <c r="S47" s="89">
        <v>0</v>
      </c>
      <c r="T47" s="90">
        <v>0</v>
      </c>
      <c r="U47" s="90">
        <v>0</v>
      </c>
      <c r="V47" s="90">
        <v>0</v>
      </c>
      <c r="W47" s="90">
        <v>0</v>
      </c>
      <c r="Z47" s="75" t="s">
        <v>1127</v>
      </c>
      <c r="AA47" s="46">
        <v>3</v>
      </c>
      <c r="AB47" s="68">
        <v>3</v>
      </c>
      <c r="AC47" s="67">
        <v>4</v>
      </c>
      <c r="AD47" s="68">
        <v>3</v>
      </c>
      <c r="AE47" s="69">
        <v>2</v>
      </c>
      <c r="AH47" s="102" t="s">
        <v>1631</v>
      </c>
      <c r="AI47" s="106">
        <v>4</v>
      </c>
      <c r="AJ47" s="105">
        <v>2</v>
      </c>
      <c r="AK47" s="64">
        <v>3</v>
      </c>
      <c r="AL47" s="64">
        <v>3</v>
      </c>
      <c r="AM47" s="63">
        <v>3</v>
      </c>
    </row>
    <row r="48" spans="2:39">
      <c r="B48" s="47" t="s">
        <v>1325</v>
      </c>
      <c r="C48" s="46">
        <v>3</v>
      </c>
      <c r="D48" s="53">
        <v>2</v>
      </c>
      <c r="E48" s="40">
        <v>3</v>
      </c>
      <c r="F48" s="41">
        <v>4</v>
      </c>
      <c r="G48" s="40">
        <v>3</v>
      </c>
      <c r="J48" s="78" t="s">
        <v>1335</v>
      </c>
      <c r="K48" s="57">
        <v>2</v>
      </c>
      <c r="L48" s="67">
        <v>4</v>
      </c>
      <c r="M48" s="68">
        <v>3</v>
      </c>
      <c r="N48" s="68">
        <v>3</v>
      </c>
      <c r="O48" s="68">
        <v>3</v>
      </c>
      <c r="R48" s="70" t="s">
        <v>1220</v>
      </c>
      <c r="S48" s="57">
        <v>2</v>
      </c>
      <c r="T48" s="67">
        <v>4</v>
      </c>
      <c r="U48" s="69">
        <v>2</v>
      </c>
      <c r="V48" s="67">
        <v>4</v>
      </c>
      <c r="W48" s="68">
        <v>3</v>
      </c>
      <c r="Z48" s="70" t="s">
        <v>1760</v>
      </c>
      <c r="AA48" s="39">
        <v>1</v>
      </c>
      <c r="AB48" s="68">
        <v>3</v>
      </c>
      <c r="AC48" s="69">
        <v>2</v>
      </c>
      <c r="AD48" s="71">
        <v>5</v>
      </c>
      <c r="AE48" s="67">
        <v>4</v>
      </c>
      <c r="AH48" s="102" t="s">
        <v>1017</v>
      </c>
      <c r="AI48" s="108">
        <v>2</v>
      </c>
      <c r="AJ48" s="101">
        <v>4</v>
      </c>
      <c r="AK48" s="101">
        <v>4</v>
      </c>
      <c r="AL48" s="64">
        <v>3</v>
      </c>
      <c r="AM48" s="111">
        <v>2</v>
      </c>
    </row>
    <row r="49" spans="2:39">
      <c r="B49" s="56" t="s">
        <v>1356</v>
      </c>
      <c r="C49" s="48">
        <v>4</v>
      </c>
      <c r="D49" s="44">
        <v>1</v>
      </c>
      <c r="E49" s="41">
        <v>4</v>
      </c>
      <c r="F49" s="40">
        <v>3</v>
      </c>
      <c r="G49" s="40">
        <v>3</v>
      </c>
      <c r="J49" s="75" t="s">
        <v>1448</v>
      </c>
      <c r="K49" s="46">
        <v>3</v>
      </c>
      <c r="L49" s="69">
        <v>2</v>
      </c>
      <c r="M49" s="68">
        <v>3</v>
      </c>
      <c r="N49" s="71">
        <v>5</v>
      </c>
      <c r="O49" s="69">
        <v>2</v>
      </c>
      <c r="R49" s="88" t="s">
        <v>1227</v>
      </c>
      <c r="S49" s="39">
        <v>1</v>
      </c>
      <c r="T49" s="76">
        <v>1</v>
      </c>
      <c r="U49" s="71">
        <v>5</v>
      </c>
      <c r="V49" s="71">
        <v>5</v>
      </c>
      <c r="W49" s="67">
        <v>4</v>
      </c>
      <c r="Z49" s="75" t="s">
        <v>1400</v>
      </c>
      <c r="AA49" s="39">
        <v>1</v>
      </c>
      <c r="AB49" s="68">
        <v>3</v>
      </c>
      <c r="AC49" s="68">
        <v>3</v>
      </c>
      <c r="AD49" s="67">
        <v>4</v>
      </c>
      <c r="AE49" s="67">
        <v>4</v>
      </c>
      <c r="AH49" s="102" t="s">
        <v>1793</v>
      </c>
      <c r="AI49" s="103">
        <v>1</v>
      </c>
      <c r="AJ49" s="105">
        <v>2</v>
      </c>
      <c r="AK49" s="105">
        <v>2</v>
      </c>
      <c r="AL49" s="101">
        <v>4</v>
      </c>
      <c r="AM49" s="110">
        <v>5</v>
      </c>
    </row>
    <row r="50" spans="2:39">
      <c r="B50" s="47" t="s">
        <v>1361</v>
      </c>
      <c r="C50" s="46">
        <v>3</v>
      </c>
      <c r="D50" s="44">
        <v>1</v>
      </c>
      <c r="E50" s="45">
        <v>5</v>
      </c>
      <c r="F50" s="40">
        <v>3</v>
      </c>
      <c r="G50" s="40">
        <v>3</v>
      </c>
      <c r="J50" s="70" t="s">
        <v>1316</v>
      </c>
      <c r="K50" s="57">
        <v>2</v>
      </c>
      <c r="L50" s="67">
        <v>4</v>
      </c>
      <c r="M50" s="68">
        <v>3</v>
      </c>
      <c r="N50" s="69">
        <v>2</v>
      </c>
      <c r="O50" s="67">
        <v>4</v>
      </c>
      <c r="R50" s="70" t="s">
        <v>1311</v>
      </c>
      <c r="S50" s="57">
        <v>2</v>
      </c>
      <c r="T50" s="67">
        <v>4</v>
      </c>
      <c r="U50" s="69">
        <v>2</v>
      </c>
      <c r="V50" s="68">
        <v>3</v>
      </c>
      <c r="W50" s="67">
        <v>4</v>
      </c>
      <c r="Z50" s="70" t="s">
        <v>1625</v>
      </c>
      <c r="AA50" s="58">
        <v>5</v>
      </c>
      <c r="AB50" s="76">
        <v>1</v>
      </c>
      <c r="AC50" s="68">
        <v>3</v>
      </c>
      <c r="AD50" s="68">
        <v>3</v>
      </c>
      <c r="AE50" s="68">
        <v>3</v>
      </c>
      <c r="AH50" s="102" t="s">
        <v>1065</v>
      </c>
      <c r="AI50" s="108">
        <v>2</v>
      </c>
      <c r="AJ50" s="64">
        <v>3</v>
      </c>
      <c r="AK50" s="101">
        <v>4</v>
      </c>
      <c r="AL50" s="101">
        <v>4</v>
      </c>
      <c r="AM50" s="111">
        <v>2</v>
      </c>
    </row>
    <row r="51" spans="2:39">
      <c r="B51" s="52" t="s">
        <v>1372</v>
      </c>
      <c r="C51" s="48">
        <v>4</v>
      </c>
      <c r="D51" s="44">
        <v>1</v>
      </c>
      <c r="E51" s="41">
        <v>4</v>
      </c>
      <c r="F51" s="41">
        <v>4</v>
      </c>
      <c r="G51" s="53">
        <v>2</v>
      </c>
      <c r="J51" s="74" t="s">
        <v>1711</v>
      </c>
      <c r="K51" s="57">
        <v>2</v>
      </c>
      <c r="L51" s="67">
        <v>4</v>
      </c>
      <c r="M51" s="69">
        <v>2</v>
      </c>
      <c r="N51" s="71">
        <v>5</v>
      </c>
      <c r="O51" s="69">
        <v>2</v>
      </c>
      <c r="R51" s="88" t="s">
        <v>1392</v>
      </c>
      <c r="S51" s="89">
        <v>0</v>
      </c>
      <c r="T51" s="90">
        <v>0</v>
      </c>
      <c r="U51" s="90">
        <v>0</v>
      </c>
      <c r="V51" s="90">
        <v>0</v>
      </c>
      <c r="W51" s="90">
        <v>0</v>
      </c>
      <c r="Z51" s="75" t="s">
        <v>1024</v>
      </c>
      <c r="AA51" s="57">
        <v>2</v>
      </c>
      <c r="AB51" s="67">
        <v>4</v>
      </c>
      <c r="AC51" s="67">
        <v>4</v>
      </c>
      <c r="AD51" s="68">
        <v>3</v>
      </c>
      <c r="AE51" s="69">
        <v>2</v>
      </c>
      <c r="AH51" s="102" t="s">
        <v>1351</v>
      </c>
      <c r="AI51" s="108">
        <v>2</v>
      </c>
      <c r="AJ51" s="101">
        <v>4</v>
      </c>
      <c r="AK51" s="64">
        <v>3</v>
      </c>
      <c r="AL51" s="64">
        <v>3</v>
      </c>
      <c r="AM51" s="63">
        <v>3</v>
      </c>
    </row>
    <row r="52" spans="2:39">
      <c r="B52" s="47" t="s">
        <v>1409</v>
      </c>
      <c r="C52" s="48">
        <v>4</v>
      </c>
      <c r="D52" s="40">
        <v>3</v>
      </c>
      <c r="E52" s="53">
        <v>2</v>
      </c>
      <c r="F52" s="41">
        <v>4</v>
      </c>
      <c r="G52" s="40">
        <v>3</v>
      </c>
      <c r="J52" s="70" t="s">
        <v>1143</v>
      </c>
      <c r="K52" s="46">
        <v>3</v>
      </c>
      <c r="L52" s="69">
        <v>2</v>
      </c>
      <c r="M52" s="67">
        <v>4</v>
      </c>
      <c r="N52" s="68">
        <v>3</v>
      </c>
      <c r="O52" s="68">
        <v>3</v>
      </c>
      <c r="R52" s="70" t="s">
        <v>1430</v>
      </c>
      <c r="S52" s="39">
        <v>1</v>
      </c>
      <c r="T52" s="76">
        <v>1</v>
      </c>
      <c r="U52" s="76">
        <v>1</v>
      </c>
      <c r="V52" s="71">
        <v>5</v>
      </c>
      <c r="W52" s="71">
        <v>5</v>
      </c>
      <c r="Z52" s="70" t="s">
        <v>1611</v>
      </c>
      <c r="AA52" s="48">
        <v>4</v>
      </c>
      <c r="AB52" s="68">
        <v>3</v>
      </c>
      <c r="AC52" s="68">
        <v>3</v>
      </c>
      <c r="AD52" s="69">
        <v>2</v>
      </c>
      <c r="AE52" s="68">
        <v>3</v>
      </c>
      <c r="AH52" s="102" t="s">
        <v>1521</v>
      </c>
      <c r="AI52" s="108">
        <v>2</v>
      </c>
      <c r="AJ52" s="64">
        <v>3</v>
      </c>
      <c r="AK52" s="64">
        <v>3</v>
      </c>
      <c r="AL52" s="64">
        <v>3</v>
      </c>
      <c r="AM52" s="62">
        <v>4</v>
      </c>
    </row>
    <row r="53" spans="2:39">
      <c r="B53" s="52" t="s">
        <v>1453</v>
      </c>
      <c r="C53" s="46">
        <v>3</v>
      </c>
      <c r="D53" s="44">
        <v>1</v>
      </c>
      <c r="E53" s="41">
        <v>4</v>
      </c>
      <c r="F53" s="40">
        <v>3</v>
      </c>
      <c r="G53" s="41">
        <v>4</v>
      </c>
      <c r="J53" s="75" t="s">
        <v>1644</v>
      </c>
      <c r="K53" s="46">
        <v>3</v>
      </c>
      <c r="L53" s="68">
        <v>3</v>
      </c>
      <c r="M53" s="68">
        <v>3</v>
      </c>
      <c r="N53" s="68">
        <v>3</v>
      </c>
      <c r="O53" s="68">
        <v>3</v>
      </c>
      <c r="R53" s="88" t="s">
        <v>1495</v>
      </c>
      <c r="S53" s="39">
        <v>1</v>
      </c>
      <c r="T53" s="67">
        <v>4</v>
      </c>
      <c r="U53" s="69">
        <v>2</v>
      </c>
      <c r="V53" s="71">
        <v>5</v>
      </c>
      <c r="W53" s="68">
        <v>3</v>
      </c>
      <c r="Z53" s="75" t="s">
        <v>1779</v>
      </c>
      <c r="AA53" s="39">
        <v>1</v>
      </c>
      <c r="AB53" s="68">
        <v>3</v>
      </c>
      <c r="AC53" s="69">
        <v>2</v>
      </c>
      <c r="AD53" s="71">
        <v>5</v>
      </c>
      <c r="AE53" s="67">
        <v>4</v>
      </c>
      <c r="AH53" s="102" t="s">
        <v>1492</v>
      </c>
      <c r="AI53" s="108">
        <v>2</v>
      </c>
      <c r="AJ53" s="64">
        <v>3</v>
      </c>
      <c r="AK53" s="64">
        <v>3</v>
      </c>
      <c r="AL53" s="101">
        <v>4</v>
      </c>
      <c r="AM53" s="111">
        <v>2</v>
      </c>
    </row>
    <row r="54" spans="2:39">
      <c r="B54" s="55" t="s">
        <v>1539</v>
      </c>
      <c r="C54" s="48">
        <v>4</v>
      </c>
      <c r="D54" s="41">
        <v>4</v>
      </c>
      <c r="E54" s="44">
        <v>1</v>
      </c>
      <c r="F54" s="40">
        <v>3</v>
      </c>
      <c r="G54" s="40">
        <v>3</v>
      </c>
      <c r="J54" s="70" t="s">
        <v>1655</v>
      </c>
      <c r="K54" s="46">
        <v>3</v>
      </c>
      <c r="L54" s="68">
        <v>3</v>
      </c>
      <c r="M54" s="68">
        <v>3</v>
      </c>
      <c r="N54" s="68">
        <v>3</v>
      </c>
      <c r="O54" s="68">
        <v>3</v>
      </c>
      <c r="R54" s="70" t="s">
        <v>1501</v>
      </c>
      <c r="S54" s="46">
        <v>3</v>
      </c>
      <c r="T54" s="76">
        <v>1</v>
      </c>
      <c r="U54" s="67">
        <v>4</v>
      </c>
      <c r="V54" s="68">
        <v>3</v>
      </c>
      <c r="W54" s="67">
        <v>4</v>
      </c>
      <c r="Z54" s="70" t="s">
        <v>1424</v>
      </c>
      <c r="AA54" s="39">
        <v>1</v>
      </c>
      <c r="AB54" s="68">
        <v>3</v>
      </c>
      <c r="AC54" s="68">
        <v>3</v>
      </c>
      <c r="AD54" s="67">
        <v>4</v>
      </c>
      <c r="AE54" s="67">
        <v>4</v>
      </c>
      <c r="AH54" s="102" t="s">
        <v>1715</v>
      </c>
      <c r="AI54" s="103">
        <v>1</v>
      </c>
      <c r="AJ54" s="101">
        <v>4</v>
      </c>
      <c r="AK54" s="105">
        <v>2</v>
      </c>
      <c r="AL54" s="104">
        <v>5</v>
      </c>
      <c r="AM54" s="63">
        <v>3</v>
      </c>
    </row>
    <row r="55" spans="2:39">
      <c r="B55" s="56" t="s">
        <v>1555</v>
      </c>
      <c r="C55" s="46">
        <v>3</v>
      </c>
      <c r="D55" s="53">
        <v>2</v>
      </c>
      <c r="E55" s="40">
        <v>3</v>
      </c>
      <c r="F55" s="41">
        <v>4</v>
      </c>
      <c r="G55" s="40">
        <v>3</v>
      </c>
      <c r="J55" s="75" t="s">
        <v>1036</v>
      </c>
      <c r="K55" s="39">
        <v>1</v>
      </c>
      <c r="L55" s="69">
        <v>2</v>
      </c>
      <c r="M55" s="67">
        <v>4</v>
      </c>
      <c r="N55" s="67">
        <v>4</v>
      </c>
      <c r="O55" s="67">
        <v>4</v>
      </c>
      <c r="R55" s="75" t="s">
        <v>1516</v>
      </c>
      <c r="S55" s="46">
        <v>3</v>
      </c>
      <c r="T55" s="68">
        <v>3</v>
      </c>
      <c r="U55" s="68">
        <v>3</v>
      </c>
      <c r="V55" s="68">
        <v>3</v>
      </c>
      <c r="W55" s="68">
        <v>3</v>
      </c>
      <c r="Z55" s="75" t="s">
        <v>1594</v>
      </c>
      <c r="AA55" s="48">
        <v>4</v>
      </c>
      <c r="AB55" s="69">
        <v>2</v>
      </c>
      <c r="AC55" s="68">
        <v>3</v>
      </c>
      <c r="AD55" s="68">
        <v>3</v>
      </c>
      <c r="AE55" s="68">
        <v>3</v>
      </c>
      <c r="AH55" s="102" t="s">
        <v>723</v>
      </c>
      <c r="AI55" s="103">
        <v>1</v>
      </c>
      <c r="AJ55" s="100">
        <v>1</v>
      </c>
      <c r="AK55" s="101">
        <v>4</v>
      </c>
      <c r="AL55" s="101">
        <v>4</v>
      </c>
      <c r="AM55" s="110">
        <v>5</v>
      </c>
    </row>
    <row r="56" spans="2:39">
      <c r="B56" s="43" t="s">
        <v>1783</v>
      </c>
      <c r="C56" s="57">
        <v>2</v>
      </c>
      <c r="D56" s="45">
        <v>5</v>
      </c>
      <c r="E56" s="41">
        <v>4</v>
      </c>
      <c r="F56" s="44">
        <v>1</v>
      </c>
      <c r="G56" s="40">
        <v>3</v>
      </c>
      <c r="J56" s="73" t="s">
        <v>1268</v>
      </c>
      <c r="K56" s="39">
        <v>1</v>
      </c>
      <c r="L56" s="67">
        <v>4</v>
      </c>
      <c r="M56" s="68">
        <v>3</v>
      </c>
      <c r="N56" s="67">
        <v>4</v>
      </c>
      <c r="O56" s="68">
        <v>3</v>
      </c>
      <c r="R56" s="70" t="s">
        <v>1637</v>
      </c>
      <c r="S56" s="58">
        <v>5</v>
      </c>
      <c r="T56" s="76">
        <v>1</v>
      </c>
      <c r="U56" s="76">
        <v>1</v>
      </c>
      <c r="V56" s="71">
        <v>5</v>
      </c>
      <c r="W56" s="68">
        <v>3</v>
      </c>
      <c r="Z56" s="70" t="s">
        <v>684</v>
      </c>
      <c r="AA56" s="39">
        <v>1</v>
      </c>
      <c r="AB56" s="67">
        <v>4</v>
      </c>
      <c r="AC56" s="69">
        <v>2</v>
      </c>
      <c r="AD56" s="67">
        <v>4</v>
      </c>
      <c r="AE56" s="67">
        <v>4</v>
      </c>
      <c r="AH56" s="102" t="s">
        <v>1820</v>
      </c>
      <c r="AI56" s="106">
        <v>4</v>
      </c>
      <c r="AJ56" s="64">
        <v>3</v>
      </c>
      <c r="AK56" s="105">
        <v>2</v>
      </c>
      <c r="AL56" s="64">
        <v>3</v>
      </c>
      <c r="AM56" s="63">
        <v>3</v>
      </c>
    </row>
    <row r="57" spans="2:39">
      <c r="B57" s="52" t="s">
        <v>1788</v>
      </c>
      <c r="C57" s="46">
        <v>3</v>
      </c>
      <c r="D57" s="41">
        <v>4</v>
      </c>
      <c r="E57" s="41">
        <v>4</v>
      </c>
      <c r="F57" s="44">
        <v>1</v>
      </c>
      <c r="G57" s="40">
        <v>3</v>
      </c>
      <c r="J57" s="75" t="s">
        <v>1619</v>
      </c>
      <c r="K57" s="48">
        <v>4</v>
      </c>
      <c r="L57" s="68">
        <v>3</v>
      </c>
      <c r="M57" s="68">
        <v>3</v>
      </c>
      <c r="N57" s="68">
        <v>3</v>
      </c>
      <c r="O57" s="69">
        <v>2</v>
      </c>
      <c r="R57" s="75" t="s">
        <v>1650</v>
      </c>
      <c r="S57" s="39">
        <v>1</v>
      </c>
      <c r="T57" s="68">
        <v>3</v>
      </c>
      <c r="U57" s="69">
        <v>2</v>
      </c>
      <c r="V57" s="71">
        <v>5</v>
      </c>
      <c r="W57" s="67">
        <v>4</v>
      </c>
      <c r="Z57" s="75" t="s">
        <v>749</v>
      </c>
      <c r="AA57" s="39">
        <v>1</v>
      </c>
      <c r="AB57" s="76">
        <v>1</v>
      </c>
      <c r="AC57" s="68">
        <v>3</v>
      </c>
      <c r="AD57" s="71">
        <v>5</v>
      </c>
      <c r="AE57" s="71">
        <v>5</v>
      </c>
      <c r="AH57" s="102" t="s">
        <v>708</v>
      </c>
      <c r="AI57" s="103">
        <v>1</v>
      </c>
      <c r="AJ57" s="100">
        <v>1</v>
      </c>
      <c r="AK57" s="101">
        <v>4</v>
      </c>
      <c r="AL57" s="104">
        <v>5</v>
      </c>
      <c r="AM57" s="62">
        <v>4</v>
      </c>
    </row>
    <row r="58" spans="2:39">
      <c r="B58" s="47" t="s">
        <v>1803</v>
      </c>
      <c r="C58" s="48">
        <v>4</v>
      </c>
      <c r="D58" s="53">
        <v>2</v>
      </c>
      <c r="E58" s="41">
        <v>4</v>
      </c>
      <c r="F58" s="41">
        <v>4</v>
      </c>
      <c r="G58" s="44">
        <v>1</v>
      </c>
      <c r="J58" s="70" t="s">
        <v>1606</v>
      </c>
      <c r="K58" s="48">
        <v>4</v>
      </c>
      <c r="L58" s="68">
        <v>3</v>
      </c>
      <c r="M58" s="68">
        <v>3</v>
      </c>
      <c r="N58" s="69">
        <v>2</v>
      </c>
      <c r="O58" s="68">
        <v>3</v>
      </c>
      <c r="R58" s="70" t="s">
        <v>2095</v>
      </c>
      <c r="S58" s="86">
        <v>0</v>
      </c>
      <c r="T58" s="87">
        <v>0</v>
      </c>
      <c r="U58" s="87">
        <v>0</v>
      </c>
      <c r="V58" s="87">
        <v>0</v>
      </c>
      <c r="W58" s="87">
        <v>0</v>
      </c>
      <c r="Z58" s="70" t="s">
        <v>1669</v>
      </c>
      <c r="AA58" s="58">
        <v>5</v>
      </c>
      <c r="AB58" s="76">
        <v>1</v>
      </c>
      <c r="AC58" s="69">
        <v>2</v>
      </c>
      <c r="AD58" s="67">
        <v>4</v>
      </c>
      <c r="AE58" s="68">
        <v>3</v>
      </c>
      <c r="AH58" s="98" t="s">
        <v>731</v>
      </c>
      <c r="AI58" s="103">
        <v>1</v>
      </c>
      <c r="AJ58" s="100">
        <v>1</v>
      </c>
      <c r="AK58" s="104">
        <v>5</v>
      </c>
      <c r="AL58" s="101">
        <v>4</v>
      </c>
      <c r="AM58" s="62">
        <v>4</v>
      </c>
    </row>
    <row r="59" spans="2:39">
      <c r="B59" s="56" t="s">
        <v>1844</v>
      </c>
      <c r="C59" s="46">
        <v>3</v>
      </c>
      <c r="D59" s="44">
        <v>1</v>
      </c>
      <c r="E59" s="40">
        <v>3</v>
      </c>
      <c r="F59" s="41">
        <v>4</v>
      </c>
      <c r="G59" s="41">
        <v>4</v>
      </c>
      <c r="J59" s="74" t="s">
        <v>1082</v>
      </c>
      <c r="K59" s="46">
        <v>3</v>
      </c>
      <c r="L59" s="76">
        <v>1</v>
      </c>
      <c r="M59" s="67">
        <v>4</v>
      </c>
      <c r="N59" s="67">
        <v>4</v>
      </c>
      <c r="O59" s="68">
        <v>3</v>
      </c>
      <c r="R59" s="88" t="s">
        <v>1658</v>
      </c>
      <c r="S59" s="58">
        <v>5</v>
      </c>
      <c r="T59" s="67">
        <v>4</v>
      </c>
      <c r="U59" s="71">
        <v>5</v>
      </c>
      <c r="V59" s="76">
        <v>1</v>
      </c>
      <c r="W59" s="76">
        <v>1</v>
      </c>
      <c r="Z59" s="96" t="s">
        <v>2224</v>
      </c>
      <c r="AA59" s="89">
        <v>0</v>
      </c>
      <c r="AB59" s="90">
        <v>0</v>
      </c>
      <c r="AC59" s="90">
        <v>0</v>
      </c>
      <c r="AD59" s="90">
        <v>0</v>
      </c>
      <c r="AE59" s="90">
        <v>0</v>
      </c>
      <c r="AH59" s="98" t="s">
        <v>867</v>
      </c>
      <c r="AI59" s="99">
        <v>5</v>
      </c>
      <c r="AJ59" s="101">
        <v>4</v>
      </c>
      <c r="AK59" s="104">
        <v>5</v>
      </c>
      <c r="AL59" s="100">
        <v>1</v>
      </c>
      <c r="AM59" s="109">
        <v>1</v>
      </c>
    </row>
    <row r="60" spans="2:39">
      <c r="B60" s="47" t="s">
        <v>1866</v>
      </c>
      <c r="C60" s="57">
        <v>2</v>
      </c>
      <c r="D60" s="41">
        <v>4</v>
      </c>
      <c r="E60" s="40">
        <v>3</v>
      </c>
      <c r="F60" s="40">
        <v>3</v>
      </c>
      <c r="G60" s="40">
        <v>3</v>
      </c>
      <c r="J60" s="73" t="s">
        <v>1697</v>
      </c>
      <c r="K60" s="39">
        <v>1</v>
      </c>
      <c r="L60" s="67">
        <v>4</v>
      </c>
      <c r="M60" s="69">
        <v>2</v>
      </c>
      <c r="N60" s="67">
        <v>4</v>
      </c>
      <c r="O60" s="67">
        <v>4</v>
      </c>
      <c r="R60" s="70" t="s">
        <v>2098</v>
      </c>
      <c r="S60" s="86">
        <v>0</v>
      </c>
      <c r="T60" s="87">
        <v>0</v>
      </c>
      <c r="U60" s="87">
        <v>0</v>
      </c>
      <c r="V60" s="87">
        <v>0</v>
      </c>
      <c r="W60" s="87">
        <v>0</v>
      </c>
      <c r="Z60" s="70" t="s">
        <v>1132</v>
      </c>
      <c r="AA60" s="46">
        <v>3</v>
      </c>
      <c r="AB60" s="69">
        <v>2</v>
      </c>
      <c r="AC60" s="67">
        <v>4</v>
      </c>
      <c r="AD60" s="68">
        <v>3</v>
      </c>
      <c r="AE60" s="68">
        <v>3</v>
      </c>
      <c r="AH60" s="98" t="s">
        <v>896</v>
      </c>
      <c r="AI60" s="103">
        <v>1</v>
      </c>
      <c r="AJ60" s="100">
        <v>1</v>
      </c>
      <c r="AK60" s="100">
        <v>1</v>
      </c>
      <c r="AL60" s="104">
        <v>5</v>
      </c>
      <c r="AM60" s="110">
        <v>5</v>
      </c>
    </row>
    <row r="61" ht="27" spans="2:39">
      <c r="B61" s="60" t="s">
        <v>1880</v>
      </c>
      <c r="C61" s="61">
        <v>2</v>
      </c>
      <c r="D61" s="62">
        <v>4</v>
      </c>
      <c r="E61" s="62">
        <v>4</v>
      </c>
      <c r="F61" s="63">
        <v>3</v>
      </c>
      <c r="G61" s="64">
        <v>3</v>
      </c>
      <c r="J61" s="72" t="s">
        <v>1774</v>
      </c>
      <c r="K61" s="46">
        <v>3</v>
      </c>
      <c r="L61" s="69">
        <v>2</v>
      </c>
      <c r="M61" s="69">
        <v>2</v>
      </c>
      <c r="N61" s="67">
        <v>4</v>
      </c>
      <c r="O61" s="67">
        <v>4</v>
      </c>
      <c r="R61" s="75" t="s">
        <v>1663</v>
      </c>
      <c r="S61" s="48">
        <v>4</v>
      </c>
      <c r="T61" s="76">
        <v>1</v>
      </c>
      <c r="U61" s="68">
        <v>3</v>
      </c>
      <c r="V61" s="67">
        <v>4</v>
      </c>
      <c r="W61" s="68">
        <v>3</v>
      </c>
      <c r="Z61" s="88" t="s">
        <v>739</v>
      </c>
      <c r="AA61" s="39">
        <v>1</v>
      </c>
      <c r="AB61" s="76">
        <v>1</v>
      </c>
      <c r="AC61" s="71">
        <v>5</v>
      </c>
      <c r="AD61" s="67">
        <v>4</v>
      </c>
      <c r="AE61" s="67">
        <v>4</v>
      </c>
      <c r="AH61" s="102" t="s">
        <v>1529</v>
      </c>
      <c r="AI61" s="106">
        <v>4</v>
      </c>
      <c r="AJ61" s="101">
        <v>4</v>
      </c>
      <c r="AK61" s="64">
        <v>3</v>
      </c>
      <c r="AL61" s="105">
        <v>2</v>
      </c>
      <c r="AM61" s="111">
        <v>2</v>
      </c>
    </row>
    <row r="62" spans="10:39">
      <c r="J62" s="73" t="s">
        <v>1751</v>
      </c>
      <c r="K62" s="46">
        <v>3</v>
      </c>
      <c r="L62" s="67">
        <v>4</v>
      </c>
      <c r="M62" s="69">
        <v>2</v>
      </c>
      <c r="N62" s="68">
        <v>3</v>
      </c>
      <c r="O62" s="68">
        <v>3</v>
      </c>
      <c r="R62" s="85" t="s">
        <v>1675</v>
      </c>
      <c r="S62" s="86">
        <v>0</v>
      </c>
      <c r="T62" s="87">
        <v>0</v>
      </c>
      <c r="U62" s="87">
        <v>0</v>
      </c>
      <c r="V62" s="87">
        <v>0</v>
      </c>
      <c r="W62" s="87">
        <v>0</v>
      </c>
      <c r="Z62" s="70" t="s">
        <v>1277</v>
      </c>
      <c r="AA62" s="57">
        <v>2</v>
      </c>
      <c r="AB62" s="67">
        <v>4</v>
      </c>
      <c r="AC62" s="68">
        <v>3</v>
      </c>
      <c r="AD62" s="67">
        <v>4</v>
      </c>
      <c r="AE62" s="69">
        <v>2</v>
      </c>
      <c r="AH62" s="98" t="s">
        <v>1876</v>
      </c>
      <c r="AI62" s="106">
        <v>4</v>
      </c>
      <c r="AJ62" s="64">
        <v>3</v>
      </c>
      <c r="AK62" s="100">
        <v>1</v>
      </c>
      <c r="AL62" s="64">
        <v>3</v>
      </c>
      <c r="AM62" s="62">
        <v>4</v>
      </c>
    </row>
    <row r="63" spans="10:39">
      <c r="J63" s="75" t="s">
        <v>1464</v>
      </c>
      <c r="K63" s="46">
        <v>3</v>
      </c>
      <c r="L63" s="69">
        <v>2</v>
      </c>
      <c r="M63" s="68">
        <v>3</v>
      </c>
      <c r="N63" s="71">
        <v>5</v>
      </c>
      <c r="O63" s="69">
        <v>2</v>
      </c>
      <c r="R63" s="75" t="s">
        <v>1679</v>
      </c>
      <c r="S63" s="48">
        <v>4</v>
      </c>
      <c r="T63" s="69">
        <v>2</v>
      </c>
      <c r="U63" s="68">
        <v>3</v>
      </c>
      <c r="V63" s="67">
        <v>4</v>
      </c>
      <c r="W63" s="69">
        <v>2</v>
      </c>
      <c r="Z63" s="88" t="s">
        <v>766</v>
      </c>
      <c r="AA63" s="58">
        <v>5</v>
      </c>
      <c r="AB63" s="71">
        <v>5</v>
      </c>
      <c r="AC63" s="67">
        <v>4</v>
      </c>
      <c r="AD63" s="76">
        <v>1</v>
      </c>
      <c r="AE63" s="76">
        <v>1</v>
      </c>
      <c r="AH63" s="102" t="s">
        <v>1764</v>
      </c>
      <c r="AI63" s="108">
        <v>2</v>
      </c>
      <c r="AJ63" s="64">
        <v>3</v>
      </c>
      <c r="AK63" s="105">
        <v>2</v>
      </c>
      <c r="AL63" s="101">
        <v>4</v>
      </c>
      <c r="AM63" s="62">
        <v>4</v>
      </c>
    </row>
    <row r="64" spans="10:39">
      <c r="J64" s="70" t="s">
        <v>1137</v>
      </c>
      <c r="K64" s="57">
        <v>2</v>
      </c>
      <c r="L64" s="68">
        <v>3</v>
      </c>
      <c r="M64" s="67">
        <v>4</v>
      </c>
      <c r="N64" s="68">
        <v>3</v>
      </c>
      <c r="O64" s="68">
        <v>3</v>
      </c>
      <c r="R64" s="70" t="s">
        <v>1689</v>
      </c>
      <c r="S64" s="46">
        <v>3</v>
      </c>
      <c r="T64" s="68">
        <v>3</v>
      </c>
      <c r="U64" s="68">
        <v>3</v>
      </c>
      <c r="V64" s="68">
        <v>3</v>
      </c>
      <c r="W64" s="68">
        <v>3</v>
      </c>
      <c r="Z64" s="85" t="s">
        <v>874</v>
      </c>
      <c r="AA64" s="58">
        <v>5</v>
      </c>
      <c r="AB64" s="67">
        <v>4</v>
      </c>
      <c r="AC64" s="71">
        <v>5</v>
      </c>
      <c r="AD64" s="76">
        <v>1</v>
      </c>
      <c r="AE64" s="76">
        <v>1</v>
      </c>
      <c r="AH64" s="102" t="s">
        <v>810</v>
      </c>
      <c r="AI64" s="103">
        <v>1</v>
      </c>
      <c r="AJ64" s="104">
        <v>5</v>
      </c>
      <c r="AK64" s="64">
        <v>3</v>
      </c>
      <c r="AL64" s="101">
        <v>4</v>
      </c>
      <c r="AM64" s="111">
        <v>2</v>
      </c>
    </row>
    <row r="65" spans="10:39">
      <c r="J65" s="74" t="s">
        <v>1545</v>
      </c>
      <c r="K65" s="48">
        <v>4</v>
      </c>
      <c r="L65" s="76">
        <v>1</v>
      </c>
      <c r="M65" s="68">
        <v>3</v>
      </c>
      <c r="N65" s="67">
        <v>4</v>
      </c>
      <c r="O65" s="68">
        <v>3</v>
      </c>
      <c r="R65" s="75" t="s">
        <v>1727</v>
      </c>
      <c r="S65" s="57">
        <v>2</v>
      </c>
      <c r="T65" s="67">
        <v>4</v>
      </c>
      <c r="U65" s="68">
        <v>3</v>
      </c>
      <c r="V65" s="69">
        <v>2</v>
      </c>
      <c r="W65" s="67">
        <v>4</v>
      </c>
      <c r="Z65" s="88" t="s">
        <v>904</v>
      </c>
      <c r="AA65" s="39">
        <v>1</v>
      </c>
      <c r="AB65" s="76">
        <v>1</v>
      </c>
      <c r="AC65" s="76">
        <v>1</v>
      </c>
      <c r="AD65" s="71">
        <v>5</v>
      </c>
      <c r="AE65" s="71">
        <v>5</v>
      </c>
      <c r="AH65" s="98" t="s">
        <v>1814</v>
      </c>
      <c r="AI65" s="106">
        <v>4</v>
      </c>
      <c r="AJ65" s="64">
        <v>3</v>
      </c>
      <c r="AK65" s="105">
        <v>2</v>
      </c>
      <c r="AL65" s="64">
        <v>3</v>
      </c>
      <c r="AM65" s="63">
        <v>3</v>
      </c>
    </row>
    <row r="66" spans="10:39">
      <c r="J66" s="70" t="s">
        <v>1647</v>
      </c>
      <c r="K66" s="46">
        <v>3</v>
      </c>
      <c r="L66" s="68">
        <v>3</v>
      </c>
      <c r="M66" s="68">
        <v>3</v>
      </c>
      <c r="N66" s="68">
        <v>3</v>
      </c>
      <c r="O66" s="68">
        <v>3</v>
      </c>
      <c r="R66" s="70" t="s">
        <v>1731</v>
      </c>
      <c r="S66" s="39">
        <v>1</v>
      </c>
      <c r="T66" s="69">
        <v>2</v>
      </c>
      <c r="U66" s="67">
        <v>4</v>
      </c>
      <c r="V66" s="67">
        <v>4</v>
      </c>
      <c r="W66" s="67">
        <v>4</v>
      </c>
      <c r="Z66" s="85" t="s">
        <v>1871</v>
      </c>
      <c r="AA66" s="48">
        <v>4</v>
      </c>
      <c r="AB66" s="68">
        <v>3</v>
      </c>
      <c r="AC66" s="76">
        <v>1</v>
      </c>
      <c r="AD66" s="68">
        <v>3</v>
      </c>
      <c r="AE66" s="67">
        <v>4</v>
      </c>
      <c r="AH66" s="98" t="s">
        <v>881</v>
      </c>
      <c r="AI66" s="103">
        <v>1</v>
      </c>
      <c r="AJ66" s="104">
        <v>5</v>
      </c>
      <c r="AK66" s="100">
        <v>1</v>
      </c>
      <c r="AL66" s="104">
        <v>5</v>
      </c>
      <c r="AM66" s="63">
        <v>3</v>
      </c>
    </row>
    <row r="67" spans="10:39">
      <c r="J67" s="72" t="s">
        <v>1578</v>
      </c>
      <c r="K67" s="48">
        <v>4</v>
      </c>
      <c r="L67" s="76">
        <v>1</v>
      </c>
      <c r="M67" s="68">
        <v>3</v>
      </c>
      <c r="N67" s="68">
        <v>3</v>
      </c>
      <c r="O67" s="67">
        <v>4</v>
      </c>
      <c r="R67" s="75" t="s">
        <v>1736</v>
      </c>
      <c r="S67" s="39">
        <v>1</v>
      </c>
      <c r="T67" s="69">
        <v>2</v>
      </c>
      <c r="U67" s="67">
        <v>4</v>
      </c>
      <c r="V67" s="67">
        <v>4</v>
      </c>
      <c r="W67" s="67">
        <v>4</v>
      </c>
      <c r="Z67" s="75" t="s">
        <v>1817</v>
      </c>
      <c r="AA67" s="48">
        <v>4</v>
      </c>
      <c r="AB67" s="68">
        <v>3</v>
      </c>
      <c r="AC67" s="69">
        <v>2</v>
      </c>
      <c r="AD67" s="68">
        <v>3</v>
      </c>
      <c r="AE67" s="68">
        <v>3</v>
      </c>
      <c r="AH67" s="102" t="s">
        <v>1506</v>
      </c>
      <c r="AI67" s="108">
        <v>2</v>
      </c>
      <c r="AJ67" s="64">
        <v>3</v>
      </c>
      <c r="AK67" s="64">
        <v>3</v>
      </c>
      <c r="AL67" s="64">
        <v>3</v>
      </c>
      <c r="AM67" s="62">
        <v>4</v>
      </c>
    </row>
    <row r="68" spans="10:39">
      <c r="J68" s="112" t="s">
        <v>1534</v>
      </c>
      <c r="K68" s="48">
        <v>4</v>
      </c>
      <c r="L68" s="76">
        <v>1</v>
      </c>
      <c r="M68" s="68">
        <v>3</v>
      </c>
      <c r="N68" s="67">
        <v>4</v>
      </c>
      <c r="O68" s="68">
        <v>3</v>
      </c>
      <c r="R68" s="85" t="s">
        <v>1755</v>
      </c>
      <c r="S68" s="39">
        <v>1</v>
      </c>
      <c r="T68" s="71">
        <v>5</v>
      </c>
      <c r="U68" s="69">
        <v>2</v>
      </c>
      <c r="V68" s="67">
        <v>4</v>
      </c>
      <c r="W68" s="68">
        <v>3</v>
      </c>
      <c r="Z68" s="70" t="s">
        <v>1330</v>
      </c>
      <c r="AA68" s="57">
        <v>2</v>
      </c>
      <c r="AB68" s="67">
        <v>4</v>
      </c>
      <c r="AC68" s="68">
        <v>3</v>
      </c>
      <c r="AD68" s="68">
        <v>3</v>
      </c>
      <c r="AE68" s="68">
        <v>3</v>
      </c>
      <c r="AH68" s="102" t="s">
        <v>1300</v>
      </c>
      <c r="AI68" s="103">
        <v>1</v>
      </c>
      <c r="AJ68" s="101">
        <v>4</v>
      </c>
      <c r="AK68" s="64">
        <v>3</v>
      </c>
      <c r="AL68" s="101">
        <v>4</v>
      </c>
      <c r="AM68" s="63">
        <v>3</v>
      </c>
    </row>
    <row r="69" spans="10:39">
      <c r="J69" s="72" t="s">
        <v>1701</v>
      </c>
      <c r="K69" s="39">
        <v>1</v>
      </c>
      <c r="L69" s="67">
        <v>4</v>
      </c>
      <c r="M69" s="69">
        <v>2</v>
      </c>
      <c r="N69" s="67">
        <v>4</v>
      </c>
      <c r="O69" s="67">
        <v>4</v>
      </c>
      <c r="R69" s="75" t="s">
        <v>1769</v>
      </c>
      <c r="S69" s="39">
        <v>1</v>
      </c>
      <c r="T69" s="67">
        <v>4</v>
      </c>
      <c r="U69" s="69">
        <v>2</v>
      </c>
      <c r="V69" s="71">
        <v>5</v>
      </c>
      <c r="W69" s="68">
        <v>3</v>
      </c>
      <c r="Z69" s="88" t="s">
        <v>888</v>
      </c>
      <c r="AA69" s="39">
        <v>1</v>
      </c>
      <c r="AB69" s="71">
        <v>5</v>
      </c>
      <c r="AC69" s="76">
        <v>1</v>
      </c>
      <c r="AD69" s="71">
        <v>5</v>
      </c>
      <c r="AE69" s="68">
        <v>3</v>
      </c>
      <c r="AH69" s="102" t="s">
        <v>1254</v>
      </c>
      <c r="AI69" s="103">
        <v>1</v>
      </c>
      <c r="AJ69" s="101">
        <v>4</v>
      </c>
      <c r="AK69" s="64">
        <v>3</v>
      </c>
      <c r="AL69" s="101">
        <v>4</v>
      </c>
      <c r="AM69" s="63">
        <v>3</v>
      </c>
    </row>
    <row r="70" spans="10:39">
      <c r="J70" s="70" t="s">
        <v>1478</v>
      </c>
      <c r="K70" s="57">
        <v>2</v>
      </c>
      <c r="L70" s="68">
        <v>3</v>
      </c>
      <c r="M70" s="68">
        <v>3</v>
      </c>
      <c r="N70" s="67">
        <v>4</v>
      </c>
      <c r="O70" s="68">
        <v>3</v>
      </c>
      <c r="R70" s="70" t="s">
        <v>1799</v>
      </c>
      <c r="S70" s="39">
        <v>1</v>
      </c>
      <c r="T70" s="68">
        <v>3</v>
      </c>
      <c r="U70" s="68">
        <v>3</v>
      </c>
      <c r="V70" s="67">
        <v>4</v>
      </c>
      <c r="W70" s="67">
        <v>4</v>
      </c>
      <c r="Z70" s="70" t="s">
        <v>1442</v>
      </c>
      <c r="AA70" s="57">
        <v>2</v>
      </c>
      <c r="AB70" s="68">
        <v>3</v>
      </c>
      <c r="AC70" s="68">
        <v>3</v>
      </c>
      <c r="AD70" s="67">
        <v>4</v>
      </c>
      <c r="AE70" s="68">
        <v>3</v>
      </c>
      <c r="AH70" s="102" t="s">
        <v>1385</v>
      </c>
      <c r="AI70" s="107">
        <v>3</v>
      </c>
      <c r="AJ70" s="100">
        <v>1</v>
      </c>
      <c r="AK70" s="64">
        <v>3</v>
      </c>
      <c r="AL70" s="101">
        <v>4</v>
      </c>
      <c r="AM70" s="62">
        <v>4</v>
      </c>
    </row>
    <row r="71" spans="10:39">
      <c r="J71" s="74" t="s">
        <v>1485</v>
      </c>
      <c r="K71" s="57">
        <v>2</v>
      </c>
      <c r="L71" s="68">
        <v>3</v>
      </c>
      <c r="M71" s="68">
        <v>3</v>
      </c>
      <c r="N71" s="67">
        <v>4</v>
      </c>
      <c r="O71" s="68">
        <v>3</v>
      </c>
      <c r="R71" s="75" t="s">
        <v>1824</v>
      </c>
      <c r="S71" s="57">
        <v>2</v>
      </c>
      <c r="T71" s="67">
        <v>4</v>
      </c>
      <c r="U71" s="69">
        <v>2</v>
      </c>
      <c r="V71" s="68">
        <v>3</v>
      </c>
      <c r="W71" s="71">
        <v>5</v>
      </c>
      <c r="Z71" s="75" t="s">
        <v>1260</v>
      </c>
      <c r="AA71" s="39">
        <v>1</v>
      </c>
      <c r="AB71" s="67">
        <v>4</v>
      </c>
      <c r="AC71" s="68">
        <v>3</v>
      </c>
      <c r="AD71" s="67">
        <v>4</v>
      </c>
      <c r="AE71" s="68">
        <v>3</v>
      </c>
      <c r="AH71" s="102" t="s">
        <v>677</v>
      </c>
      <c r="AI71" s="103">
        <v>1</v>
      </c>
      <c r="AJ71" s="101">
        <v>4</v>
      </c>
      <c r="AK71" s="105">
        <v>2</v>
      </c>
      <c r="AL71" s="101">
        <v>4</v>
      </c>
      <c r="AM71" s="62">
        <v>4</v>
      </c>
    </row>
    <row r="72" spans="10:39">
      <c r="J72" s="70" t="s">
        <v>1042</v>
      </c>
      <c r="K72" s="46">
        <v>3</v>
      </c>
      <c r="L72" s="76">
        <v>1</v>
      </c>
      <c r="M72" s="67">
        <v>4</v>
      </c>
      <c r="N72" s="67">
        <v>4</v>
      </c>
      <c r="O72" s="68">
        <v>3</v>
      </c>
      <c r="R72" s="70" t="s">
        <v>1829</v>
      </c>
      <c r="S72" s="57">
        <v>2</v>
      </c>
      <c r="T72" s="68">
        <v>3</v>
      </c>
      <c r="U72" s="69">
        <v>2</v>
      </c>
      <c r="V72" s="67">
        <v>4</v>
      </c>
      <c r="W72" s="67">
        <v>4</v>
      </c>
      <c r="Z72" s="70" t="s">
        <v>1205</v>
      </c>
      <c r="AA72" s="48">
        <v>4</v>
      </c>
      <c r="AB72" s="76">
        <v>1</v>
      </c>
      <c r="AC72" s="68">
        <v>3</v>
      </c>
      <c r="AD72" s="67">
        <v>4</v>
      </c>
      <c r="AE72" s="68">
        <v>3</v>
      </c>
      <c r="AH72" s="102" t="s">
        <v>1295</v>
      </c>
      <c r="AI72" s="108">
        <v>2</v>
      </c>
      <c r="AJ72" s="101">
        <v>4</v>
      </c>
      <c r="AK72" s="64">
        <v>3</v>
      </c>
      <c r="AL72" s="101">
        <v>4</v>
      </c>
      <c r="AM72" s="111">
        <v>2</v>
      </c>
    </row>
    <row r="73" spans="10:39">
      <c r="J73" s="75" t="s">
        <v>1378</v>
      </c>
      <c r="K73" s="39">
        <v>1</v>
      </c>
      <c r="L73" s="76">
        <v>1</v>
      </c>
      <c r="M73" s="68">
        <v>3</v>
      </c>
      <c r="N73" s="71">
        <v>5</v>
      </c>
      <c r="O73" s="71">
        <v>5</v>
      </c>
      <c r="R73" s="88" t="s">
        <v>1834</v>
      </c>
      <c r="S73" s="39">
        <v>1</v>
      </c>
      <c r="T73" s="67">
        <v>4</v>
      </c>
      <c r="U73" s="76">
        <v>1</v>
      </c>
      <c r="V73" s="71">
        <v>5</v>
      </c>
      <c r="W73" s="67">
        <v>4</v>
      </c>
      <c r="Z73" s="75" t="s">
        <v>1742</v>
      </c>
      <c r="AA73" s="46">
        <v>3</v>
      </c>
      <c r="AB73" s="67">
        <v>4</v>
      </c>
      <c r="AC73" s="69">
        <v>2</v>
      </c>
      <c r="AD73" s="68">
        <v>3</v>
      </c>
      <c r="AE73" s="68">
        <v>3</v>
      </c>
      <c r="AH73" s="102" t="s">
        <v>1305</v>
      </c>
      <c r="AI73" s="103">
        <v>1</v>
      </c>
      <c r="AJ73" s="101">
        <v>4</v>
      </c>
      <c r="AK73" s="64">
        <v>3</v>
      </c>
      <c r="AL73" s="64">
        <v>3</v>
      </c>
      <c r="AM73" s="62">
        <v>4</v>
      </c>
    </row>
    <row r="74" spans="10:39">
      <c r="J74" s="112" t="s">
        <v>1567</v>
      </c>
      <c r="K74" s="48">
        <v>4</v>
      </c>
      <c r="L74" s="69">
        <v>2</v>
      </c>
      <c r="M74" s="68">
        <v>3</v>
      </c>
      <c r="N74" s="69">
        <v>2</v>
      </c>
      <c r="O74" s="67">
        <v>4</v>
      </c>
      <c r="R74" s="70" t="s">
        <v>1839</v>
      </c>
      <c r="S74" s="57">
        <v>2</v>
      </c>
      <c r="T74" s="68">
        <v>3</v>
      </c>
      <c r="U74" s="68">
        <v>3</v>
      </c>
      <c r="V74" s="68">
        <v>3</v>
      </c>
      <c r="W74" s="67">
        <v>4</v>
      </c>
      <c r="Z74" s="70" t="s">
        <v>1746</v>
      </c>
      <c r="AA74" s="46">
        <v>3</v>
      </c>
      <c r="AB74" s="67">
        <v>4</v>
      </c>
      <c r="AC74" s="69">
        <v>2</v>
      </c>
      <c r="AD74" s="68">
        <v>3</v>
      </c>
      <c r="AE74" s="68">
        <v>3</v>
      </c>
      <c r="AH74" s="102" t="s">
        <v>1194</v>
      </c>
      <c r="AI74" s="106">
        <v>4</v>
      </c>
      <c r="AJ74" s="100">
        <v>1</v>
      </c>
      <c r="AK74" s="101">
        <v>4</v>
      </c>
      <c r="AL74" s="64">
        <v>3</v>
      </c>
      <c r="AM74" s="63">
        <v>3</v>
      </c>
    </row>
    <row r="75" spans="18:39">
      <c r="R75" s="88" t="s">
        <v>1855</v>
      </c>
      <c r="S75" s="48">
        <v>4</v>
      </c>
      <c r="T75" s="76">
        <v>1</v>
      </c>
      <c r="U75" s="76">
        <v>1</v>
      </c>
      <c r="V75" s="71">
        <v>5</v>
      </c>
      <c r="W75" s="71">
        <v>5</v>
      </c>
      <c r="Z75" s="75" t="s">
        <v>1248</v>
      </c>
      <c r="AA75" s="39">
        <v>1</v>
      </c>
      <c r="AB75" s="67">
        <v>4</v>
      </c>
      <c r="AC75" s="68">
        <v>3</v>
      </c>
      <c r="AD75" s="67">
        <v>4</v>
      </c>
      <c r="AE75" s="68">
        <v>3</v>
      </c>
      <c r="AH75" s="102" t="s">
        <v>1346</v>
      </c>
      <c r="AI75" s="108">
        <v>2</v>
      </c>
      <c r="AJ75" s="101">
        <v>4</v>
      </c>
      <c r="AK75" s="64">
        <v>3</v>
      </c>
      <c r="AL75" s="64">
        <v>3</v>
      </c>
      <c r="AM75" s="111">
        <v>2</v>
      </c>
    </row>
    <row r="76" spans="18:39">
      <c r="R76" s="85" t="s">
        <v>1861</v>
      </c>
      <c r="S76" s="39">
        <v>1</v>
      </c>
      <c r="T76" s="67">
        <v>4</v>
      </c>
      <c r="U76" s="67">
        <v>4</v>
      </c>
      <c r="V76" s="71">
        <v>5</v>
      </c>
      <c r="W76" s="76">
        <v>1</v>
      </c>
      <c r="Z76" s="70" t="s">
        <v>1684</v>
      </c>
      <c r="AA76" s="48">
        <v>4</v>
      </c>
      <c r="AB76" s="76">
        <v>1</v>
      </c>
      <c r="AC76" s="69">
        <v>2</v>
      </c>
      <c r="AD76" s="67">
        <v>4</v>
      </c>
      <c r="AE76" s="67">
        <v>4</v>
      </c>
      <c r="AH76" s="102" t="s">
        <v>1460</v>
      </c>
      <c r="AI76" s="107">
        <v>3</v>
      </c>
      <c r="AJ76" s="64">
        <v>3</v>
      </c>
      <c r="AK76" s="64">
        <v>3</v>
      </c>
      <c r="AL76" s="101">
        <v>4</v>
      </c>
      <c r="AM76" s="111">
        <v>2</v>
      </c>
    </row>
    <row r="77" spans="18:39">
      <c r="R77" s="88" t="s">
        <v>1886</v>
      </c>
      <c r="S77" s="89">
        <v>0</v>
      </c>
      <c r="T77" s="90">
        <v>0</v>
      </c>
      <c r="U77" s="90">
        <v>0</v>
      </c>
      <c r="V77" s="90">
        <v>0</v>
      </c>
      <c r="W77" s="90">
        <v>0</v>
      </c>
      <c r="Z77" s="75" t="s">
        <v>948</v>
      </c>
      <c r="AA77" s="46">
        <v>3</v>
      </c>
      <c r="AB77" s="76">
        <v>1</v>
      </c>
      <c r="AC77" s="71">
        <v>5</v>
      </c>
      <c r="AD77" s="68">
        <v>3</v>
      </c>
      <c r="AE77" s="68">
        <v>3</v>
      </c>
      <c r="AH77" s="102" t="s">
        <v>757</v>
      </c>
      <c r="AI77" s="103">
        <v>1</v>
      </c>
      <c r="AJ77" s="64">
        <v>3</v>
      </c>
      <c r="AK77" s="100">
        <v>1</v>
      </c>
      <c r="AL77" s="104">
        <v>5</v>
      </c>
      <c r="AM77" s="110">
        <v>5</v>
      </c>
    </row>
    <row r="78" spans="18:39">
      <c r="R78" s="50" t="s">
        <v>1889</v>
      </c>
      <c r="S78" s="48">
        <v>4</v>
      </c>
      <c r="T78" s="76">
        <v>1</v>
      </c>
      <c r="U78" s="67">
        <v>4</v>
      </c>
      <c r="V78" s="71">
        <v>5</v>
      </c>
      <c r="W78" s="76">
        <v>1</v>
      </c>
      <c r="Z78" s="70" t="s">
        <v>1341</v>
      </c>
      <c r="AA78" s="57">
        <v>2</v>
      </c>
      <c r="AB78" s="67">
        <v>4</v>
      </c>
      <c r="AC78" s="68">
        <v>3</v>
      </c>
      <c r="AD78" s="68">
        <v>3</v>
      </c>
      <c r="AE78" s="69">
        <v>2</v>
      </c>
      <c r="AH78" s="98" t="s">
        <v>839</v>
      </c>
      <c r="AI78" s="107">
        <v>3</v>
      </c>
      <c r="AJ78" s="64">
        <v>3</v>
      </c>
      <c r="AK78" s="64">
        <v>3</v>
      </c>
      <c r="AL78" s="64">
        <v>3</v>
      </c>
      <c r="AM78" s="63">
        <v>3</v>
      </c>
    </row>
    <row r="79" spans="18:39">
      <c r="R79" s="56" t="s">
        <v>1893</v>
      </c>
      <c r="S79" s="89">
        <v>0</v>
      </c>
      <c r="T79" s="90">
        <v>0</v>
      </c>
      <c r="U79" s="90">
        <v>0</v>
      </c>
      <c r="V79" s="90">
        <v>0</v>
      </c>
      <c r="W79" s="90">
        <v>0</v>
      </c>
      <c r="Z79" s="75" t="s">
        <v>669</v>
      </c>
      <c r="AA79" s="39">
        <v>1</v>
      </c>
      <c r="AB79" s="67">
        <v>4</v>
      </c>
      <c r="AC79" s="76">
        <v>1</v>
      </c>
      <c r="AD79" s="67">
        <v>4</v>
      </c>
      <c r="AE79" s="71">
        <v>5</v>
      </c>
      <c r="AH79" s="98" t="s">
        <v>772</v>
      </c>
      <c r="AI79" s="99">
        <v>5</v>
      </c>
      <c r="AJ79" s="104">
        <v>5</v>
      </c>
      <c r="AK79" s="101">
        <v>4</v>
      </c>
      <c r="AL79" s="100">
        <v>1</v>
      </c>
      <c r="AM79" s="109">
        <v>1</v>
      </c>
    </row>
    <row r="80" spans="18:39">
      <c r="R80" s="47" t="s">
        <v>1898</v>
      </c>
      <c r="S80" s="57">
        <v>2</v>
      </c>
      <c r="T80" s="67">
        <v>4</v>
      </c>
      <c r="U80" s="69">
        <v>2</v>
      </c>
      <c r="V80" s="68">
        <v>3</v>
      </c>
      <c r="W80" s="67">
        <v>4</v>
      </c>
      <c r="Z80" s="85" t="s">
        <v>845</v>
      </c>
      <c r="AA80" s="46">
        <v>3</v>
      </c>
      <c r="AB80" s="68">
        <v>3</v>
      </c>
      <c r="AC80" s="68">
        <v>3</v>
      </c>
      <c r="AD80" s="68">
        <v>3</v>
      </c>
      <c r="AE80" s="68">
        <v>3</v>
      </c>
      <c r="AH80" s="102" t="s">
        <v>1119</v>
      </c>
      <c r="AI80" s="108">
        <v>2</v>
      </c>
      <c r="AJ80" s="100">
        <v>1</v>
      </c>
      <c r="AK80" s="101">
        <v>4</v>
      </c>
      <c r="AL80" s="64">
        <v>3</v>
      </c>
      <c r="AM80" s="110">
        <v>5</v>
      </c>
    </row>
    <row r="81" spans="18:39">
      <c r="R81" s="49" t="s">
        <v>1902</v>
      </c>
      <c r="S81" s="57">
        <v>2</v>
      </c>
      <c r="T81" s="71">
        <v>5</v>
      </c>
      <c r="U81" s="69">
        <v>2</v>
      </c>
      <c r="V81" s="67">
        <v>4</v>
      </c>
      <c r="W81" s="67">
        <v>4</v>
      </c>
      <c r="Z81" s="88" t="s">
        <v>859</v>
      </c>
      <c r="AA81" s="58">
        <v>5</v>
      </c>
      <c r="AB81" s="76">
        <v>1</v>
      </c>
      <c r="AC81" s="76">
        <v>1</v>
      </c>
      <c r="AD81" s="68">
        <v>3</v>
      </c>
      <c r="AE81" s="71">
        <v>5</v>
      </c>
      <c r="AH81" s="102" t="s">
        <v>1849</v>
      </c>
      <c r="AI81" s="107">
        <v>3</v>
      </c>
      <c r="AJ81" s="64">
        <v>3</v>
      </c>
      <c r="AK81" s="100">
        <v>1</v>
      </c>
      <c r="AL81" s="101">
        <v>4</v>
      </c>
      <c r="AM81" s="62">
        <v>4</v>
      </c>
    </row>
    <row r="82" spans="18:39">
      <c r="R82" s="113" t="s">
        <v>1909</v>
      </c>
      <c r="S82" s="114">
        <v>3</v>
      </c>
      <c r="T82" s="115">
        <v>3</v>
      </c>
      <c r="U82" s="116">
        <v>2</v>
      </c>
      <c r="V82" s="115">
        <v>3</v>
      </c>
      <c r="W82" s="117">
        <v>4</v>
      </c>
      <c r="Z82" s="118" t="s">
        <v>1233</v>
      </c>
      <c r="AA82" s="61">
        <v>2</v>
      </c>
      <c r="AB82" s="120">
        <v>4</v>
      </c>
      <c r="AC82" s="121">
        <v>3</v>
      </c>
      <c r="AD82" s="120">
        <v>4</v>
      </c>
      <c r="AE82" s="122">
        <v>2</v>
      </c>
      <c r="AH82" s="123" t="s">
        <v>852</v>
      </c>
      <c r="AI82" s="124">
        <v>5</v>
      </c>
      <c r="AJ82" s="125">
        <v>1</v>
      </c>
      <c r="AK82" s="125">
        <v>1</v>
      </c>
      <c r="AL82" s="42">
        <v>3</v>
      </c>
      <c r="AM82" s="45">
        <v>5</v>
      </c>
    </row>
    <row r="83" spans="18:23">
      <c r="R83" s="56" t="s">
        <v>1913</v>
      </c>
      <c r="S83" s="39">
        <v>1</v>
      </c>
      <c r="T83" s="68">
        <v>3</v>
      </c>
      <c r="U83" s="68">
        <v>3</v>
      </c>
      <c r="V83" s="67">
        <v>4</v>
      </c>
      <c r="W83" s="67">
        <v>4</v>
      </c>
    </row>
    <row r="84" spans="18:23">
      <c r="R84" s="118" t="s">
        <v>1917</v>
      </c>
      <c r="S84" s="119">
        <v>1</v>
      </c>
      <c r="T84" s="120">
        <v>4</v>
      </c>
      <c r="U84" s="121">
        <v>3</v>
      </c>
      <c r="V84" s="120">
        <v>4</v>
      </c>
      <c r="W84" s="121">
        <v>3</v>
      </c>
    </row>
    <row r="92" ht="27" spans="48:75">
      <c r="AV92" s="126" t="s">
        <v>3607</v>
      </c>
      <c r="AW92" s="129" t="s">
        <v>3608</v>
      </c>
      <c r="AX92" s="129" t="s">
        <v>3609</v>
      </c>
      <c r="AY92" s="129" t="s">
        <v>3610</v>
      </c>
      <c r="AZ92" s="129" t="s">
        <v>3611</v>
      </c>
      <c r="BA92" s="129" t="s">
        <v>3612</v>
      </c>
      <c r="BB92" s="129" t="s">
        <v>3613</v>
      </c>
      <c r="BC92" s="129" t="s">
        <v>3614</v>
      </c>
      <c r="BD92" s="129" t="s">
        <v>3615</v>
      </c>
      <c r="BE92" s="129" t="s">
        <v>3616</v>
      </c>
      <c r="BF92" s="129" t="s">
        <v>3617</v>
      </c>
      <c r="BG92" s="129" t="s">
        <v>3618</v>
      </c>
      <c r="BH92" s="129" t="s">
        <v>3619</v>
      </c>
      <c r="BI92" s="129" t="s">
        <v>3620</v>
      </c>
      <c r="BJ92" s="129" t="s">
        <v>3621</v>
      </c>
      <c r="BK92" s="129" t="s">
        <v>3622</v>
      </c>
      <c r="BL92" s="129" t="s">
        <v>3623</v>
      </c>
      <c r="BM92" s="129" t="s">
        <v>3624</v>
      </c>
      <c r="BN92" s="129" t="s">
        <v>3625</v>
      </c>
      <c r="BO92" s="129" t="s">
        <v>3626</v>
      </c>
      <c r="BP92" s="129" t="s">
        <v>3627</v>
      </c>
      <c r="BQ92" s="129" t="s">
        <v>3628</v>
      </c>
      <c r="BR92" s="129" t="s">
        <v>3629</v>
      </c>
      <c r="BS92" s="129" t="s">
        <v>3630</v>
      </c>
      <c r="BT92" s="129" t="s">
        <v>3631</v>
      </c>
      <c r="BU92" s="129" t="s">
        <v>3632</v>
      </c>
      <c r="BV92" s="129" t="s">
        <v>3633</v>
      </c>
      <c r="BW92" s="129" t="s">
        <v>3634</v>
      </c>
    </row>
    <row r="93" spans="48:75">
      <c r="AV93" s="127" t="s">
        <v>3608</v>
      </c>
      <c r="AW93" s="130"/>
      <c r="AX93" s="131">
        <v>1</v>
      </c>
      <c r="AY93" s="131">
        <v>1</v>
      </c>
      <c r="AZ93" s="131">
        <v>2</v>
      </c>
      <c r="BA93" s="131">
        <v>1</v>
      </c>
      <c r="BB93" s="131">
        <v>2</v>
      </c>
      <c r="BC93" s="131">
        <v>10</v>
      </c>
      <c r="BD93" s="132"/>
      <c r="BE93" s="132"/>
      <c r="BF93" s="132"/>
      <c r="BG93" s="132"/>
      <c r="BH93" s="132"/>
      <c r="BI93" s="132"/>
      <c r="BJ93" s="132"/>
      <c r="BK93" s="132"/>
      <c r="BL93" s="132"/>
      <c r="BM93" s="132"/>
      <c r="BN93" s="132"/>
      <c r="BO93" s="132"/>
      <c r="BP93" s="132"/>
      <c r="BQ93" s="132"/>
      <c r="BR93" s="132"/>
      <c r="BS93" s="132"/>
      <c r="BT93" s="132"/>
      <c r="BU93" s="132"/>
      <c r="BV93" s="132"/>
      <c r="BW93" s="132"/>
    </row>
    <row r="94" spans="48:75">
      <c r="AV94" s="127" t="s">
        <v>3609</v>
      </c>
      <c r="AW94" s="131">
        <v>1</v>
      </c>
      <c r="AX94" s="130"/>
      <c r="AY94" s="131">
        <v>1</v>
      </c>
      <c r="AZ94" s="131">
        <v>2</v>
      </c>
      <c r="BA94" s="131">
        <v>1</v>
      </c>
      <c r="BB94" s="131">
        <v>2</v>
      </c>
      <c r="BC94" s="131">
        <v>10</v>
      </c>
      <c r="BD94" s="132"/>
      <c r="BE94" s="132"/>
      <c r="BF94" s="132"/>
      <c r="BG94" s="132"/>
      <c r="BH94" s="132"/>
      <c r="BI94" s="132"/>
      <c r="BJ94" s="132"/>
      <c r="BK94" s="132"/>
      <c r="BL94" s="132"/>
      <c r="BM94" s="132"/>
      <c r="BN94" s="132"/>
      <c r="BO94" s="132"/>
      <c r="BP94" s="132"/>
      <c r="BQ94" s="132"/>
      <c r="BR94" s="132"/>
      <c r="BS94" s="132"/>
      <c r="BT94" s="132"/>
      <c r="BU94" s="132"/>
      <c r="BV94" s="132"/>
      <c r="BW94" s="132"/>
    </row>
    <row r="95" spans="48:75">
      <c r="AV95" s="127" t="s">
        <v>3610</v>
      </c>
      <c r="AW95" s="131">
        <v>1</v>
      </c>
      <c r="AX95" s="131">
        <v>1</v>
      </c>
      <c r="AY95" s="130"/>
      <c r="AZ95" s="131">
        <v>2</v>
      </c>
      <c r="BA95" s="131">
        <v>1</v>
      </c>
      <c r="BB95" s="131">
        <v>2</v>
      </c>
      <c r="BC95" s="131">
        <v>10</v>
      </c>
      <c r="BD95" s="132"/>
      <c r="BE95" s="132"/>
      <c r="BF95" s="132"/>
      <c r="BG95" s="132"/>
      <c r="BH95" s="132"/>
      <c r="BI95" s="132"/>
      <c r="BJ95" s="132"/>
      <c r="BK95" s="132"/>
      <c r="BL95" s="132"/>
      <c r="BM95" s="132"/>
      <c r="BN95" s="132"/>
      <c r="BO95" s="132"/>
      <c r="BP95" s="132"/>
      <c r="BQ95" s="132"/>
      <c r="BR95" s="132"/>
      <c r="BS95" s="132"/>
      <c r="BT95" s="132"/>
      <c r="BU95" s="132"/>
      <c r="BV95" s="132"/>
      <c r="BW95" s="132"/>
    </row>
    <row r="96" spans="48:75">
      <c r="AV96" s="127" t="s">
        <v>3611</v>
      </c>
      <c r="AW96" s="131">
        <v>1</v>
      </c>
      <c r="AX96" s="131">
        <v>1</v>
      </c>
      <c r="AY96" s="131">
        <v>1</v>
      </c>
      <c r="AZ96" s="130"/>
      <c r="BA96" s="131">
        <v>1</v>
      </c>
      <c r="BB96" s="131">
        <v>5</v>
      </c>
      <c r="BC96" s="131">
        <v>10</v>
      </c>
      <c r="BD96" s="131">
        <v>1</v>
      </c>
      <c r="BE96" s="131">
        <v>1</v>
      </c>
      <c r="BF96" s="131">
        <v>1</v>
      </c>
      <c r="BG96" s="131">
        <v>1</v>
      </c>
      <c r="BH96" s="131">
        <v>1</v>
      </c>
      <c r="BI96" s="131">
        <v>1</v>
      </c>
      <c r="BJ96" s="131">
        <v>1</v>
      </c>
      <c r="BK96" s="131">
        <v>1</v>
      </c>
      <c r="BL96" s="131">
        <v>1</v>
      </c>
      <c r="BM96" s="131">
        <v>1</v>
      </c>
      <c r="BN96" s="131">
        <v>1</v>
      </c>
      <c r="BO96" s="131">
        <v>1</v>
      </c>
      <c r="BP96" s="131">
        <v>1</v>
      </c>
      <c r="BQ96" s="131">
        <v>1</v>
      </c>
      <c r="BR96" s="131">
        <v>1</v>
      </c>
      <c r="BS96" s="132"/>
      <c r="BT96" s="132"/>
      <c r="BU96" s="132"/>
      <c r="BV96" s="132"/>
      <c r="BW96" s="132"/>
    </row>
    <row r="97" spans="48:75">
      <c r="AV97" s="127" t="s">
        <v>3612</v>
      </c>
      <c r="AW97" s="132"/>
      <c r="AX97" s="132"/>
      <c r="AY97" s="132"/>
      <c r="AZ97" s="131">
        <v>1</v>
      </c>
      <c r="BA97" s="130"/>
      <c r="BB97" s="132"/>
      <c r="BC97" s="132"/>
      <c r="BD97" s="131">
        <v>1</v>
      </c>
      <c r="BE97" s="131">
        <v>1</v>
      </c>
      <c r="BF97" s="131">
        <v>1</v>
      </c>
      <c r="BG97" s="131">
        <v>1</v>
      </c>
      <c r="BH97" s="131">
        <v>1</v>
      </c>
      <c r="BI97" s="131">
        <v>1</v>
      </c>
      <c r="BJ97" s="131">
        <v>1</v>
      </c>
      <c r="BK97" s="131">
        <v>1</v>
      </c>
      <c r="BL97" s="131">
        <v>1</v>
      </c>
      <c r="BM97" s="131">
        <v>1</v>
      </c>
      <c r="BN97" s="131">
        <v>1</v>
      </c>
      <c r="BO97" s="131">
        <v>1</v>
      </c>
      <c r="BP97" s="131">
        <v>1</v>
      </c>
      <c r="BQ97" s="131">
        <v>1</v>
      </c>
      <c r="BR97" s="131">
        <v>1</v>
      </c>
      <c r="BS97" s="132"/>
      <c r="BT97" s="132"/>
      <c r="BU97" s="132"/>
      <c r="BV97" s="132"/>
      <c r="BW97" s="132"/>
    </row>
    <row r="98" spans="48:75">
      <c r="AV98" s="127" t="s">
        <v>3613</v>
      </c>
      <c r="AW98" s="132"/>
      <c r="AX98" s="132"/>
      <c r="AY98" s="132"/>
      <c r="AZ98" s="132"/>
      <c r="BA98" s="131">
        <v>1</v>
      </c>
      <c r="BB98" s="130"/>
      <c r="BC98" s="132"/>
      <c r="BD98" s="131">
        <v>1</v>
      </c>
      <c r="BE98" s="131">
        <v>1</v>
      </c>
      <c r="BF98" s="131">
        <v>1</v>
      </c>
      <c r="BG98" s="131">
        <v>1</v>
      </c>
      <c r="BH98" s="131">
        <v>1</v>
      </c>
      <c r="BI98" s="131">
        <v>1</v>
      </c>
      <c r="BJ98" s="131">
        <v>1</v>
      </c>
      <c r="BK98" s="131">
        <v>1</v>
      </c>
      <c r="BL98" s="131">
        <v>1</v>
      </c>
      <c r="BM98" s="131">
        <v>1</v>
      </c>
      <c r="BN98" s="131">
        <v>1</v>
      </c>
      <c r="BO98" s="131">
        <v>1</v>
      </c>
      <c r="BP98" s="131">
        <v>1</v>
      </c>
      <c r="BQ98" s="131">
        <v>1</v>
      </c>
      <c r="BR98" s="131">
        <v>1</v>
      </c>
      <c r="BS98" s="132"/>
      <c r="BT98" s="132"/>
      <c r="BU98" s="132"/>
      <c r="BV98" s="132"/>
      <c r="BW98" s="132"/>
    </row>
    <row r="99" spans="48:75">
      <c r="AV99" s="127" t="s">
        <v>3614</v>
      </c>
      <c r="AW99" s="132"/>
      <c r="AX99" s="132"/>
      <c r="AY99" s="132"/>
      <c r="AZ99" s="132"/>
      <c r="BA99" s="132"/>
      <c r="BB99" s="131">
        <v>1</v>
      </c>
      <c r="BC99" s="130"/>
      <c r="BD99" s="131">
        <v>1</v>
      </c>
      <c r="BE99" s="131">
        <v>1</v>
      </c>
      <c r="BF99" s="131">
        <v>1</v>
      </c>
      <c r="BG99" s="131">
        <v>1</v>
      </c>
      <c r="BH99" s="131">
        <v>1</v>
      </c>
      <c r="BI99" s="131">
        <v>1</v>
      </c>
      <c r="BJ99" s="131">
        <v>1</v>
      </c>
      <c r="BK99" s="131">
        <v>1</v>
      </c>
      <c r="BL99" s="131">
        <v>1</v>
      </c>
      <c r="BM99" s="131">
        <v>1</v>
      </c>
      <c r="BN99" s="131">
        <v>1</v>
      </c>
      <c r="BO99" s="131">
        <v>1</v>
      </c>
      <c r="BP99" s="131">
        <v>1</v>
      </c>
      <c r="BQ99" s="131">
        <v>1</v>
      </c>
      <c r="BR99" s="131">
        <v>1</v>
      </c>
      <c r="BS99" s="132"/>
      <c r="BT99" s="132"/>
      <c r="BU99" s="132"/>
      <c r="BV99" s="132"/>
      <c r="BW99" s="132"/>
    </row>
    <row r="100" spans="48:75">
      <c r="AV100" s="127" t="s">
        <v>3615</v>
      </c>
      <c r="AW100" s="132"/>
      <c r="AX100" s="132"/>
      <c r="AY100" s="132"/>
      <c r="AZ100" s="132"/>
      <c r="BA100" s="132"/>
      <c r="BB100" s="132"/>
      <c r="BC100" s="132"/>
      <c r="BD100" s="130"/>
      <c r="BE100" s="131">
        <v>1</v>
      </c>
      <c r="BF100" s="131">
        <v>1</v>
      </c>
      <c r="BG100" s="131">
        <v>1</v>
      </c>
      <c r="BH100" s="131">
        <v>1</v>
      </c>
      <c r="BI100" s="131">
        <v>1</v>
      </c>
      <c r="BJ100" s="131">
        <v>1</v>
      </c>
      <c r="BK100" s="131">
        <v>1</v>
      </c>
      <c r="BL100" s="132"/>
      <c r="BM100" s="132"/>
      <c r="BN100" s="132"/>
      <c r="BO100" s="132"/>
      <c r="BP100" s="132"/>
      <c r="BQ100" s="132"/>
      <c r="BR100" s="132"/>
      <c r="BS100" s="132"/>
      <c r="BT100" s="132"/>
      <c r="BU100" s="132"/>
      <c r="BV100" s="132"/>
      <c r="BW100" s="132"/>
    </row>
    <row r="101" spans="48:75">
      <c r="AV101" s="127" t="s">
        <v>3616</v>
      </c>
      <c r="AW101" s="132"/>
      <c r="AX101" s="132"/>
      <c r="AY101" s="132"/>
      <c r="AZ101" s="132"/>
      <c r="BA101" s="132"/>
      <c r="BB101" s="132"/>
      <c r="BC101" s="132"/>
      <c r="BD101" s="131">
        <v>1</v>
      </c>
      <c r="BE101" s="130"/>
      <c r="BF101" s="131">
        <v>1</v>
      </c>
      <c r="BG101" s="131">
        <v>1</v>
      </c>
      <c r="BH101" s="131">
        <v>1</v>
      </c>
      <c r="BI101" s="131">
        <v>1</v>
      </c>
      <c r="BJ101" s="131">
        <v>1</v>
      </c>
      <c r="BK101" s="131">
        <v>1</v>
      </c>
      <c r="BL101" s="132"/>
      <c r="BM101" s="132"/>
      <c r="BN101" s="132"/>
      <c r="BO101" s="132"/>
      <c r="BP101" s="132"/>
      <c r="BQ101" s="132"/>
      <c r="BR101" s="132"/>
      <c r="BS101" s="132"/>
      <c r="BT101" s="132"/>
      <c r="BU101" s="132"/>
      <c r="BV101" s="132"/>
      <c r="BW101" s="132"/>
    </row>
    <row r="102" spans="48:75">
      <c r="AV102" s="127" t="s">
        <v>3617</v>
      </c>
      <c r="AW102" s="132"/>
      <c r="AX102" s="132"/>
      <c r="AY102" s="132"/>
      <c r="AZ102" s="132"/>
      <c r="BA102" s="132"/>
      <c r="BB102" s="132"/>
      <c r="BC102" s="132"/>
      <c r="BD102" s="131">
        <v>1</v>
      </c>
      <c r="BE102" s="131">
        <v>1</v>
      </c>
      <c r="BF102" s="130"/>
      <c r="BG102" s="131">
        <v>1</v>
      </c>
      <c r="BH102" s="131">
        <v>1</v>
      </c>
      <c r="BI102" s="131">
        <v>1</v>
      </c>
      <c r="BJ102" s="131">
        <v>1</v>
      </c>
      <c r="BK102" s="131">
        <v>1</v>
      </c>
      <c r="BL102" s="132"/>
      <c r="BM102" s="132"/>
      <c r="BN102" s="132"/>
      <c r="BO102" s="132"/>
      <c r="BP102" s="132"/>
      <c r="BQ102" s="132"/>
      <c r="BR102" s="132"/>
      <c r="BS102" s="132"/>
      <c r="BT102" s="132"/>
      <c r="BU102" s="132"/>
      <c r="BV102" s="132"/>
      <c r="BW102" s="132"/>
    </row>
    <row r="103" spans="48:75">
      <c r="AV103" s="127" t="s">
        <v>3618</v>
      </c>
      <c r="AW103" s="132"/>
      <c r="AX103" s="132"/>
      <c r="AY103" s="132"/>
      <c r="AZ103" s="132"/>
      <c r="BA103" s="132"/>
      <c r="BB103" s="132"/>
      <c r="BC103" s="132"/>
      <c r="BD103" s="131">
        <v>1</v>
      </c>
      <c r="BE103" s="131">
        <v>1</v>
      </c>
      <c r="BF103" s="131">
        <v>1</v>
      </c>
      <c r="BG103" s="130"/>
      <c r="BH103" s="131">
        <v>1</v>
      </c>
      <c r="BI103" s="131">
        <v>1</v>
      </c>
      <c r="BJ103" s="131">
        <v>1</v>
      </c>
      <c r="BK103" s="131">
        <v>1</v>
      </c>
      <c r="BL103" s="132"/>
      <c r="BM103" s="132"/>
      <c r="BN103" s="132"/>
      <c r="BO103" s="132"/>
      <c r="BP103" s="132"/>
      <c r="BQ103" s="132"/>
      <c r="BR103" s="132"/>
      <c r="BS103" s="132"/>
      <c r="BT103" s="132"/>
      <c r="BU103" s="132"/>
      <c r="BV103" s="132"/>
      <c r="BW103" s="132"/>
    </row>
    <row r="104" spans="48:75">
      <c r="AV104" s="127" t="s">
        <v>3619</v>
      </c>
      <c r="AW104" s="132"/>
      <c r="AX104" s="132"/>
      <c r="AY104" s="132"/>
      <c r="AZ104" s="132"/>
      <c r="BA104" s="132"/>
      <c r="BB104" s="132"/>
      <c r="BC104" s="132"/>
      <c r="BD104" s="131">
        <v>1</v>
      </c>
      <c r="BE104" s="131">
        <v>1</v>
      </c>
      <c r="BF104" s="131">
        <v>1</v>
      </c>
      <c r="BG104" s="131">
        <v>1</v>
      </c>
      <c r="BH104" s="130"/>
      <c r="BI104" s="131">
        <v>1</v>
      </c>
      <c r="BJ104" s="131">
        <v>1</v>
      </c>
      <c r="BK104" s="131">
        <v>1</v>
      </c>
      <c r="BL104" s="132"/>
      <c r="BM104" s="132"/>
      <c r="BN104" s="132"/>
      <c r="BO104" s="132"/>
      <c r="BP104" s="132"/>
      <c r="BQ104" s="132"/>
      <c r="BR104" s="132"/>
      <c r="BS104" s="132"/>
      <c r="BT104" s="132"/>
      <c r="BU104" s="132"/>
      <c r="BV104" s="132"/>
      <c r="BW104" s="132"/>
    </row>
    <row r="105" spans="48:75">
      <c r="AV105" s="127" t="s">
        <v>3620</v>
      </c>
      <c r="AW105" s="132"/>
      <c r="AX105" s="132"/>
      <c r="AY105" s="132"/>
      <c r="AZ105" s="132"/>
      <c r="BA105" s="132"/>
      <c r="BB105" s="132"/>
      <c r="BC105" s="132"/>
      <c r="BD105" s="131">
        <v>1</v>
      </c>
      <c r="BE105" s="131">
        <v>1</v>
      </c>
      <c r="BF105" s="131">
        <v>1</v>
      </c>
      <c r="BG105" s="131">
        <v>1</v>
      </c>
      <c r="BH105" s="131">
        <v>1</v>
      </c>
      <c r="BI105" s="130"/>
      <c r="BJ105" s="131">
        <v>1</v>
      </c>
      <c r="BK105" s="131">
        <v>1</v>
      </c>
      <c r="BL105" s="132"/>
      <c r="BM105" s="132"/>
      <c r="BN105" s="132"/>
      <c r="BO105" s="132"/>
      <c r="BP105" s="132"/>
      <c r="BQ105" s="132"/>
      <c r="BR105" s="132"/>
      <c r="BS105" s="132"/>
      <c r="BT105" s="132"/>
      <c r="BU105" s="132"/>
      <c r="BV105" s="132"/>
      <c r="BW105" s="132"/>
    </row>
    <row r="106" spans="48:75">
      <c r="AV106" s="127" t="s">
        <v>3621</v>
      </c>
      <c r="AW106" s="132"/>
      <c r="AX106" s="132"/>
      <c r="AY106" s="132"/>
      <c r="AZ106" s="132"/>
      <c r="BA106" s="132"/>
      <c r="BB106" s="132"/>
      <c r="BC106" s="132"/>
      <c r="BD106" s="131">
        <v>1</v>
      </c>
      <c r="BE106" s="131">
        <v>1</v>
      </c>
      <c r="BF106" s="131">
        <v>1</v>
      </c>
      <c r="BG106" s="131">
        <v>1</v>
      </c>
      <c r="BH106" s="131">
        <v>1</v>
      </c>
      <c r="BI106" s="131">
        <v>1</v>
      </c>
      <c r="BJ106" s="130"/>
      <c r="BK106" s="131">
        <v>1</v>
      </c>
      <c r="BL106" s="132"/>
      <c r="BM106" s="132"/>
      <c r="BN106" s="132"/>
      <c r="BO106" s="132"/>
      <c r="BP106" s="132"/>
      <c r="BQ106" s="132"/>
      <c r="BR106" s="132"/>
      <c r="BS106" s="132"/>
      <c r="BT106" s="132"/>
      <c r="BU106" s="132"/>
      <c r="BV106" s="132"/>
      <c r="BW106" s="132"/>
    </row>
    <row r="107" spans="48:75">
      <c r="AV107" s="127" t="s">
        <v>3622</v>
      </c>
      <c r="AW107" s="132"/>
      <c r="AX107" s="132"/>
      <c r="AY107" s="132"/>
      <c r="AZ107" s="132"/>
      <c r="BA107" s="132"/>
      <c r="BB107" s="132"/>
      <c r="BC107" s="132"/>
      <c r="BD107" s="131">
        <v>1</v>
      </c>
      <c r="BE107" s="131">
        <v>1</v>
      </c>
      <c r="BF107" s="131">
        <v>1</v>
      </c>
      <c r="BG107" s="131">
        <v>1</v>
      </c>
      <c r="BH107" s="131">
        <v>1</v>
      </c>
      <c r="BI107" s="131">
        <v>1</v>
      </c>
      <c r="BJ107" s="131">
        <v>1</v>
      </c>
      <c r="BK107" s="130"/>
      <c r="BL107" s="132"/>
      <c r="BM107" s="132"/>
      <c r="BN107" s="132"/>
      <c r="BO107" s="132"/>
      <c r="BP107" s="132"/>
      <c r="BQ107" s="132"/>
      <c r="BR107" s="132"/>
      <c r="BS107" s="132"/>
      <c r="BT107" s="132"/>
      <c r="BU107" s="132"/>
      <c r="BV107" s="132"/>
      <c r="BW107" s="132"/>
    </row>
    <row r="108" spans="48:75">
      <c r="AV108" s="127" t="s">
        <v>3623</v>
      </c>
      <c r="AW108" s="132"/>
      <c r="AX108" s="132"/>
      <c r="AY108" s="132"/>
      <c r="AZ108" s="132"/>
      <c r="BA108" s="132"/>
      <c r="BB108" s="132"/>
      <c r="BC108" s="132"/>
      <c r="BD108" s="132"/>
      <c r="BE108" s="132"/>
      <c r="BF108" s="132"/>
      <c r="BG108" s="132"/>
      <c r="BH108" s="132"/>
      <c r="BI108" s="132"/>
      <c r="BJ108" s="132"/>
      <c r="BK108" s="132"/>
      <c r="BL108" s="130"/>
      <c r="BM108" s="131">
        <v>1</v>
      </c>
      <c r="BN108" s="131">
        <v>1</v>
      </c>
      <c r="BO108" s="131">
        <v>1</v>
      </c>
      <c r="BP108" s="131">
        <v>1</v>
      </c>
      <c r="BQ108" s="131">
        <v>1</v>
      </c>
      <c r="BR108" s="131">
        <v>1</v>
      </c>
      <c r="BS108" s="132"/>
      <c r="BT108" s="132"/>
      <c r="BU108" s="132"/>
      <c r="BV108" s="132"/>
      <c r="BW108" s="132"/>
    </row>
    <row r="109" spans="48:75">
      <c r="AV109" s="127" t="s">
        <v>3624</v>
      </c>
      <c r="AW109" s="132"/>
      <c r="AX109" s="132"/>
      <c r="AY109" s="132"/>
      <c r="AZ109" s="132"/>
      <c r="BA109" s="132"/>
      <c r="BB109" s="132"/>
      <c r="BC109" s="132"/>
      <c r="BD109" s="132"/>
      <c r="BE109" s="132"/>
      <c r="BF109" s="132"/>
      <c r="BG109" s="132"/>
      <c r="BH109" s="132"/>
      <c r="BI109" s="132"/>
      <c r="BJ109" s="132"/>
      <c r="BK109" s="132"/>
      <c r="BL109" s="131">
        <v>1</v>
      </c>
      <c r="BM109" s="130"/>
      <c r="BN109" s="131">
        <v>1</v>
      </c>
      <c r="BO109" s="131">
        <v>1</v>
      </c>
      <c r="BP109" s="131">
        <v>1</v>
      </c>
      <c r="BQ109" s="131">
        <v>1</v>
      </c>
      <c r="BR109" s="131">
        <v>1</v>
      </c>
      <c r="BS109" s="132"/>
      <c r="BT109" s="132"/>
      <c r="BU109" s="132"/>
      <c r="BV109" s="132"/>
      <c r="BW109" s="132"/>
    </row>
    <row r="110" spans="48:75">
      <c r="AV110" s="127" t="s">
        <v>3625</v>
      </c>
      <c r="AW110" s="132"/>
      <c r="AX110" s="132"/>
      <c r="AY110" s="132"/>
      <c r="AZ110" s="132"/>
      <c r="BA110" s="132"/>
      <c r="BB110" s="132"/>
      <c r="BC110" s="132"/>
      <c r="BD110" s="132"/>
      <c r="BE110" s="132"/>
      <c r="BF110" s="132"/>
      <c r="BG110" s="132"/>
      <c r="BH110" s="132"/>
      <c r="BI110" s="132"/>
      <c r="BJ110" s="132"/>
      <c r="BK110" s="132"/>
      <c r="BL110" s="131">
        <v>1</v>
      </c>
      <c r="BM110" s="131">
        <v>1</v>
      </c>
      <c r="BN110" s="130"/>
      <c r="BO110" s="131">
        <v>1</v>
      </c>
      <c r="BP110" s="131">
        <v>1</v>
      </c>
      <c r="BQ110" s="131">
        <v>1</v>
      </c>
      <c r="BR110" s="131">
        <v>1</v>
      </c>
      <c r="BS110" s="132"/>
      <c r="BT110" s="132"/>
      <c r="BU110" s="132"/>
      <c r="BV110" s="132"/>
      <c r="BW110" s="132"/>
    </row>
    <row r="111" spans="48:75">
      <c r="AV111" s="127" t="s">
        <v>3626</v>
      </c>
      <c r="AW111" s="132"/>
      <c r="AX111" s="132"/>
      <c r="AY111" s="132"/>
      <c r="AZ111" s="132"/>
      <c r="BA111" s="132"/>
      <c r="BB111" s="132"/>
      <c r="BC111" s="132"/>
      <c r="BD111" s="132"/>
      <c r="BE111" s="132"/>
      <c r="BF111" s="132"/>
      <c r="BG111" s="132"/>
      <c r="BH111" s="132"/>
      <c r="BI111" s="132"/>
      <c r="BJ111" s="132"/>
      <c r="BK111" s="132"/>
      <c r="BL111" s="131">
        <v>1</v>
      </c>
      <c r="BM111" s="131">
        <v>1</v>
      </c>
      <c r="BN111" s="131">
        <v>1</v>
      </c>
      <c r="BO111" s="130"/>
      <c r="BP111" s="131">
        <v>1</v>
      </c>
      <c r="BQ111" s="131">
        <v>1</v>
      </c>
      <c r="BR111" s="131">
        <v>1</v>
      </c>
      <c r="BS111" s="132"/>
      <c r="BT111" s="132"/>
      <c r="BU111" s="132"/>
      <c r="BV111" s="132"/>
      <c r="BW111" s="132"/>
    </row>
    <row r="112" spans="48:75">
      <c r="AV112" s="127" t="s">
        <v>3627</v>
      </c>
      <c r="AW112" s="132"/>
      <c r="AX112" s="132"/>
      <c r="AY112" s="132"/>
      <c r="AZ112" s="132"/>
      <c r="BA112" s="132"/>
      <c r="BB112" s="132"/>
      <c r="BC112" s="132"/>
      <c r="BD112" s="132"/>
      <c r="BE112" s="132"/>
      <c r="BF112" s="132"/>
      <c r="BG112" s="132"/>
      <c r="BH112" s="132"/>
      <c r="BI112" s="132"/>
      <c r="BJ112" s="132"/>
      <c r="BK112" s="132"/>
      <c r="BL112" s="131">
        <v>1</v>
      </c>
      <c r="BM112" s="131">
        <v>1</v>
      </c>
      <c r="BN112" s="131">
        <v>1</v>
      </c>
      <c r="BO112" s="131">
        <v>1</v>
      </c>
      <c r="BP112" s="130"/>
      <c r="BQ112" s="131">
        <v>1</v>
      </c>
      <c r="BR112" s="131">
        <v>1</v>
      </c>
      <c r="BS112" s="132"/>
      <c r="BT112" s="132"/>
      <c r="BU112" s="132"/>
      <c r="BV112" s="132"/>
      <c r="BW112" s="132"/>
    </row>
    <row r="113" spans="48:75">
      <c r="AV113" s="127" t="s">
        <v>3628</v>
      </c>
      <c r="AW113" s="132"/>
      <c r="AX113" s="132"/>
      <c r="AY113" s="132"/>
      <c r="AZ113" s="132"/>
      <c r="BA113" s="132"/>
      <c r="BB113" s="132"/>
      <c r="BC113" s="132"/>
      <c r="BD113" s="132"/>
      <c r="BE113" s="132"/>
      <c r="BF113" s="132"/>
      <c r="BG113" s="132"/>
      <c r="BH113" s="132"/>
      <c r="BI113" s="132"/>
      <c r="BJ113" s="132"/>
      <c r="BK113" s="132"/>
      <c r="BL113" s="131">
        <v>1</v>
      </c>
      <c r="BM113" s="131">
        <v>1</v>
      </c>
      <c r="BN113" s="131">
        <v>1</v>
      </c>
      <c r="BO113" s="131">
        <v>1</v>
      </c>
      <c r="BP113" s="131">
        <v>1</v>
      </c>
      <c r="BQ113" s="130"/>
      <c r="BR113" s="131">
        <v>1</v>
      </c>
      <c r="BS113" s="132"/>
      <c r="BT113" s="132"/>
      <c r="BU113" s="132"/>
      <c r="BV113" s="132"/>
      <c r="BW113" s="132"/>
    </row>
    <row r="114" spans="48:75">
      <c r="AV114" s="127" t="s">
        <v>3629</v>
      </c>
      <c r="AW114" s="132"/>
      <c r="AX114" s="132"/>
      <c r="AY114" s="132"/>
      <c r="AZ114" s="132"/>
      <c r="BA114" s="132"/>
      <c r="BB114" s="132"/>
      <c r="BC114" s="132"/>
      <c r="BD114" s="132"/>
      <c r="BE114" s="132"/>
      <c r="BF114" s="132"/>
      <c r="BG114" s="132"/>
      <c r="BH114" s="132"/>
      <c r="BI114" s="132"/>
      <c r="BJ114" s="132"/>
      <c r="BK114" s="132"/>
      <c r="BL114" s="131">
        <v>1</v>
      </c>
      <c r="BM114" s="131">
        <v>1</v>
      </c>
      <c r="BN114" s="131">
        <v>1</v>
      </c>
      <c r="BO114" s="131">
        <v>1</v>
      </c>
      <c r="BP114" s="131">
        <v>1</v>
      </c>
      <c r="BQ114" s="131">
        <v>1</v>
      </c>
      <c r="BR114" s="130"/>
      <c r="BS114" s="132"/>
      <c r="BT114" s="132"/>
      <c r="BU114" s="132"/>
      <c r="BV114" s="132"/>
      <c r="BW114" s="132"/>
    </row>
    <row r="115" spans="48:75">
      <c r="AV115" s="127" t="s">
        <v>3630</v>
      </c>
      <c r="AW115" s="131">
        <v>100</v>
      </c>
      <c r="AX115" s="131">
        <v>100</v>
      </c>
      <c r="AY115" s="131">
        <v>100</v>
      </c>
      <c r="AZ115" s="132"/>
      <c r="BA115" s="132"/>
      <c r="BB115" s="132"/>
      <c r="BC115" s="132"/>
      <c r="BD115" s="131">
        <v>100</v>
      </c>
      <c r="BE115" s="131">
        <v>100</v>
      </c>
      <c r="BF115" s="131">
        <v>100</v>
      </c>
      <c r="BG115" s="131">
        <v>100</v>
      </c>
      <c r="BH115" s="131">
        <v>100</v>
      </c>
      <c r="BI115" s="131">
        <v>100</v>
      </c>
      <c r="BJ115" s="131">
        <v>100</v>
      </c>
      <c r="BK115" s="131">
        <v>100</v>
      </c>
      <c r="BL115" s="131">
        <v>100</v>
      </c>
      <c r="BM115" s="131">
        <v>100</v>
      </c>
      <c r="BN115" s="131">
        <v>100</v>
      </c>
      <c r="BO115" s="131">
        <v>100</v>
      </c>
      <c r="BP115" s="131">
        <v>100</v>
      </c>
      <c r="BQ115" s="131">
        <v>100</v>
      </c>
      <c r="BR115" s="131">
        <v>100</v>
      </c>
      <c r="BS115" s="130"/>
      <c r="BT115" s="131">
        <v>1</v>
      </c>
      <c r="BU115" s="131">
        <v>1</v>
      </c>
      <c r="BV115" s="131">
        <v>1000</v>
      </c>
      <c r="BW115" s="131">
        <v>100</v>
      </c>
    </row>
    <row r="116" spans="48:75">
      <c r="AV116" s="127" t="s">
        <v>3631</v>
      </c>
      <c r="AW116" s="132"/>
      <c r="AX116" s="132"/>
      <c r="AY116" s="132"/>
      <c r="AZ116" s="132"/>
      <c r="BA116" s="132"/>
      <c r="BB116" s="132"/>
      <c r="BC116" s="132"/>
      <c r="BD116" s="131">
        <v>20</v>
      </c>
      <c r="BE116" s="131">
        <v>20</v>
      </c>
      <c r="BF116" s="131">
        <v>20</v>
      </c>
      <c r="BG116" s="131">
        <v>20</v>
      </c>
      <c r="BH116" s="131">
        <v>20</v>
      </c>
      <c r="BI116" s="131">
        <v>20</v>
      </c>
      <c r="BJ116" s="131">
        <v>20</v>
      </c>
      <c r="BK116" s="131">
        <v>20</v>
      </c>
      <c r="BL116" s="131">
        <v>20</v>
      </c>
      <c r="BM116" s="131">
        <v>20</v>
      </c>
      <c r="BN116" s="131">
        <v>20</v>
      </c>
      <c r="BO116" s="131">
        <v>20</v>
      </c>
      <c r="BP116" s="131">
        <v>20</v>
      </c>
      <c r="BQ116" s="131">
        <v>20</v>
      </c>
      <c r="BR116" s="131">
        <v>20</v>
      </c>
      <c r="BS116" s="131">
        <v>1</v>
      </c>
      <c r="BT116" s="130"/>
      <c r="BU116" s="131">
        <v>1</v>
      </c>
      <c r="BV116" s="131">
        <v>100</v>
      </c>
      <c r="BW116" s="131">
        <v>10</v>
      </c>
    </row>
    <row r="117" spans="48:75">
      <c r="AV117" s="127" t="s">
        <v>3632</v>
      </c>
      <c r="AW117" s="132"/>
      <c r="AX117" s="132"/>
      <c r="AY117" s="132"/>
      <c r="AZ117" s="132"/>
      <c r="BA117" s="132"/>
      <c r="BB117" s="132"/>
      <c r="BC117" s="132"/>
      <c r="BD117" s="131">
        <v>20</v>
      </c>
      <c r="BE117" s="131">
        <v>20</v>
      </c>
      <c r="BF117" s="131">
        <v>20</v>
      </c>
      <c r="BG117" s="131">
        <v>20</v>
      </c>
      <c r="BH117" s="131">
        <v>20</v>
      </c>
      <c r="BI117" s="131">
        <v>20</v>
      </c>
      <c r="BJ117" s="131">
        <v>20</v>
      </c>
      <c r="BK117" s="131">
        <v>20</v>
      </c>
      <c r="BL117" s="131">
        <v>20</v>
      </c>
      <c r="BM117" s="131">
        <v>20</v>
      </c>
      <c r="BN117" s="131">
        <v>20</v>
      </c>
      <c r="BO117" s="131">
        <v>20</v>
      </c>
      <c r="BP117" s="131">
        <v>20</v>
      </c>
      <c r="BQ117" s="131">
        <v>20</v>
      </c>
      <c r="BR117" s="131">
        <v>20</v>
      </c>
      <c r="BS117" s="131">
        <v>1</v>
      </c>
      <c r="BT117" s="131">
        <v>1</v>
      </c>
      <c r="BU117" s="130"/>
      <c r="BV117" s="131">
        <v>100</v>
      </c>
      <c r="BW117" s="131">
        <v>10</v>
      </c>
    </row>
    <row r="118" spans="48:75">
      <c r="AV118" s="127" t="s">
        <v>3633</v>
      </c>
      <c r="AW118" s="132"/>
      <c r="AX118" s="132"/>
      <c r="AY118" s="132"/>
      <c r="AZ118" s="132"/>
      <c r="BA118" s="132"/>
      <c r="BB118" s="132"/>
      <c r="BC118" s="132"/>
      <c r="BD118" s="131">
        <v>1</v>
      </c>
      <c r="BE118" s="131">
        <v>1</v>
      </c>
      <c r="BF118" s="131">
        <v>1</v>
      </c>
      <c r="BG118" s="131">
        <v>1</v>
      </c>
      <c r="BH118" s="131">
        <v>1</v>
      </c>
      <c r="BI118" s="131">
        <v>1</v>
      </c>
      <c r="BJ118" s="131">
        <v>1</v>
      </c>
      <c r="BK118" s="131">
        <v>1</v>
      </c>
      <c r="BL118" s="131">
        <v>1</v>
      </c>
      <c r="BM118" s="131">
        <v>1</v>
      </c>
      <c r="BN118" s="131">
        <v>1</v>
      </c>
      <c r="BO118" s="131">
        <v>1</v>
      </c>
      <c r="BP118" s="131">
        <v>1</v>
      </c>
      <c r="BQ118" s="131">
        <v>1</v>
      </c>
      <c r="BR118" s="131">
        <v>1</v>
      </c>
      <c r="BS118" s="132"/>
      <c r="BT118" s="132"/>
      <c r="BU118" s="132"/>
      <c r="BV118" s="130"/>
      <c r="BW118" s="132"/>
    </row>
    <row r="119" spans="48:75">
      <c r="AV119" s="127" t="s">
        <v>3634</v>
      </c>
      <c r="AW119" s="132"/>
      <c r="AX119" s="132"/>
      <c r="AY119" s="132"/>
      <c r="AZ119" s="132"/>
      <c r="BA119" s="132"/>
      <c r="BB119" s="132"/>
      <c r="BC119" s="132"/>
      <c r="BD119" s="131">
        <v>1</v>
      </c>
      <c r="BE119" s="131">
        <v>1</v>
      </c>
      <c r="BF119" s="131">
        <v>1</v>
      </c>
      <c r="BG119" s="131">
        <v>1</v>
      </c>
      <c r="BH119" s="131">
        <v>1</v>
      </c>
      <c r="BI119" s="131">
        <v>1</v>
      </c>
      <c r="BJ119" s="131">
        <v>1</v>
      </c>
      <c r="BK119" s="131">
        <v>1</v>
      </c>
      <c r="BL119" s="131">
        <v>1</v>
      </c>
      <c r="BM119" s="131">
        <v>1</v>
      </c>
      <c r="BN119" s="131">
        <v>1</v>
      </c>
      <c r="BO119" s="131">
        <v>1</v>
      </c>
      <c r="BP119" s="131">
        <v>1</v>
      </c>
      <c r="BQ119" s="131">
        <v>1</v>
      </c>
      <c r="BR119" s="131">
        <v>1</v>
      </c>
      <c r="BS119" s="132"/>
      <c r="BT119" s="132"/>
      <c r="BU119" s="132"/>
      <c r="BV119" s="132"/>
      <c r="BW119" s="130"/>
    </row>
    <row r="120" spans="48:75">
      <c r="AV120" s="128" t="s">
        <v>3635</v>
      </c>
      <c r="AW120" s="133">
        <v>1</v>
      </c>
      <c r="AX120" s="133">
        <v>2</v>
      </c>
      <c r="AY120" s="133">
        <v>3</v>
      </c>
      <c r="AZ120" s="133">
        <v>4</v>
      </c>
      <c r="BA120" s="133">
        <v>5</v>
      </c>
      <c r="BB120" s="133">
        <v>6</v>
      </c>
      <c r="BC120" s="133">
        <v>7</v>
      </c>
      <c r="BD120" s="133">
        <v>8</v>
      </c>
      <c r="BE120" s="133">
        <v>9</v>
      </c>
      <c r="BF120" s="133">
        <v>10</v>
      </c>
      <c r="BG120" s="133">
        <v>11</v>
      </c>
      <c r="BH120" s="133">
        <v>12</v>
      </c>
      <c r="BI120" s="133">
        <v>13</v>
      </c>
      <c r="BJ120" s="133">
        <v>14</v>
      </c>
      <c r="BK120" s="133">
        <v>15</v>
      </c>
      <c r="BL120" s="133">
        <v>16</v>
      </c>
      <c r="BM120" s="133">
        <v>17</v>
      </c>
      <c r="BN120" s="133">
        <v>18</v>
      </c>
      <c r="BO120" s="133">
        <v>19</v>
      </c>
      <c r="BP120" s="133">
        <v>20</v>
      </c>
      <c r="BQ120" s="133">
        <v>21</v>
      </c>
      <c r="BR120" s="133">
        <v>22</v>
      </c>
      <c r="BS120" s="133">
        <v>23</v>
      </c>
      <c r="BT120" s="133">
        <v>24</v>
      </c>
      <c r="BU120" s="133">
        <v>25</v>
      </c>
      <c r="BV120" s="133">
        <v>26</v>
      </c>
      <c r="BW120" s="133">
        <v>27</v>
      </c>
    </row>
    <row r="123" spans="49:53">
      <c r="AW123" s="23" t="s">
        <v>3636</v>
      </c>
      <c r="BA123" s="23" t="s">
        <v>3635</v>
      </c>
    </row>
    <row r="124" spans="49:53">
      <c r="AW124" s="134" t="s">
        <v>3637</v>
      </c>
      <c r="AX124" s="23" t="s">
        <v>3638</v>
      </c>
      <c r="BA124" s="134" t="s">
        <v>3639</v>
      </c>
    </row>
    <row r="125" spans="49:53">
      <c r="AW125" s="135" t="s">
        <v>3610</v>
      </c>
      <c r="BA125" s="135" t="s">
        <v>3611</v>
      </c>
    </row>
    <row r="126" spans="49:56">
      <c r="AW126" s="128" t="s">
        <v>3640</v>
      </c>
      <c r="AX126" s="128" t="s">
        <v>3636</v>
      </c>
      <c r="AY126" s="128" t="s">
        <v>3641</v>
      </c>
      <c r="AZ126" s="128" t="s">
        <v>3635</v>
      </c>
      <c r="BA126" s="128" t="s">
        <v>3642</v>
      </c>
      <c r="BD126" s="823" t="s">
        <v>3643</v>
      </c>
    </row>
    <row r="127" spans="50:56">
      <c r="AX127" s="136">
        <f>VLOOKUP(BA125,FRS!FRS_Trading_List_Give_Full,((MATCH(AW125,FRS!FRS_Item_Give_Give_List_H,0))+1),FALSE)</f>
        <v>5</v>
      </c>
      <c r="AY127" s="827" t="s">
        <v>3644</v>
      </c>
      <c r="AZ127" s="136">
        <f>VLOOKUP(BA125,FRS!FRS_Trading_List_Get_Full,((MATCH(AW125,FRS!FRS_Item_Get_Give_List_H,0))+1),FALSE)</f>
        <v>1</v>
      </c>
      <c r="BD127" s="23" t="s">
        <v>3635</v>
      </c>
    </row>
    <row r="128" spans="50:56">
      <c r="AX128" s="128" t="s">
        <v>3645</v>
      </c>
      <c r="AY128" s="128"/>
      <c r="AZ128" s="128" t="s">
        <v>3646</v>
      </c>
      <c r="BD128" s="823" t="s">
        <v>3647</v>
      </c>
    </row>
    <row r="129" spans="49:56">
      <c r="AW129" s="134" t="s">
        <v>3648</v>
      </c>
      <c r="AY129" s="134" t="s">
        <v>3649</v>
      </c>
      <c r="BA129" s="134" t="s">
        <v>3635</v>
      </c>
      <c r="BD129" s="23" t="s">
        <v>3650</v>
      </c>
    </row>
    <row r="130" spans="49:56">
      <c r="AW130" s="137">
        <f>AX127*AY130</f>
        <v>10</v>
      </c>
      <c r="AY130" s="135">
        <v>2</v>
      </c>
      <c r="BA130" s="137">
        <f>AZ127*AY130</f>
        <v>2</v>
      </c>
      <c r="BD130" s="823" t="s">
        <v>3651</v>
      </c>
    </row>
    <row r="131" spans="51:51">
      <c r="AY131" s="23" t="s">
        <v>3652</v>
      </c>
    </row>
    <row r="134" spans="48:48">
      <c r="AV134" s="128" t="s">
        <v>3636</v>
      </c>
    </row>
    <row r="135" ht="27" spans="48:75">
      <c r="AV135" s="126" t="s">
        <v>3653</v>
      </c>
      <c r="AW135" s="129" t="s">
        <v>3608</v>
      </c>
      <c r="AX135" s="129" t="s">
        <v>3609</v>
      </c>
      <c r="AY135" s="129" t="s">
        <v>3610</v>
      </c>
      <c r="AZ135" s="129" t="s">
        <v>3611</v>
      </c>
      <c r="BA135" s="129" t="s">
        <v>3612</v>
      </c>
      <c r="BB135" s="129" t="s">
        <v>3613</v>
      </c>
      <c r="BC135" s="129" t="s">
        <v>3614</v>
      </c>
      <c r="BD135" s="129" t="s">
        <v>3615</v>
      </c>
      <c r="BE135" s="129" t="s">
        <v>3616</v>
      </c>
      <c r="BF135" s="129" t="s">
        <v>3617</v>
      </c>
      <c r="BG135" s="129" t="s">
        <v>3618</v>
      </c>
      <c r="BH135" s="129" t="s">
        <v>3619</v>
      </c>
      <c r="BI135" s="129" t="s">
        <v>3620</v>
      </c>
      <c r="BJ135" s="129" t="s">
        <v>3621</v>
      </c>
      <c r="BK135" s="129" t="s">
        <v>3622</v>
      </c>
      <c r="BL135" s="129" t="s">
        <v>3623</v>
      </c>
      <c r="BM135" s="129" t="s">
        <v>3624</v>
      </c>
      <c r="BN135" s="129" t="s">
        <v>3625</v>
      </c>
      <c r="BO135" s="129" t="s">
        <v>3626</v>
      </c>
      <c r="BP135" s="129" t="s">
        <v>3627</v>
      </c>
      <c r="BQ135" s="129" t="s">
        <v>3628</v>
      </c>
      <c r="BR135" s="129" t="s">
        <v>3629</v>
      </c>
      <c r="BS135" s="129" t="s">
        <v>3630</v>
      </c>
      <c r="BT135" s="129" t="s">
        <v>3631</v>
      </c>
      <c r="BU135" s="129" t="s">
        <v>3632</v>
      </c>
      <c r="BV135" s="129" t="s">
        <v>3633</v>
      </c>
      <c r="BW135" s="129" t="s">
        <v>3634</v>
      </c>
    </row>
    <row r="136" spans="48:75">
      <c r="AV136" s="127" t="s">
        <v>3608</v>
      </c>
      <c r="AW136" s="130"/>
      <c r="AX136" s="131">
        <v>3</v>
      </c>
      <c r="AY136" s="131">
        <v>3</v>
      </c>
      <c r="AZ136" s="131">
        <v>1</v>
      </c>
      <c r="BA136" s="131">
        <v>1</v>
      </c>
      <c r="BB136" s="131">
        <v>1</v>
      </c>
      <c r="BC136" s="131">
        <v>1</v>
      </c>
      <c r="BD136" s="132"/>
      <c r="BE136" s="132"/>
      <c r="BF136" s="132"/>
      <c r="BG136" s="132"/>
      <c r="BH136" s="132"/>
      <c r="BI136" s="132"/>
      <c r="BJ136" s="132"/>
      <c r="BK136" s="132"/>
      <c r="BL136" s="132"/>
      <c r="BM136" s="132"/>
      <c r="BN136" s="132"/>
      <c r="BO136" s="132"/>
      <c r="BP136" s="132"/>
      <c r="BQ136" s="132"/>
      <c r="BR136" s="132"/>
      <c r="BS136" s="132"/>
      <c r="BT136" s="132"/>
      <c r="BU136" s="132"/>
      <c r="BV136" s="132"/>
      <c r="BW136" s="132"/>
    </row>
    <row r="137" spans="48:75">
      <c r="AV137" s="127" t="s">
        <v>3609</v>
      </c>
      <c r="AW137" s="131">
        <v>3</v>
      </c>
      <c r="AX137" s="130"/>
      <c r="AY137" s="131">
        <v>3</v>
      </c>
      <c r="AZ137" s="131">
        <v>1</v>
      </c>
      <c r="BA137" s="131">
        <v>1</v>
      </c>
      <c r="BB137" s="131">
        <v>1</v>
      </c>
      <c r="BC137" s="131">
        <v>1</v>
      </c>
      <c r="BD137" s="132"/>
      <c r="BE137" s="132"/>
      <c r="BF137" s="132"/>
      <c r="BG137" s="132"/>
      <c r="BH137" s="132"/>
      <c r="BI137" s="132"/>
      <c r="BJ137" s="132"/>
      <c r="BK137" s="132"/>
      <c r="BL137" s="132"/>
      <c r="BM137" s="132"/>
      <c r="BN137" s="132"/>
      <c r="BO137" s="132"/>
      <c r="BP137" s="132"/>
      <c r="BQ137" s="132"/>
      <c r="BR137" s="132"/>
      <c r="BS137" s="132"/>
      <c r="BT137" s="132"/>
      <c r="BU137" s="132"/>
      <c r="BV137" s="132"/>
      <c r="BW137" s="132"/>
    </row>
    <row r="138" spans="48:75">
      <c r="AV138" s="127" t="s">
        <v>3610</v>
      </c>
      <c r="AW138" s="131">
        <v>3</v>
      </c>
      <c r="AX138" s="131">
        <v>3</v>
      </c>
      <c r="AY138" s="130"/>
      <c r="AZ138" s="131">
        <v>1</v>
      </c>
      <c r="BA138" s="131">
        <v>1</v>
      </c>
      <c r="BB138" s="131">
        <v>1</v>
      </c>
      <c r="BC138" s="131">
        <v>1</v>
      </c>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row>
    <row r="139" spans="48:75">
      <c r="AV139" s="127" t="s">
        <v>3611</v>
      </c>
      <c r="AW139" s="131">
        <v>5</v>
      </c>
      <c r="AX139" s="131">
        <v>5</v>
      </c>
      <c r="AY139" s="131">
        <v>5</v>
      </c>
      <c r="AZ139" s="130"/>
      <c r="BA139" s="131">
        <v>1</v>
      </c>
      <c r="BB139" s="131">
        <v>1</v>
      </c>
      <c r="BC139" s="131">
        <v>1</v>
      </c>
      <c r="BD139" s="131">
        <v>25</v>
      </c>
      <c r="BE139" s="131">
        <v>25</v>
      </c>
      <c r="BF139" s="131">
        <v>25</v>
      </c>
      <c r="BG139" s="131">
        <v>25</v>
      </c>
      <c r="BH139" s="131">
        <v>25</v>
      </c>
      <c r="BI139" s="131">
        <v>25</v>
      </c>
      <c r="BJ139" s="131">
        <v>25</v>
      </c>
      <c r="BK139" s="131">
        <v>25</v>
      </c>
      <c r="BL139" s="131">
        <v>25</v>
      </c>
      <c r="BM139" s="131">
        <v>25</v>
      </c>
      <c r="BN139" s="131">
        <v>25</v>
      </c>
      <c r="BO139" s="131">
        <v>25</v>
      </c>
      <c r="BP139" s="131">
        <v>25</v>
      </c>
      <c r="BQ139" s="131">
        <v>25</v>
      </c>
      <c r="BR139" s="131">
        <v>25</v>
      </c>
      <c r="BS139" s="132"/>
      <c r="BT139" s="132"/>
      <c r="BU139" s="132"/>
      <c r="BV139" s="132"/>
      <c r="BW139" s="132"/>
    </row>
    <row r="140" spans="48:75">
      <c r="AV140" s="127" t="s">
        <v>3612</v>
      </c>
      <c r="AW140" s="132"/>
      <c r="AX140" s="132"/>
      <c r="AY140" s="132"/>
      <c r="AZ140" s="131">
        <v>10</v>
      </c>
      <c r="BA140" s="130"/>
      <c r="BB140" s="132"/>
      <c r="BC140" s="132"/>
      <c r="BD140" s="131">
        <v>50</v>
      </c>
      <c r="BE140" s="131">
        <v>50</v>
      </c>
      <c r="BF140" s="131">
        <v>50</v>
      </c>
      <c r="BG140" s="131">
        <v>50</v>
      </c>
      <c r="BH140" s="131">
        <v>50</v>
      </c>
      <c r="BI140" s="131">
        <v>50</v>
      </c>
      <c r="BJ140" s="131">
        <v>50</v>
      </c>
      <c r="BK140" s="131">
        <v>50</v>
      </c>
      <c r="BL140" s="131">
        <v>50</v>
      </c>
      <c r="BM140" s="131">
        <v>50</v>
      </c>
      <c r="BN140" s="131">
        <v>50</v>
      </c>
      <c r="BO140" s="131">
        <v>50</v>
      </c>
      <c r="BP140" s="131">
        <v>50</v>
      </c>
      <c r="BQ140" s="131">
        <v>50</v>
      </c>
      <c r="BR140" s="131">
        <v>50</v>
      </c>
      <c r="BS140" s="132"/>
      <c r="BT140" s="132"/>
      <c r="BU140" s="132"/>
      <c r="BV140" s="132"/>
      <c r="BW140" s="132"/>
    </row>
    <row r="141" spans="48:75">
      <c r="AV141" s="127" t="s">
        <v>3613</v>
      </c>
      <c r="AW141" s="132"/>
      <c r="AX141" s="132"/>
      <c r="AY141" s="132"/>
      <c r="AZ141" s="132"/>
      <c r="BA141" s="131">
        <v>25</v>
      </c>
      <c r="BB141" s="130"/>
      <c r="BC141" s="132"/>
      <c r="BD141" s="131">
        <v>100</v>
      </c>
      <c r="BE141" s="131">
        <v>100</v>
      </c>
      <c r="BF141" s="131">
        <v>100</v>
      </c>
      <c r="BG141" s="131">
        <v>100</v>
      </c>
      <c r="BH141" s="131">
        <v>100</v>
      </c>
      <c r="BI141" s="131">
        <v>100</v>
      </c>
      <c r="BJ141" s="131">
        <v>100</v>
      </c>
      <c r="BK141" s="131">
        <v>100</v>
      </c>
      <c r="BL141" s="131">
        <v>100</v>
      </c>
      <c r="BM141" s="131">
        <v>100</v>
      </c>
      <c r="BN141" s="131">
        <v>100</v>
      </c>
      <c r="BO141" s="131">
        <v>100</v>
      </c>
      <c r="BP141" s="131">
        <v>100</v>
      </c>
      <c r="BQ141" s="131">
        <v>100</v>
      </c>
      <c r="BR141" s="131">
        <v>100</v>
      </c>
      <c r="BS141" s="132"/>
      <c r="BT141" s="132"/>
      <c r="BU141" s="132"/>
      <c r="BV141" s="132"/>
      <c r="BW141" s="132"/>
    </row>
    <row r="142" spans="48:75">
      <c r="AV142" s="127" t="s">
        <v>3614</v>
      </c>
      <c r="AW142" s="132"/>
      <c r="AX142" s="132"/>
      <c r="AY142" s="132"/>
      <c r="AZ142" s="132"/>
      <c r="BA142" s="132"/>
      <c r="BB142" s="131">
        <v>25</v>
      </c>
      <c r="BC142" s="130"/>
      <c r="BD142" s="131">
        <v>200</v>
      </c>
      <c r="BE142" s="131">
        <v>200</v>
      </c>
      <c r="BF142" s="131">
        <v>200</v>
      </c>
      <c r="BG142" s="131">
        <v>200</v>
      </c>
      <c r="BH142" s="131">
        <v>200</v>
      </c>
      <c r="BI142" s="131">
        <v>200</v>
      </c>
      <c r="BJ142" s="131">
        <v>200</v>
      </c>
      <c r="BK142" s="131">
        <v>200</v>
      </c>
      <c r="BL142" s="131">
        <v>200</v>
      </c>
      <c r="BM142" s="131">
        <v>200</v>
      </c>
      <c r="BN142" s="131">
        <v>200</v>
      </c>
      <c r="BO142" s="131">
        <v>200</v>
      </c>
      <c r="BP142" s="131">
        <v>200</v>
      </c>
      <c r="BQ142" s="131">
        <v>200</v>
      </c>
      <c r="BR142" s="131">
        <v>200</v>
      </c>
      <c r="BS142" s="132"/>
      <c r="BT142" s="132"/>
      <c r="BU142" s="132"/>
      <c r="BV142" s="132"/>
      <c r="BW142" s="132"/>
    </row>
    <row r="143" spans="48:75">
      <c r="AV143" s="127" t="s">
        <v>3615</v>
      </c>
      <c r="AW143" s="132"/>
      <c r="AX143" s="132"/>
      <c r="AY143" s="132"/>
      <c r="AZ143" s="132"/>
      <c r="BA143" s="132"/>
      <c r="BB143" s="132"/>
      <c r="BC143" s="132"/>
      <c r="BD143" s="130"/>
      <c r="BE143" s="131">
        <v>3</v>
      </c>
      <c r="BF143" s="131">
        <v>3</v>
      </c>
      <c r="BG143" s="131">
        <v>3</v>
      </c>
      <c r="BH143" s="131">
        <v>3</v>
      </c>
      <c r="BI143" s="131">
        <v>3</v>
      </c>
      <c r="BJ143" s="131">
        <v>3</v>
      </c>
      <c r="BK143" s="131">
        <v>3</v>
      </c>
      <c r="BL143" s="132"/>
      <c r="BM143" s="132"/>
      <c r="BN143" s="132"/>
      <c r="BO143" s="132"/>
      <c r="BP143" s="132"/>
      <c r="BQ143" s="132"/>
      <c r="BR143" s="132"/>
      <c r="BS143" s="132"/>
      <c r="BT143" s="132"/>
      <c r="BU143" s="132"/>
      <c r="BV143" s="132"/>
      <c r="BW143" s="132"/>
    </row>
    <row r="144" spans="48:75">
      <c r="AV144" s="127" t="s">
        <v>3616</v>
      </c>
      <c r="AW144" s="132"/>
      <c r="AX144" s="132"/>
      <c r="AY144" s="132"/>
      <c r="AZ144" s="132"/>
      <c r="BA144" s="132"/>
      <c r="BB144" s="132"/>
      <c r="BC144" s="132"/>
      <c r="BD144" s="131">
        <v>3</v>
      </c>
      <c r="BE144" s="130"/>
      <c r="BF144" s="131">
        <v>3</v>
      </c>
      <c r="BG144" s="131">
        <v>3</v>
      </c>
      <c r="BH144" s="131">
        <v>3</v>
      </c>
      <c r="BI144" s="131">
        <v>3</v>
      </c>
      <c r="BJ144" s="131">
        <v>3</v>
      </c>
      <c r="BK144" s="131">
        <v>3</v>
      </c>
      <c r="BL144" s="132"/>
      <c r="BM144" s="132"/>
      <c r="BN144" s="132"/>
      <c r="BO144" s="132"/>
      <c r="BP144" s="132"/>
      <c r="BQ144" s="132"/>
      <c r="BR144" s="132"/>
      <c r="BS144" s="132"/>
      <c r="BT144" s="132"/>
      <c r="BU144" s="132"/>
      <c r="BV144" s="132"/>
      <c r="BW144" s="132"/>
    </row>
    <row r="145" spans="48:75">
      <c r="AV145" s="127" t="s">
        <v>3617</v>
      </c>
      <c r="AW145" s="132"/>
      <c r="AX145" s="132"/>
      <c r="AY145" s="132"/>
      <c r="AZ145" s="132"/>
      <c r="BA145" s="132"/>
      <c r="BB145" s="132"/>
      <c r="BC145" s="132"/>
      <c r="BD145" s="131">
        <v>3</v>
      </c>
      <c r="BE145" s="131">
        <v>3</v>
      </c>
      <c r="BF145" s="130"/>
      <c r="BG145" s="131">
        <v>3</v>
      </c>
      <c r="BH145" s="131">
        <v>3</v>
      </c>
      <c r="BI145" s="131">
        <v>3</v>
      </c>
      <c r="BJ145" s="131">
        <v>3</v>
      </c>
      <c r="BK145" s="131">
        <v>3</v>
      </c>
      <c r="BL145" s="132"/>
      <c r="BM145" s="132"/>
      <c r="BN145" s="132"/>
      <c r="BO145" s="132"/>
      <c r="BP145" s="132"/>
      <c r="BQ145" s="132"/>
      <c r="BR145" s="132"/>
      <c r="BS145" s="132"/>
      <c r="BT145" s="132"/>
      <c r="BU145" s="132"/>
      <c r="BV145" s="132"/>
      <c r="BW145" s="132"/>
    </row>
    <row r="146" spans="48:75">
      <c r="AV146" s="127" t="s">
        <v>3618</v>
      </c>
      <c r="AW146" s="132"/>
      <c r="AX146" s="132"/>
      <c r="AY146" s="132"/>
      <c r="AZ146" s="132"/>
      <c r="BA146" s="132"/>
      <c r="BB146" s="132"/>
      <c r="BC146" s="132"/>
      <c r="BD146" s="131">
        <v>3</v>
      </c>
      <c r="BE146" s="131">
        <v>3</v>
      </c>
      <c r="BF146" s="131">
        <v>3</v>
      </c>
      <c r="BG146" s="130"/>
      <c r="BH146" s="131">
        <v>3</v>
      </c>
      <c r="BI146" s="131">
        <v>3</v>
      </c>
      <c r="BJ146" s="131">
        <v>3</v>
      </c>
      <c r="BK146" s="131">
        <v>3</v>
      </c>
      <c r="BL146" s="132"/>
      <c r="BM146" s="132"/>
      <c r="BN146" s="132"/>
      <c r="BO146" s="132"/>
      <c r="BP146" s="132"/>
      <c r="BQ146" s="132"/>
      <c r="BR146" s="132"/>
      <c r="BS146" s="132"/>
      <c r="BT146" s="132"/>
      <c r="BU146" s="132"/>
      <c r="BV146" s="132"/>
      <c r="BW146" s="132"/>
    </row>
    <row r="147" spans="48:75">
      <c r="AV147" s="127" t="s">
        <v>3619</v>
      </c>
      <c r="AW147" s="132"/>
      <c r="AX147" s="132"/>
      <c r="AY147" s="132"/>
      <c r="AZ147" s="132"/>
      <c r="BA147" s="132"/>
      <c r="BB147" s="132"/>
      <c r="BC147" s="132"/>
      <c r="BD147" s="131">
        <v>3</v>
      </c>
      <c r="BE147" s="131">
        <v>3</v>
      </c>
      <c r="BF147" s="131">
        <v>3</v>
      </c>
      <c r="BG147" s="131">
        <v>3</v>
      </c>
      <c r="BH147" s="130"/>
      <c r="BI147" s="131">
        <v>3</v>
      </c>
      <c r="BJ147" s="131">
        <v>3</v>
      </c>
      <c r="BK147" s="131">
        <v>3</v>
      </c>
      <c r="BL147" s="132"/>
      <c r="BM147" s="132"/>
      <c r="BN147" s="132"/>
      <c r="BO147" s="132"/>
      <c r="BP147" s="132"/>
      <c r="BQ147" s="132"/>
      <c r="BR147" s="132"/>
      <c r="BS147" s="132"/>
      <c r="BT147" s="132"/>
      <c r="BU147" s="132"/>
      <c r="BV147" s="132"/>
      <c r="BW147" s="132"/>
    </row>
    <row r="148" spans="48:75">
      <c r="AV148" s="127" t="s">
        <v>3620</v>
      </c>
      <c r="AW148" s="132"/>
      <c r="AX148" s="132"/>
      <c r="AY148" s="132"/>
      <c r="AZ148" s="132"/>
      <c r="BA148" s="132"/>
      <c r="BB148" s="132"/>
      <c r="BC148" s="132"/>
      <c r="BD148" s="131">
        <v>3</v>
      </c>
      <c r="BE148" s="131">
        <v>3</v>
      </c>
      <c r="BF148" s="131">
        <v>3</v>
      </c>
      <c r="BG148" s="131">
        <v>3</v>
      </c>
      <c r="BH148" s="131">
        <v>3</v>
      </c>
      <c r="BI148" s="130"/>
      <c r="BJ148" s="131">
        <v>3</v>
      </c>
      <c r="BK148" s="131">
        <v>3</v>
      </c>
      <c r="BL148" s="132"/>
      <c r="BM148" s="132"/>
      <c r="BN148" s="132"/>
      <c r="BO148" s="132"/>
      <c r="BP148" s="132"/>
      <c r="BQ148" s="132"/>
      <c r="BR148" s="132"/>
      <c r="BS148" s="132"/>
      <c r="BT148" s="132"/>
      <c r="BU148" s="132"/>
      <c r="BV148" s="132"/>
      <c r="BW148" s="132"/>
    </row>
    <row r="149" spans="48:75">
      <c r="AV149" s="127" t="s">
        <v>3621</v>
      </c>
      <c r="AW149" s="132"/>
      <c r="AX149" s="132"/>
      <c r="AY149" s="132"/>
      <c r="AZ149" s="132"/>
      <c r="BA149" s="132"/>
      <c r="BB149" s="132"/>
      <c r="BC149" s="132"/>
      <c r="BD149" s="131">
        <v>3</v>
      </c>
      <c r="BE149" s="131">
        <v>3</v>
      </c>
      <c r="BF149" s="131">
        <v>3</v>
      </c>
      <c r="BG149" s="131">
        <v>3</v>
      </c>
      <c r="BH149" s="131">
        <v>3</v>
      </c>
      <c r="BI149" s="131">
        <v>3</v>
      </c>
      <c r="BJ149" s="130"/>
      <c r="BK149" s="131">
        <v>3</v>
      </c>
      <c r="BL149" s="132"/>
      <c r="BM149" s="132"/>
      <c r="BN149" s="132"/>
      <c r="BO149" s="132"/>
      <c r="BP149" s="132"/>
      <c r="BQ149" s="132"/>
      <c r="BR149" s="132"/>
      <c r="BS149" s="132"/>
      <c r="BT149" s="132"/>
      <c r="BU149" s="132"/>
      <c r="BV149" s="132"/>
      <c r="BW149" s="132"/>
    </row>
    <row r="150" spans="48:75">
      <c r="AV150" s="127" t="s">
        <v>3622</v>
      </c>
      <c r="AW150" s="132"/>
      <c r="AX150" s="132"/>
      <c r="AY150" s="132"/>
      <c r="AZ150" s="132"/>
      <c r="BA150" s="132"/>
      <c r="BB150" s="132"/>
      <c r="BC150" s="132"/>
      <c r="BD150" s="131">
        <v>3</v>
      </c>
      <c r="BE150" s="131">
        <v>3</v>
      </c>
      <c r="BF150" s="131">
        <v>3</v>
      </c>
      <c r="BG150" s="131">
        <v>3</v>
      </c>
      <c r="BH150" s="131">
        <v>3</v>
      </c>
      <c r="BI150" s="131">
        <v>3</v>
      </c>
      <c r="BJ150" s="131">
        <v>3</v>
      </c>
      <c r="BK150" s="130"/>
      <c r="BL150" s="132"/>
      <c r="BM150" s="132"/>
      <c r="BN150" s="132"/>
      <c r="BO150" s="132"/>
      <c r="BP150" s="132"/>
      <c r="BQ150" s="132"/>
      <c r="BR150" s="132"/>
      <c r="BS150" s="132"/>
      <c r="BT150" s="132"/>
      <c r="BU150" s="132"/>
      <c r="BV150" s="132"/>
      <c r="BW150" s="132"/>
    </row>
    <row r="151" spans="48:75">
      <c r="AV151" s="127" t="s">
        <v>3623</v>
      </c>
      <c r="AW151" s="132"/>
      <c r="AX151" s="132"/>
      <c r="AY151" s="132"/>
      <c r="AZ151" s="132"/>
      <c r="BA151" s="132"/>
      <c r="BB151" s="132"/>
      <c r="BC151" s="132"/>
      <c r="BD151" s="132"/>
      <c r="BE151" s="132"/>
      <c r="BF151" s="132"/>
      <c r="BG151" s="132"/>
      <c r="BH151" s="132"/>
      <c r="BI151" s="132"/>
      <c r="BJ151" s="132"/>
      <c r="BK151" s="132"/>
      <c r="BL151" s="130"/>
      <c r="BM151" s="131">
        <v>3</v>
      </c>
      <c r="BN151" s="131">
        <v>3</v>
      </c>
      <c r="BO151" s="131">
        <v>3</v>
      </c>
      <c r="BP151" s="131">
        <v>3</v>
      </c>
      <c r="BQ151" s="131">
        <v>3</v>
      </c>
      <c r="BR151" s="131">
        <v>3</v>
      </c>
      <c r="BS151" s="132"/>
      <c r="BT151" s="132"/>
      <c r="BU151" s="132"/>
      <c r="BV151" s="132"/>
      <c r="BW151" s="132"/>
    </row>
    <row r="152" spans="48:75">
      <c r="AV152" s="127" t="s">
        <v>3624</v>
      </c>
      <c r="AW152" s="132"/>
      <c r="AX152" s="132"/>
      <c r="AY152" s="132"/>
      <c r="AZ152" s="132"/>
      <c r="BA152" s="132"/>
      <c r="BB152" s="132"/>
      <c r="BC152" s="132"/>
      <c r="BD152" s="132"/>
      <c r="BE152" s="132"/>
      <c r="BF152" s="132"/>
      <c r="BG152" s="132"/>
      <c r="BH152" s="132"/>
      <c r="BI152" s="132"/>
      <c r="BJ152" s="132"/>
      <c r="BK152" s="132"/>
      <c r="BL152" s="131">
        <v>3</v>
      </c>
      <c r="BM152" s="130"/>
      <c r="BN152" s="131">
        <v>3</v>
      </c>
      <c r="BO152" s="131">
        <v>3</v>
      </c>
      <c r="BP152" s="131">
        <v>3</v>
      </c>
      <c r="BQ152" s="131">
        <v>3</v>
      </c>
      <c r="BR152" s="131">
        <v>3</v>
      </c>
      <c r="BS152" s="132"/>
      <c r="BT152" s="132"/>
      <c r="BU152" s="132"/>
      <c r="BV152" s="132"/>
      <c r="BW152" s="132"/>
    </row>
    <row r="153" spans="48:75">
      <c r="AV153" s="127" t="s">
        <v>3625</v>
      </c>
      <c r="AW153" s="132"/>
      <c r="AX153" s="132"/>
      <c r="AY153" s="132"/>
      <c r="AZ153" s="132"/>
      <c r="BA153" s="132"/>
      <c r="BB153" s="132"/>
      <c r="BC153" s="132"/>
      <c r="BD153" s="132"/>
      <c r="BE153" s="132"/>
      <c r="BF153" s="132"/>
      <c r="BG153" s="132"/>
      <c r="BH153" s="132"/>
      <c r="BI153" s="132"/>
      <c r="BJ153" s="132"/>
      <c r="BK153" s="132"/>
      <c r="BL153" s="131">
        <v>3</v>
      </c>
      <c r="BM153" s="131">
        <v>3</v>
      </c>
      <c r="BN153" s="130"/>
      <c r="BO153" s="131">
        <v>3</v>
      </c>
      <c r="BP153" s="131">
        <v>3</v>
      </c>
      <c r="BQ153" s="131">
        <v>3</v>
      </c>
      <c r="BR153" s="131">
        <v>3</v>
      </c>
      <c r="BS153" s="132"/>
      <c r="BT153" s="132"/>
      <c r="BU153" s="132"/>
      <c r="BV153" s="132"/>
      <c r="BW153" s="132"/>
    </row>
    <row r="154" spans="48:75">
      <c r="AV154" s="127" t="s">
        <v>3626</v>
      </c>
      <c r="AW154" s="132"/>
      <c r="AX154" s="132"/>
      <c r="AY154" s="132"/>
      <c r="AZ154" s="132"/>
      <c r="BA154" s="132"/>
      <c r="BB154" s="132"/>
      <c r="BC154" s="132"/>
      <c r="BD154" s="132"/>
      <c r="BE154" s="132"/>
      <c r="BF154" s="132"/>
      <c r="BG154" s="132"/>
      <c r="BH154" s="132"/>
      <c r="BI154" s="132"/>
      <c r="BJ154" s="132"/>
      <c r="BK154" s="132"/>
      <c r="BL154" s="131">
        <v>3</v>
      </c>
      <c r="BM154" s="131">
        <v>3</v>
      </c>
      <c r="BN154" s="131">
        <v>3</v>
      </c>
      <c r="BO154" s="130"/>
      <c r="BP154" s="131">
        <v>3</v>
      </c>
      <c r="BQ154" s="131">
        <v>3</v>
      </c>
      <c r="BR154" s="131">
        <v>3</v>
      </c>
      <c r="BS154" s="132"/>
      <c r="BT154" s="132"/>
      <c r="BU154" s="132"/>
      <c r="BV154" s="132"/>
      <c r="BW154" s="132"/>
    </row>
    <row r="155" spans="48:75">
      <c r="AV155" s="127" t="s">
        <v>3627</v>
      </c>
      <c r="AW155" s="132"/>
      <c r="AX155" s="132"/>
      <c r="AY155" s="132"/>
      <c r="AZ155" s="132"/>
      <c r="BA155" s="132"/>
      <c r="BB155" s="132"/>
      <c r="BC155" s="132"/>
      <c r="BD155" s="132"/>
      <c r="BE155" s="132"/>
      <c r="BF155" s="132"/>
      <c r="BG155" s="132"/>
      <c r="BH155" s="132"/>
      <c r="BI155" s="132"/>
      <c r="BJ155" s="132"/>
      <c r="BK155" s="132"/>
      <c r="BL155" s="131">
        <v>3</v>
      </c>
      <c r="BM155" s="131">
        <v>3</v>
      </c>
      <c r="BN155" s="131">
        <v>3</v>
      </c>
      <c r="BO155" s="131">
        <v>3</v>
      </c>
      <c r="BP155" s="130"/>
      <c r="BQ155" s="131">
        <v>3</v>
      </c>
      <c r="BR155" s="131">
        <v>3</v>
      </c>
      <c r="BS155" s="132"/>
      <c r="BT155" s="132"/>
      <c r="BU155" s="132"/>
      <c r="BV155" s="132"/>
      <c r="BW155" s="132"/>
    </row>
    <row r="156" spans="48:75">
      <c r="AV156" s="127" t="s">
        <v>3628</v>
      </c>
      <c r="AW156" s="132"/>
      <c r="AX156" s="132"/>
      <c r="AY156" s="132"/>
      <c r="AZ156" s="132"/>
      <c r="BA156" s="132"/>
      <c r="BB156" s="132"/>
      <c r="BC156" s="132"/>
      <c r="BD156" s="132"/>
      <c r="BE156" s="132"/>
      <c r="BF156" s="132"/>
      <c r="BG156" s="132"/>
      <c r="BH156" s="132"/>
      <c r="BI156" s="132"/>
      <c r="BJ156" s="132"/>
      <c r="BK156" s="132"/>
      <c r="BL156" s="131">
        <v>3</v>
      </c>
      <c r="BM156" s="131">
        <v>3</v>
      </c>
      <c r="BN156" s="131">
        <v>3</v>
      </c>
      <c r="BO156" s="131">
        <v>3</v>
      </c>
      <c r="BP156" s="131">
        <v>3</v>
      </c>
      <c r="BQ156" s="130"/>
      <c r="BR156" s="131">
        <v>3</v>
      </c>
      <c r="BS156" s="132"/>
      <c r="BT156" s="132"/>
      <c r="BU156" s="132"/>
      <c r="BV156" s="132"/>
      <c r="BW156" s="132"/>
    </row>
    <row r="157" spans="48:75">
      <c r="AV157" s="127" t="s">
        <v>3629</v>
      </c>
      <c r="AW157" s="132"/>
      <c r="AX157" s="132"/>
      <c r="AY157" s="132"/>
      <c r="AZ157" s="132"/>
      <c r="BA157" s="132"/>
      <c r="BB157" s="132"/>
      <c r="BC157" s="132"/>
      <c r="BD157" s="132"/>
      <c r="BE157" s="132"/>
      <c r="BF157" s="132"/>
      <c r="BG157" s="132"/>
      <c r="BH157" s="132"/>
      <c r="BI157" s="132"/>
      <c r="BJ157" s="132"/>
      <c r="BK157" s="132"/>
      <c r="BL157" s="131">
        <v>3</v>
      </c>
      <c r="BM157" s="131">
        <v>3</v>
      </c>
      <c r="BN157" s="131">
        <v>3</v>
      </c>
      <c r="BO157" s="131">
        <v>3</v>
      </c>
      <c r="BP157" s="131">
        <v>3</v>
      </c>
      <c r="BQ157" s="131">
        <v>3</v>
      </c>
      <c r="BR157" s="130"/>
      <c r="BS157" s="132"/>
      <c r="BT157" s="132"/>
      <c r="BU157" s="132"/>
      <c r="BV157" s="132"/>
      <c r="BW157" s="132"/>
    </row>
    <row r="158" spans="48:75">
      <c r="AV158" s="127" t="s">
        <v>3630</v>
      </c>
      <c r="AW158" s="131">
        <v>1</v>
      </c>
      <c r="AX158" s="131">
        <v>1</v>
      </c>
      <c r="AY158" s="131">
        <v>1</v>
      </c>
      <c r="AZ158" s="132"/>
      <c r="BA158" s="132"/>
      <c r="BB158" s="132"/>
      <c r="BC158" s="132"/>
      <c r="BD158" s="131">
        <v>1</v>
      </c>
      <c r="BE158" s="131">
        <v>1</v>
      </c>
      <c r="BF158" s="131">
        <v>1</v>
      </c>
      <c r="BG158" s="131">
        <v>1</v>
      </c>
      <c r="BH158" s="131">
        <v>1</v>
      </c>
      <c r="BI158" s="131">
        <v>1</v>
      </c>
      <c r="BJ158" s="131">
        <v>1</v>
      </c>
      <c r="BK158" s="131">
        <v>1</v>
      </c>
      <c r="BL158" s="131">
        <v>1</v>
      </c>
      <c r="BM158" s="131">
        <v>1</v>
      </c>
      <c r="BN158" s="131">
        <v>1</v>
      </c>
      <c r="BO158" s="131">
        <v>1</v>
      </c>
      <c r="BP158" s="131">
        <v>1</v>
      </c>
      <c r="BQ158" s="131">
        <v>1</v>
      </c>
      <c r="BR158" s="131">
        <v>1</v>
      </c>
      <c r="BS158" s="130"/>
      <c r="BT158" s="131">
        <v>5</v>
      </c>
      <c r="BU158" s="131">
        <v>5</v>
      </c>
      <c r="BV158" s="131">
        <v>1</v>
      </c>
      <c r="BW158" s="131">
        <v>1</v>
      </c>
    </row>
    <row r="159" spans="48:75">
      <c r="AV159" s="127" t="s">
        <v>3631</v>
      </c>
      <c r="AW159" s="132"/>
      <c r="AX159" s="132"/>
      <c r="AY159" s="132"/>
      <c r="AZ159" s="132"/>
      <c r="BA159" s="132"/>
      <c r="BB159" s="132"/>
      <c r="BC159" s="132"/>
      <c r="BD159" s="131">
        <v>1</v>
      </c>
      <c r="BE159" s="131">
        <v>1</v>
      </c>
      <c r="BF159" s="131">
        <v>1</v>
      </c>
      <c r="BG159" s="131">
        <v>1</v>
      </c>
      <c r="BH159" s="131">
        <v>1</v>
      </c>
      <c r="BI159" s="131">
        <v>1</v>
      </c>
      <c r="BJ159" s="131">
        <v>1</v>
      </c>
      <c r="BK159" s="131">
        <v>1</v>
      </c>
      <c r="BL159" s="131">
        <v>1</v>
      </c>
      <c r="BM159" s="131">
        <v>1</v>
      </c>
      <c r="BN159" s="131">
        <v>1</v>
      </c>
      <c r="BO159" s="131">
        <v>1</v>
      </c>
      <c r="BP159" s="131">
        <v>1</v>
      </c>
      <c r="BQ159" s="131">
        <v>1</v>
      </c>
      <c r="BR159" s="131">
        <v>1</v>
      </c>
      <c r="BS159" s="131">
        <v>10</v>
      </c>
      <c r="BT159" s="130"/>
      <c r="BU159" s="131">
        <v>3</v>
      </c>
      <c r="BV159" s="131">
        <v>1</v>
      </c>
      <c r="BW159" s="131">
        <v>1</v>
      </c>
    </row>
    <row r="160" spans="48:75">
      <c r="AV160" s="127" t="s">
        <v>3632</v>
      </c>
      <c r="AW160" s="132"/>
      <c r="AX160" s="132"/>
      <c r="AY160" s="132"/>
      <c r="AZ160" s="132"/>
      <c r="BA160" s="132"/>
      <c r="BB160" s="132"/>
      <c r="BC160" s="132"/>
      <c r="BD160" s="131">
        <v>1</v>
      </c>
      <c r="BE160" s="131">
        <v>1</v>
      </c>
      <c r="BF160" s="131">
        <v>1</v>
      </c>
      <c r="BG160" s="131">
        <v>1</v>
      </c>
      <c r="BH160" s="131">
        <v>1</v>
      </c>
      <c r="BI160" s="131">
        <v>1</v>
      </c>
      <c r="BJ160" s="131">
        <v>1</v>
      </c>
      <c r="BK160" s="131">
        <v>1</v>
      </c>
      <c r="BL160" s="131">
        <v>1</v>
      </c>
      <c r="BM160" s="131">
        <v>1</v>
      </c>
      <c r="BN160" s="131">
        <v>1</v>
      </c>
      <c r="BO160" s="131">
        <v>1</v>
      </c>
      <c r="BP160" s="131">
        <v>1</v>
      </c>
      <c r="BQ160" s="131">
        <v>1</v>
      </c>
      <c r="BR160" s="131">
        <v>1</v>
      </c>
      <c r="BS160" s="131">
        <v>10</v>
      </c>
      <c r="BT160" s="131">
        <v>3</v>
      </c>
      <c r="BU160" s="130"/>
      <c r="BV160" s="131">
        <v>1</v>
      </c>
      <c r="BW160" s="131">
        <v>1</v>
      </c>
    </row>
    <row r="161" spans="48:75">
      <c r="AV161" s="127" t="s">
        <v>3633</v>
      </c>
      <c r="AW161" s="132"/>
      <c r="AX161" s="132"/>
      <c r="AY161" s="132"/>
      <c r="AZ161" s="132"/>
      <c r="BA161" s="132"/>
      <c r="BB161" s="132"/>
      <c r="BC161" s="132"/>
      <c r="BD161" s="131">
        <v>5</v>
      </c>
      <c r="BE161" s="131">
        <v>5</v>
      </c>
      <c r="BF161" s="131">
        <v>5</v>
      </c>
      <c r="BG161" s="131">
        <v>5</v>
      </c>
      <c r="BH161" s="131">
        <v>5</v>
      </c>
      <c r="BI161" s="131">
        <v>5</v>
      </c>
      <c r="BJ161" s="131">
        <v>5</v>
      </c>
      <c r="BK161" s="131">
        <v>5</v>
      </c>
      <c r="BL161" s="131">
        <v>5</v>
      </c>
      <c r="BM161" s="131">
        <v>5</v>
      </c>
      <c r="BN161" s="131">
        <v>5</v>
      </c>
      <c r="BO161" s="131">
        <v>5</v>
      </c>
      <c r="BP161" s="131">
        <v>5</v>
      </c>
      <c r="BQ161" s="131">
        <v>5</v>
      </c>
      <c r="BR161" s="131">
        <v>5</v>
      </c>
      <c r="BS161" s="132"/>
      <c r="BT161" s="132"/>
      <c r="BU161" s="132"/>
      <c r="BV161" s="130"/>
      <c r="BW161" s="132"/>
    </row>
    <row r="162" spans="48:75">
      <c r="AV162" s="127" t="s">
        <v>3634</v>
      </c>
      <c r="AW162" s="132"/>
      <c r="AX162" s="132"/>
      <c r="AY162" s="132"/>
      <c r="AZ162" s="132"/>
      <c r="BA162" s="132"/>
      <c r="BB162" s="132"/>
      <c r="BC162" s="132"/>
      <c r="BD162" s="131">
        <v>2</v>
      </c>
      <c r="BE162" s="131">
        <v>2</v>
      </c>
      <c r="BF162" s="131">
        <v>2</v>
      </c>
      <c r="BG162" s="131">
        <v>2</v>
      </c>
      <c r="BH162" s="131">
        <v>2</v>
      </c>
      <c r="BI162" s="131">
        <v>2</v>
      </c>
      <c r="BJ162" s="131">
        <v>2</v>
      </c>
      <c r="BK162" s="131">
        <v>2</v>
      </c>
      <c r="BL162" s="131">
        <v>2</v>
      </c>
      <c r="BM162" s="131">
        <v>2</v>
      </c>
      <c r="BN162" s="131">
        <v>2</v>
      </c>
      <c r="BO162" s="131">
        <v>2</v>
      </c>
      <c r="BP162" s="131">
        <v>2</v>
      </c>
      <c r="BQ162" s="131">
        <v>2</v>
      </c>
      <c r="BR162" s="131">
        <v>2</v>
      </c>
      <c r="BS162" s="132"/>
      <c r="BT162" s="132"/>
      <c r="BU162" s="132"/>
      <c r="BV162" s="132"/>
      <c r="BW162" s="130"/>
    </row>
    <row r="163" spans="49:75">
      <c r="AW163" s="133">
        <v>1</v>
      </c>
      <c r="AX163" s="133">
        <v>2</v>
      </c>
      <c r="AY163" s="133">
        <v>3</v>
      </c>
      <c r="AZ163" s="133">
        <v>4</v>
      </c>
      <c r="BA163" s="133">
        <v>5</v>
      </c>
      <c r="BB163" s="133">
        <v>6</v>
      </c>
      <c r="BC163" s="133">
        <v>7</v>
      </c>
      <c r="BD163" s="133">
        <v>8</v>
      </c>
      <c r="BE163" s="133">
        <v>9</v>
      </c>
      <c r="BF163" s="133">
        <v>10</v>
      </c>
      <c r="BG163" s="133">
        <v>11</v>
      </c>
      <c r="BH163" s="133">
        <v>12</v>
      </c>
      <c r="BI163" s="133">
        <v>13</v>
      </c>
      <c r="BJ163" s="133">
        <v>14</v>
      </c>
      <c r="BK163" s="133">
        <v>15</v>
      </c>
      <c r="BL163" s="133">
        <v>16</v>
      </c>
      <c r="BM163" s="133">
        <v>17</v>
      </c>
      <c r="BN163" s="133">
        <v>18</v>
      </c>
      <c r="BO163" s="133">
        <v>19</v>
      </c>
      <c r="BP163" s="133">
        <v>20</v>
      </c>
      <c r="BQ163" s="133">
        <v>21</v>
      </c>
      <c r="BR163" s="133">
        <v>22</v>
      </c>
      <c r="BS163" s="133">
        <v>23</v>
      </c>
      <c r="BT163" s="133">
        <v>24</v>
      </c>
      <c r="BU163" s="133">
        <v>25</v>
      </c>
      <c r="BV163" s="133">
        <v>26</v>
      </c>
      <c r="BW163" s="133">
        <v>27</v>
      </c>
    </row>
  </sheetData>
  <sheetProtection formatCells="0" formatColumns="0" formatRows="0" sort="0" autoFilter="0" pivotTables="0"/>
  <mergeCells count="5">
    <mergeCell ref="B28:G29"/>
    <mergeCell ref="Z28:AE29"/>
    <mergeCell ref="J28:O29"/>
    <mergeCell ref="AH28:AM29"/>
    <mergeCell ref="R28:W29"/>
  </mergeCells>
  <dataValidations count="2">
    <dataValidation type="list" allowBlank="1" showInputMessage="1" showErrorMessage="1" sqref="AW125">
      <formula1>FRS!FRS_Item_Get_Get_List_V</formula1>
    </dataValidation>
    <dataValidation type="list" allowBlank="1" showInputMessage="1" showErrorMessage="1" sqref="BA125">
      <formula1>FRS!FRS_Item_Get_Give_List_H</formula1>
    </dataValidation>
  </dataValidations>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7"/>
  <sheetViews>
    <sheetView workbookViewId="0">
      <selection activeCell="A6" sqref="A6"/>
    </sheetView>
  </sheetViews>
  <sheetFormatPr defaultColWidth="9" defaultRowHeight="13.5"/>
  <sheetData>
    <row r="1" spans="1:1">
      <c r="A1" t="s">
        <v>3654</v>
      </c>
    </row>
    <row r="2" spans="1:1">
      <c r="A2" t="s">
        <v>3655</v>
      </c>
    </row>
    <row r="3" spans="1:1">
      <c r="A3" t="s">
        <v>3656</v>
      </c>
    </row>
    <row r="4" spans="1:1">
      <c r="A4" t="s">
        <v>3657</v>
      </c>
    </row>
    <row r="5" spans="1:1">
      <c r="A5" t="s">
        <v>3658</v>
      </c>
    </row>
    <row r="6" spans="1:1">
      <c r="A6" t="s">
        <v>3659</v>
      </c>
    </row>
    <row r="7" spans="1:1">
      <c r="A7" t="s">
        <v>3660</v>
      </c>
    </row>
    <row r="8" spans="1:1">
      <c r="A8" t="s">
        <v>3661</v>
      </c>
    </row>
    <row r="9" spans="1:1">
      <c r="A9" t="s">
        <v>3662</v>
      </c>
    </row>
    <row r="10" spans="1:1">
      <c r="A10" t="s">
        <v>3663</v>
      </c>
    </row>
    <row r="11" spans="1:1">
      <c r="A11" t="s">
        <v>3664</v>
      </c>
    </row>
    <row r="12" spans="1:1">
      <c r="A12" t="s">
        <v>3665</v>
      </c>
    </row>
    <row r="13" spans="1:1">
      <c r="A13" t="s">
        <v>3666</v>
      </c>
    </row>
    <row r="14" spans="1:1">
      <c r="A14" t="s">
        <v>3667</v>
      </c>
    </row>
    <row r="15" spans="1:1">
      <c r="A15" t="s">
        <v>3668</v>
      </c>
    </row>
    <row r="24" spans="1:1">
      <c r="A24" t="s">
        <v>3669</v>
      </c>
    </row>
    <row r="25" spans="1:1">
      <c r="A25" t="s">
        <v>3113</v>
      </c>
    </row>
    <row r="26" spans="1:1">
      <c r="A26" t="s">
        <v>3670</v>
      </c>
    </row>
    <row r="27" spans="1:1">
      <c r="A27" t="s">
        <v>3671</v>
      </c>
    </row>
    <row r="28" spans="1:1">
      <c r="A28" t="s">
        <v>3672</v>
      </c>
    </row>
    <row r="29" spans="1:1">
      <c r="A29" t="s">
        <v>3673</v>
      </c>
    </row>
    <row r="30" spans="1:1">
      <c r="A30" t="s">
        <v>3247</v>
      </c>
    </row>
    <row r="31" ht="17.25" spans="1:1">
      <c r="A31" s="22" t="s">
        <v>3674</v>
      </c>
    </row>
    <row r="32" spans="1:1">
      <c r="A32" t="s">
        <v>3675</v>
      </c>
    </row>
    <row r="34" spans="1:1">
      <c r="A34" t="s">
        <v>3676</v>
      </c>
    </row>
    <row r="36" spans="1:1">
      <c r="A36" t="s">
        <v>3677</v>
      </c>
    </row>
    <row r="37" spans="1:1">
      <c r="A37" t="s">
        <v>3678</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K17" sqref="K17"/>
    </sheetView>
  </sheetViews>
  <sheetFormatPr defaultColWidth="9" defaultRowHeight="13.5" outlineLevelRow="7" outlineLevelCol="5"/>
  <cols>
    <col min="1" max="1" width="5.125" customWidth="1"/>
    <col min="2" max="3" width="5.375" customWidth="1"/>
    <col min="4" max="5" width="8.875" customWidth="1"/>
    <col min="6" max="6" width="12.625" customWidth="1"/>
  </cols>
  <sheetData>
    <row r="1" s="21" customFormat="1" spans="1:6">
      <c r="A1" s="21" t="s">
        <v>3679</v>
      </c>
      <c r="B1" s="21" t="s">
        <v>3680</v>
      </c>
      <c r="C1" s="21" t="s">
        <v>3681</v>
      </c>
      <c r="D1" s="21" t="s">
        <v>3682</v>
      </c>
      <c r="E1" s="21" t="s">
        <v>3683</v>
      </c>
      <c r="F1" s="21" t="s">
        <v>3684</v>
      </c>
    </row>
    <row r="2" spans="1:6">
      <c r="A2" s="21">
        <v>1</v>
      </c>
      <c r="B2" s="21" t="s">
        <v>3685</v>
      </c>
      <c r="C2" s="21">
        <v>2</v>
      </c>
      <c r="D2" s="21">
        <v>22</v>
      </c>
      <c r="E2" s="21">
        <v>100</v>
      </c>
      <c r="F2" s="21">
        <f>D2/C2</f>
        <v>11</v>
      </c>
    </row>
    <row r="3" spans="1:6">
      <c r="A3" s="21">
        <v>2</v>
      </c>
      <c r="B3" s="21" t="s">
        <v>3686</v>
      </c>
      <c r="C3" s="21">
        <v>4978</v>
      </c>
      <c r="D3" s="21">
        <v>17600</v>
      </c>
      <c r="E3" s="21">
        <v>55000</v>
      </c>
      <c r="F3" s="21">
        <f t="shared" ref="F3:F8" si="0">D3/C3</f>
        <v>3.53555644837284</v>
      </c>
    </row>
    <row r="4" spans="1:6">
      <c r="A4" s="21">
        <v>3</v>
      </c>
      <c r="B4" s="21" t="s">
        <v>67</v>
      </c>
      <c r="C4" s="21">
        <v>5728</v>
      </c>
      <c r="D4" s="21">
        <v>17600</v>
      </c>
      <c r="E4" s="21">
        <v>55000</v>
      </c>
      <c r="F4" s="21">
        <f t="shared" si="0"/>
        <v>3.07262569832402</v>
      </c>
    </row>
    <row r="5" spans="1:6">
      <c r="A5" s="21">
        <v>4</v>
      </c>
      <c r="B5" s="21" t="s">
        <v>3687</v>
      </c>
      <c r="C5" s="21">
        <v>2</v>
      </c>
      <c r="D5" s="21">
        <v>15</v>
      </c>
      <c r="E5" s="21">
        <v>180</v>
      </c>
      <c r="F5" s="21">
        <f t="shared" si="0"/>
        <v>7.5</v>
      </c>
    </row>
    <row r="6" spans="1:6">
      <c r="A6" s="21">
        <v>5</v>
      </c>
      <c r="B6" s="21" t="s">
        <v>3688</v>
      </c>
      <c r="C6" s="21">
        <v>9207</v>
      </c>
      <c r="D6" s="21">
        <v>44000</v>
      </c>
      <c r="E6" s="21"/>
      <c r="F6" s="21">
        <f t="shared" si="0"/>
        <v>4.77897252090801</v>
      </c>
    </row>
    <row r="7" spans="1:6">
      <c r="A7" s="21">
        <v>6</v>
      </c>
      <c r="B7" s="21" t="s">
        <v>3689</v>
      </c>
      <c r="C7" s="21">
        <v>11</v>
      </c>
      <c r="D7" s="21">
        <v>55</v>
      </c>
      <c r="E7" s="21">
        <v>400</v>
      </c>
      <c r="F7" s="21">
        <f t="shared" si="0"/>
        <v>5</v>
      </c>
    </row>
    <row r="8" spans="1:6">
      <c r="A8" s="21">
        <v>7</v>
      </c>
      <c r="B8" s="21" t="s">
        <v>3690</v>
      </c>
      <c r="C8" s="21">
        <v>1</v>
      </c>
      <c r="D8" s="21">
        <v>22</v>
      </c>
      <c r="E8" s="21">
        <v>40</v>
      </c>
      <c r="F8" s="21">
        <f t="shared" si="0"/>
        <v>22</v>
      </c>
    </row>
  </sheetData>
  <autoFilter ref="A1:F8">
    <extLst/>
  </autoFilter>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1"/>
  <sheetViews>
    <sheetView workbookViewId="0">
      <selection activeCell="I1" sqref="I$1:I$1048576"/>
    </sheetView>
  </sheetViews>
  <sheetFormatPr defaultColWidth="9" defaultRowHeight="13.5"/>
  <cols>
    <col min="1" max="1" width="20.125" style="5" customWidth="1"/>
    <col min="2" max="2" width="14.25" style="6" customWidth="1"/>
    <col min="3" max="3" width="13.5" style="1" customWidth="1"/>
    <col min="4" max="4" width="22.875" style="6" customWidth="1"/>
    <col min="5" max="5" width="3.625" style="6" customWidth="1"/>
    <col min="6" max="6" width="22.875" customWidth="1"/>
    <col min="9" max="9" width="49.625" customWidth="1"/>
  </cols>
  <sheetData>
    <row r="1" spans="1:11">
      <c r="A1" s="5" t="s">
        <v>623</v>
      </c>
      <c r="B1" s="7" t="s">
        <v>624</v>
      </c>
      <c r="C1" s="8" t="s">
        <v>624</v>
      </c>
      <c r="D1" s="7" t="s">
        <v>3691</v>
      </c>
      <c r="E1" s="7">
        <v>1</v>
      </c>
      <c r="F1" t="s">
        <v>3692</v>
      </c>
      <c r="G1">
        <v>1</v>
      </c>
      <c r="H1">
        <v>1</v>
      </c>
      <c r="I1" t="s">
        <v>3693</v>
      </c>
      <c r="J1" t="s">
        <v>3694</v>
      </c>
      <c r="K1" t="s">
        <v>3695</v>
      </c>
    </row>
    <row r="2" ht="40.5" spans="1:11">
      <c r="A2" s="9" t="s">
        <v>912</v>
      </c>
      <c r="B2" t="s">
        <v>917</v>
      </c>
      <c r="C2" s="10" t="s">
        <v>913</v>
      </c>
      <c r="D2" s="5" t="str">
        <f>_xlfn.XLOOKUP(A2,全装!G:G,全装!I:I,"",0,1)</f>
        <v>AIF-#阿达的Cos服-15451</v>
      </c>
      <c r="E2" s="5" t="s">
        <v>3696</v>
      </c>
      <c r="F2" s="11" t="s">
        <v>3697</v>
      </c>
      <c r="G2" t="s">
        <v>3698</v>
      </c>
      <c r="I2" t="str">
        <f t="shared" ref="I2:I9" si="0">E2&amp;F2&amp;G2&amp;D2</f>
        <v>r:"(?i)^Adah's Cosplays$"=AIF-#阿达的Cos服-15451</v>
      </c>
      <c r="J2">
        <f>IF(F2=A2,1,0)</f>
        <v>0</v>
      </c>
      <c r="K2" t="str">
        <f>F2&amp;"="&amp;D2</f>
        <v>Adah's Cosplays=AIF-#阿达的Cos服-15451</v>
      </c>
    </row>
    <row r="3" ht="40.5" spans="1:11">
      <c r="A3" s="9" t="s">
        <v>920</v>
      </c>
      <c r="B3" t="s">
        <v>3699</v>
      </c>
      <c r="C3" s="10" t="s">
        <v>921</v>
      </c>
      <c r="D3" s="5" t="str">
        <f>_xlfn.XLOOKUP(A3,全装!G:G,全装!I:I,"",0,1)</f>
        <v>②.IUF-#阿德莱德的慰藉-11545</v>
      </c>
      <c r="E3" s="5" t="s">
        <v>3696</v>
      </c>
      <c r="F3" s="11" t="s">
        <v>3700</v>
      </c>
      <c r="G3" t="s">
        <v>3698</v>
      </c>
      <c r="I3" t="str">
        <f t="shared" si="0"/>
        <v>r:"(?i)^Adelaide's Comfort$"=②.IUF-#阿德莱德的慰藉-11545</v>
      </c>
      <c r="J3">
        <f t="shared" ref="J3:J66" si="1">IF(F3=A3,1,0)</f>
        <v>0</v>
      </c>
      <c r="K3" t="str">
        <f t="shared" ref="K3:K66" si="2">F3&amp;"="&amp;D3</f>
        <v>Adelaide's Comfort=②.IUF-#阿德莱德的慰藉-11545</v>
      </c>
    </row>
    <row r="4" ht="40.5" spans="1:11">
      <c r="A4" s="9" t="s">
        <v>1012</v>
      </c>
      <c r="B4" s="12" t="s">
        <v>1015</v>
      </c>
      <c r="C4" s="13" t="s">
        <v>1013</v>
      </c>
      <c r="D4" s="5" t="str">
        <f>_xlfn.XLOOKUP(A4,全装!G:G,全装!I:I,"",0,1)</f>
        <v>AI-空气胸罩-14433</v>
      </c>
      <c r="E4" s="5" t="s">
        <v>3696</v>
      </c>
      <c r="F4" s="11" t="s">
        <v>1012</v>
      </c>
      <c r="G4" t="s">
        <v>3698</v>
      </c>
      <c r="I4" t="str">
        <f t="shared" si="0"/>
        <v>r:"(?i)^Airy Bra$"=AI-空气胸罩-14433</v>
      </c>
      <c r="J4">
        <f t="shared" si="1"/>
        <v>1</v>
      </c>
      <c r="K4" t="str">
        <f t="shared" si="2"/>
        <v>Airy Bra=AI-空气胸罩-14433</v>
      </c>
    </row>
    <row r="5" ht="40.5" spans="1:11">
      <c r="A5" s="9" t="s">
        <v>1320</v>
      </c>
      <c r="B5" s="5" t="s">
        <v>1323</v>
      </c>
      <c r="C5" s="8" t="s">
        <v>1321</v>
      </c>
      <c r="D5" s="5" t="str">
        <f>_xlfn.XLOOKUP(A5,全装!G:G,全装!I:I,"",0,1)</f>
        <v>A-多情蝴蝶结-34332</v>
      </c>
      <c r="E5" s="5" t="s">
        <v>3696</v>
      </c>
      <c r="F5" s="11" t="s">
        <v>1320</v>
      </c>
      <c r="G5" t="s">
        <v>3698</v>
      </c>
      <c r="I5" t="str">
        <f t="shared" si="0"/>
        <v>r:"(?i)^Amorous Bow$"=A-多情蝴蝶结-34332</v>
      </c>
      <c r="J5">
        <f t="shared" si="1"/>
        <v>1</v>
      </c>
      <c r="K5" t="str">
        <f t="shared" si="2"/>
        <v>Amorous Bow=A-多情蝴蝶结-34332</v>
      </c>
    </row>
    <row r="6" ht="40.5" spans="1:11">
      <c r="A6" s="5" t="s">
        <v>927</v>
      </c>
      <c r="B6" s="5" t="s">
        <v>930</v>
      </c>
      <c r="C6" s="8" t="s">
        <v>928</v>
      </c>
      <c r="D6" s="5" t="str">
        <f>_xlfn.XLOOKUP(A6,全装!G:G,全装!I:I,"",0,1)</f>
        <v>I-安德莉亚的秘密-23433</v>
      </c>
      <c r="E6" s="5" t="s">
        <v>3696</v>
      </c>
      <c r="F6" s="11" t="s">
        <v>3701</v>
      </c>
      <c r="G6" t="s">
        <v>3698</v>
      </c>
      <c r="I6" t="str">
        <f t="shared" si="0"/>
        <v>r:"(?i)^Andrea's Secrets$"=I-安德莉亚的秘密-23433</v>
      </c>
      <c r="J6">
        <f t="shared" si="1"/>
        <v>0</v>
      </c>
      <c r="K6" t="str">
        <f t="shared" si="2"/>
        <v>Andrea's Secrets=I-安德莉亚的秘密-23433</v>
      </c>
    </row>
    <row r="7" ht="40.5" spans="1:11">
      <c r="A7" s="14" t="s">
        <v>1808</v>
      </c>
      <c r="B7" s="5" t="s">
        <v>1811</v>
      </c>
      <c r="C7" s="8" t="s">
        <v>1809</v>
      </c>
      <c r="D7" s="5" t="str">
        <f>_xlfn.XLOOKUP(A7,全装!G:G,全装!I:I,"",0,1)</f>
        <v>W-无袖衬衫-52233</v>
      </c>
      <c r="E7" s="5" t="s">
        <v>3696</v>
      </c>
      <c r="F7" s="11" t="s">
        <v>1808</v>
      </c>
      <c r="G7" t="s">
        <v>3698</v>
      </c>
      <c r="I7" t="str">
        <f t="shared" si="0"/>
        <v>r:"(?i)^Armless Shirt$"=W-无袖衬衫-52233</v>
      </c>
      <c r="J7">
        <f t="shared" si="1"/>
        <v>1</v>
      </c>
      <c r="K7" t="str">
        <f t="shared" si="2"/>
        <v>Armless Shirt=W-无袖衬衫-52233</v>
      </c>
    </row>
    <row r="8" ht="40.5" spans="1:11">
      <c r="A8" s="14" t="s">
        <v>643</v>
      </c>
      <c r="B8" s="5" t="s">
        <v>3702</v>
      </c>
      <c r="C8" s="8" t="s">
        <v>644</v>
      </c>
      <c r="D8" s="5" t="str">
        <f>_xlfn.XLOOKUP(A8,全装!G:G,全装!I:I,"",0,1)</f>
        <v>①.1_WFU-军用下装-51144</v>
      </c>
      <c r="E8" s="5" t="s">
        <v>3696</v>
      </c>
      <c r="F8" s="11" t="s">
        <v>643</v>
      </c>
      <c r="G8" t="s">
        <v>3698</v>
      </c>
      <c r="I8" t="str">
        <f t="shared" si="0"/>
        <v>r:"(?i)^Army Bottom$"=①.1_WFU-军用下装-51144</v>
      </c>
      <c r="J8">
        <f t="shared" si="1"/>
        <v>1</v>
      </c>
      <c r="K8" t="str">
        <f t="shared" si="2"/>
        <v>Army Bottom=①.1_WFU-军用下装-51144</v>
      </c>
    </row>
    <row r="9" ht="40.5" spans="1:11">
      <c r="A9" s="14" t="s">
        <v>651</v>
      </c>
      <c r="B9" s="5" t="s">
        <v>3703</v>
      </c>
      <c r="C9" s="8" t="s">
        <v>652</v>
      </c>
      <c r="D9" s="5" t="str">
        <f>_xlfn.XLOOKUP(A9,全装!G:G,全装!I:I,"",0,1)</f>
        <v>①.1_WFU-军用上衣-51144</v>
      </c>
      <c r="E9" s="5" t="s">
        <v>3696</v>
      </c>
      <c r="F9" s="11" t="s">
        <v>651</v>
      </c>
      <c r="G9" t="s">
        <v>3698</v>
      </c>
      <c r="I9" t="str">
        <f t="shared" si="0"/>
        <v>r:"(?i)^Army Top$"=①.1_WFU-军用上衣-51144</v>
      </c>
      <c r="J9">
        <f t="shared" si="1"/>
        <v>1</v>
      </c>
      <c r="K9" t="str">
        <f t="shared" si="2"/>
        <v>Army Top=①.1_WFU-军用上衣-51144</v>
      </c>
    </row>
    <row r="10" ht="40.5" spans="1:11">
      <c r="A10" s="9" t="s">
        <v>699</v>
      </c>
      <c r="B10" s="5" t="s">
        <v>3704</v>
      </c>
      <c r="C10" s="8" t="s">
        <v>700</v>
      </c>
      <c r="D10" s="5" t="str">
        <f>_xlfn.XLOOKUP(A10,全装!G:G,全装!I:I,"",0,1)</f>
        <v>③.3_AFU-艾希莉的上衣-14244</v>
      </c>
      <c r="E10" s="5" t="s">
        <v>3696</v>
      </c>
      <c r="F10" s="11" t="s">
        <v>3705</v>
      </c>
      <c r="G10" t="s">
        <v>3698</v>
      </c>
      <c r="I10" t="str">
        <f t="shared" ref="I10:I73" si="3">E10&amp;F10&amp;G10&amp;D10</f>
        <v>r:"(?i)^Ashley's Top$"=③.3_AFU-艾希莉的上衣-14244</v>
      </c>
      <c r="J10">
        <f t="shared" si="1"/>
        <v>0</v>
      </c>
      <c r="K10" t="str">
        <f t="shared" si="2"/>
        <v>Ashley's Top=③.3_AFU-艾希莉的上衣-14244</v>
      </c>
    </row>
    <row r="11" ht="40.5" spans="1:11">
      <c r="A11" s="9" t="s">
        <v>1419</v>
      </c>
      <c r="B11" s="5" t="s">
        <v>1422</v>
      </c>
      <c r="C11" s="8" t="s">
        <v>1420</v>
      </c>
      <c r="D11" s="5" t="str">
        <f>_xlfn.XLOOKUP(A11,全装!G:G,全装!I:I,"",0,1)</f>
        <v>FU-艾希莉的下装-13344</v>
      </c>
      <c r="E11" s="5" t="s">
        <v>3696</v>
      </c>
      <c r="F11" s="11" t="s">
        <v>1419</v>
      </c>
      <c r="G11" t="s">
        <v>3698</v>
      </c>
      <c r="I11" t="str">
        <f t="shared" si="3"/>
        <v>r:"(?i)^Ashley's Bottom$"=FU-艾希莉的下装-13344</v>
      </c>
      <c r="J11">
        <f t="shared" si="1"/>
        <v>1</v>
      </c>
      <c r="K11" t="str">
        <f t="shared" si="2"/>
        <v>Ashley's Bottom=FU-艾希莉的下装-13344</v>
      </c>
    </row>
    <row r="12" ht="40.5" spans="1:11">
      <c r="A12" s="9" t="s">
        <v>1290</v>
      </c>
      <c r="B12" s="12" t="s">
        <v>1293</v>
      </c>
      <c r="C12" s="13" t="s">
        <v>1291</v>
      </c>
      <c r="D12" s="5" t="str">
        <f>_xlfn.XLOOKUP(A12,全装!G:G,全装!I:I,"",0,1)</f>
        <v>AF-刺客的短匕-15342</v>
      </c>
      <c r="E12" s="5" t="s">
        <v>3696</v>
      </c>
      <c r="F12" s="11" t="s">
        <v>3706</v>
      </c>
      <c r="G12" t="s">
        <v>3698</v>
      </c>
      <c r="I12" t="str">
        <f t="shared" si="3"/>
        <v>r:"(?i)^Assasin's Dagger$"=AF-刺客的短匕-15342</v>
      </c>
      <c r="J12">
        <f t="shared" si="1"/>
        <v>0</v>
      </c>
      <c r="K12" t="str">
        <f t="shared" si="2"/>
        <v>Assasin's Dagger=AF-刺客的短匕-15342</v>
      </c>
    </row>
    <row r="13" ht="40.5" spans="1:11">
      <c r="A13" s="9" t="s">
        <v>932</v>
      </c>
      <c r="B13" s="5" t="s">
        <v>935</v>
      </c>
      <c r="C13" s="8" t="s">
        <v>933</v>
      </c>
      <c r="D13" s="5" t="str">
        <f>_xlfn.XLOOKUP(A13,全装!G:G,全装!I:I,"",0,1)</f>
        <v>UF-秋日套装-11345</v>
      </c>
      <c r="E13" s="5" t="s">
        <v>3696</v>
      </c>
      <c r="F13" s="11" t="s">
        <v>932</v>
      </c>
      <c r="G13" t="s">
        <v>3698</v>
      </c>
      <c r="I13" t="str">
        <f t="shared" si="3"/>
        <v>r:"(?i)^Autumn Set$"=UF-秋日套装-11345</v>
      </c>
      <c r="J13">
        <f t="shared" si="1"/>
        <v>1</v>
      </c>
      <c r="K13" t="str">
        <f t="shared" si="2"/>
        <v>Autumn Set=UF-秋日套装-11345</v>
      </c>
    </row>
    <row r="14" ht="40.5" spans="1:11">
      <c r="A14" s="9" t="s">
        <v>955</v>
      </c>
      <c r="B14" s="5" t="s">
        <v>958</v>
      </c>
      <c r="C14" s="8" t="s">
        <v>956</v>
      </c>
      <c r="D14" s="5" t="str">
        <f>_xlfn.XLOOKUP(A14,全装!G:G,全装!I:I,"",0,1)</f>
        <v>UF-班卡的泡沫-23145</v>
      </c>
      <c r="E14" s="5" t="s">
        <v>3696</v>
      </c>
      <c r="F14" s="11" t="s">
        <v>3707</v>
      </c>
      <c r="G14" t="s">
        <v>3698</v>
      </c>
      <c r="I14" t="str">
        <f t="shared" si="3"/>
        <v>r:"(?i)^Bańka's Bubbles$"=UF-班卡的泡沫-23145</v>
      </c>
      <c r="J14">
        <f t="shared" si="1"/>
        <v>0</v>
      </c>
      <c r="K14" t="str">
        <f t="shared" si="2"/>
        <v>Bańka's Bubbles=UF-班卡的泡沫-23145</v>
      </c>
    </row>
    <row r="15" ht="40.5" spans="1:11">
      <c r="A15" s="9" t="s">
        <v>779</v>
      </c>
      <c r="B15" s="12" t="s">
        <v>3708</v>
      </c>
      <c r="C15" s="13" t="s">
        <v>780</v>
      </c>
      <c r="D15" s="5" t="str">
        <f>_xlfn.XLOOKUP(A15,全装!G:G,全装!I:I,"",0,1)</f>
        <v>①.7_AF-野蛮人短裙-15153</v>
      </c>
      <c r="E15" s="5" t="s">
        <v>3696</v>
      </c>
      <c r="F15" s="11" t="s">
        <v>779</v>
      </c>
      <c r="G15" t="s">
        <v>3698</v>
      </c>
      <c r="I15" t="str">
        <f t="shared" si="3"/>
        <v>r:"(?i)^Barbarian Skirt$"=①.7_AF-野蛮人短裙-15153</v>
      </c>
      <c r="J15">
        <f t="shared" si="1"/>
        <v>1</v>
      </c>
      <c r="K15" t="str">
        <f t="shared" si="2"/>
        <v>Barbarian Skirt=①.7_AF-野蛮人短裙-15153</v>
      </c>
    </row>
    <row r="16" ht="40.5" spans="1:11">
      <c r="A16" s="9" t="s">
        <v>786</v>
      </c>
      <c r="B16" s="12" t="s">
        <v>3709</v>
      </c>
      <c r="C16" s="13" t="s">
        <v>787</v>
      </c>
      <c r="D16" s="5" t="str">
        <f>_xlfn.XLOOKUP(A16,全装!G:G,全装!I:I,"",0,1)</f>
        <v>①.7_AF-野蛮人上衣-15153</v>
      </c>
      <c r="E16" s="5" t="s">
        <v>3696</v>
      </c>
      <c r="F16" s="11" t="s">
        <v>786</v>
      </c>
      <c r="G16" t="s">
        <v>3698</v>
      </c>
      <c r="I16" t="str">
        <f t="shared" si="3"/>
        <v>r:"(?i)^Barbarian Top$"=①.7_AF-野蛮人上衣-15153</v>
      </c>
      <c r="J16">
        <f t="shared" si="1"/>
        <v>1</v>
      </c>
      <c r="K16" t="str">
        <f t="shared" si="2"/>
        <v>Barbarian Top=①.7_AF-野蛮人上衣-15153</v>
      </c>
    </row>
    <row r="17" ht="40.5" spans="1:11">
      <c r="A17" s="9" t="s">
        <v>825</v>
      </c>
      <c r="B17" s="5" t="s">
        <v>829</v>
      </c>
      <c r="C17" s="8" t="s">
        <v>826</v>
      </c>
      <c r="D17" s="5" t="str">
        <f>_xlfn.XLOOKUP(A17,全装!G:G,全装!I:I,"",0,1)</f>
        <v>11_FU-棒球明星（下装）-13254</v>
      </c>
      <c r="E17" s="5" t="s">
        <v>3696</v>
      </c>
      <c r="F17" s="15" t="s">
        <v>825</v>
      </c>
      <c r="G17" t="s">
        <v>3698</v>
      </c>
      <c r="I17" t="str">
        <f t="shared" si="3"/>
        <v>r:"(?i)^Baseball Star (bottom)$"=11_FU-棒球明星（下装）-13254</v>
      </c>
      <c r="J17">
        <f t="shared" si="1"/>
        <v>1</v>
      </c>
      <c r="K17" t="str">
        <f t="shared" si="2"/>
        <v>Baseball Star (bottom)=11_FU-棒球明星（下装）-13254</v>
      </c>
    </row>
    <row r="18" ht="40.5" spans="1:11">
      <c r="A18" s="9" t="s">
        <v>831</v>
      </c>
      <c r="B18" s="5" t="s">
        <v>836</v>
      </c>
      <c r="C18" s="8" t="s">
        <v>832</v>
      </c>
      <c r="D18" s="5" t="str">
        <f>_xlfn.XLOOKUP(A18,全装!G:G,全装!I:I,"",0,1)</f>
        <v>11_FU-棒球明星(散件)-13254</v>
      </c>
      <c r="E18" s="5" t="s">
        <v>3696</v>
      </c>
      <c r="F18" s="15" t="s">
        <v>3710</v>
      </c>
      <c r="G18" t="s">
        <v>3698</v>
      </c>
      <c r="I18" t="str">
        <f t="shared" si="3"/>
        <v>r:"(?i)^Baseball Star$"=11_FU-棒球明星(散件)-13254</v>
      </c>
      <c r="J18">
        <f t="shared" si="1"/>
        <v>0</v>
      </c>
      <c r="K18" t="str">
        <f t="shared" si="2"/>
        <v>Baseball Star=11_FU-棒球明星(散件)-13254</v>
      </c>
    </row>
    <row r="19" ht="40.5" spans="1:11">
      <c r="A19" s="9" t="s">
        <v>937</v>
      </c>
      <c r="B19" s="5" t="s">
        <v>941</v>
      </c>
      <c r="C19" s="8" t="s">
        <v>938</v>
      </c>
      <c r="D19" s="5" t="str">
        <f>_xlfn.XLOOKUP(A19,全装!G:G,全装!I:I,"",0,1)</f>
        <v>IF-甲虫胸针-13443</v>
      </c>
      <c r="E19" s="5" t="s">
        <v>3696</v>
      </c>
      <c r="F19" s="11" t="s">
        <v>937</v>
      </c>
      <c r="G19" t="s">
        <v>3698</v>
      </c>
      <c r="I19" t="str">
        <f t="shared" si="3"/>
        <v>r:"(?i)^Beetle Brooch$"=IF-甲虫胸针-13443</v>
      </c>
      <c r="J19">
        <f t="shared" si="1"/>
        <v>1</v>
      </c>
      <c r="K19" t="str">
        <f t="shared" si="2"/>
        <v>Beetle Brooch=IF-甲虫胸针-13443</v>
      </c>
    </row>
    <row r="20" ht="40.5" spans="1:11">
      <c r="A20" s="9" t="s">
        <v>943</v>
      </c>
      <c r="B20" s="5" t="s">
        <v>946</v>
      </c>
      <c r="C20" s="8" t="s">
        <v>944</v>
      </c>
      <c r="D20" s="5" t="str">
        <f>_xlfn.XLOOKUP(A20,全装!G:G,全装!I:I,"",0,1)</f>
        <v>IF-生日小蛋糕-11553</v>
      </c>
      <c r="E20" s="5" t="s">
        <v>3696</v>
      </c>
      <c r="F20" s="11" t="s">
        <v>943</v>
      </c>
      <c r="G20" t="s">
        <v>3698</v>
      </c>
      <c r="I20" t="str">
        <f t="shared" si="3"/>
        <v>r:"(?i)^Birthday Cupcakes$"=IF-生日小蛋糕-11553</v>
      </c>
      <c r="J20">
        <f t="shared" si="1"/>
        <v>1</v>
      </c>
      <c r="K20" t="str">
        <f t="shared" si="2"/>
        <v>Birthday Cupcakes=IF-生日小蛋糕-11553</v>
      </c>
    </row>
    <row r="21" ht="40.5" spans="1:11">
      <c r="A21" s="9" t="s">
        <v>716</v>
      </c>
      <c r="B21" s="5" t="s">
        <v>3711</v>
      </c>
      <c r="C21" s="8" t="s">
        <v>717</v>
      </c>
      <c r="D21" s="5" t="str">
        <f>_xlfn.XLOOKUP(A21,全装!G:G,全装!I:I,"",0,1)</f>
        <v>②.4_IFU-黑红胸罩-21444</v>
      </c>
      <c r="E21" s="5" t="s">
        <v>3696</v>
      </c>
      <c r="F21" s="11" t="s">
        <v>3712</v>
      </c>
      <c r="G21" t="s">
        <v>3698</v>
      </c>
      <c r="I21" t="str">
        <f t="shared" si="3"/>
        <v>r:"(?i)^Black-Red Bra$"=②.4_IFU-黑红胸罩-21444</v>
      </c>
      <c r="J21">
        <f t="shared" si="1"/>
        <v>1</v>
      </c>
      <c r="K21" t="str">
        <f t="shared" si="2"/>
        <v>Black-Red Bra=②.4_IFU-黑红胸罩-21444</v>
      </c>
    </row>
    <row r="22" ht="40.5" spans="1:11">
      <c r="A22" s="16" t="s">
        <v>1590</v>
      </c>
      <c r="B22" s="5" t="s">
        <v>1593</v>
      </c>
      <c r="C22" s="8" t="s">
        <v>1591</v>
      </c>
      <c r="D22" s="5" t="str">
        <f>_xlfn.XLOOKUP(A22,全装!G:G,全装!I:I,"",0,1)</f>
        <v>W-爆能枪-43332</v>
      </c>
      <c r="E22" s="5" t="s">
        <v>3696</v>
      </c>
      <c r="F22" s="11" t="s">
        <v>1590</v>
      </c>
      <c r="G22" t="s">
        <v>3698</v>
      </c>
      <c r="I22" t="str">
        <f t="shared" si="3"/>
        <v>r:"(?i)^Blaster$"=W-爆能枪-43332</v>
      </c>
      <c r="J22">
        <f t="shared" si="1"/>
        <v>1</v>
      </c>
      <c r="K22" t="str">
        <f t="shared" si="2"/>
        <v>Blaster=W-爆能枪-43332</v>
      </c>
    </row>
    <row r="23" ht="40.5" spans="1:11">
      <c r="A23" s="9" t="s">
        <v>1366</v>
      </c>
      <c r="B23" s="5" t="s">
        <v>1369</v>
      </c>
      <c r="C23" s="8" t="s">
        <v>1367</v>
      </c>
      <c r="D23" s="5" t="str">
        <f>_xlfn.XLOOKUP(A23,全装!G:G,全装!I:I,"",0,1)</f>
        <v>FU-爆破锤-13344</v>
      </c>
      <c r="E23" s="5" t="s">
        <v>3696</v>
      </c>
      <c r="F23" s="11" t="s">
        <v>1366</v>
      </c>
      <c r="G23" t="s">
        <v>3698</v>
      </c>
      <c r="I23" t="str">
        <f t="shared" si="3"/>
        <v>r:"(?i)^Boomhammer$"=FU-爆破锤-13344</v>
      </c>
      <c r="J23">
        <f t="shared" si="1"/>
        <v>1</v>
      </c>
      <c r="K23" t="str">
        <f t="shared" si="2"/>
        <v>Boomhammer=FU-爆破锤-13344</v>
      </c>
    </row>
    <row r="24" ht="40.5" spans="1:11">
      <c r="A24" s="16" t="s">
        <v>1614</v>
      </c>
      <c r="B24" s="5" t="s">
        <v>1617</v>
      </c>
      <c r="C24" s="8" t="s">
        <v>1615</v>
      </c>
      <c r="D24" s="5" t="str">
        <f>_xlfn.XLOOKUP(A24,全装!G:G,全装!I:I,"",0,1)</f>
        <v>W-束缚长裤-42333</v>
      </c>
      <c r="E24" s="5" t="s">
        <v>3696</v>
      </c>
      <c r="F24" s="11" t="s">
        <v>1614</v>
      </c>
      <c r="G24" t="s">
        <v>3698</v>
      </c>
      <c r="I24" t="str">
        <f t="shared" si="3"/>
        <v>r:"(?i)^Bound Pants$"=W-束缚长裤-42333</v>
      </c>
      <c r="J24">
        <f t="shared" si="1"/>
        <v>1</v>
      </c>
      <c r="K24" t="str">
        <f t="shared" si="2"/>
        <v>Bound Pants=W-束缚长裤-42333</v>
      </c>
    </row>
    <row r="25" ht="40.5" spans="1:11">
      <c r="A25" s="9" t="s">
        <v>960</v>
      </c>
      <c r="B25" s="5" t="s">
        <v>963</v>
      </c>
      <c r="C25" s="8" t="s">
        <v>961</v>
      </c>
      <c r="D25" s="5" t="str">
        <f>_xlfn.XLOOKUP(A25,全装!G:G,全装!I:I,"",0,1)</f>
        <v>AF-烙印钥匙链-34143</v>
      </c>
      <c r="E25" s="5" t="s">
        <v>3696</v>
      </c>
      <c r="F25" s="11" t="s">
        <v>960</v>
      </c>
      <c r="G25" t="s">
        <v>3698</v>
      </c>
      <c r="I25" t="str">
        <f t="shared" si="3"/>
        <v>r:"(?i)^Branded Key Chain$"=AF-烙印钥匙链-34143</v>
      </c>
      <c r="J25">
        <f t="shared" si="1"/>
        <v>1</v>
      </c>
      <c r="K25" t="str">
        <f t="shared" si="2"/>
        <v>Branded Key Chain=AF-烙印钥匙链-34143</v>
      </c>
    </row>
    <row r="26" ht="40.5" spans="1:11">
      <c r="A26" s="14" t="s">
        <v>984</v>
      </c>
      <c r="B26" s="5" t="s">
        <v>987</v>
      </c>
      <c r="C26" s="8" t="s">
        <v>985</v>
      </c>
      <c r="D26" s="5" t="str">
        <f>_xlfn.XLOOKUP(A26,全装!G:G,全装!I:I,"",0,1)</f>
        <v>WI-胸针-41433</v>
      </c>
      <c r="E26" s="5" t="s">
        <v>3696</v>
      </c>
      <c r="F26" s="11" t="s">
        <v>984</v>
      </c>
      <c r="G26" t="s">
        <v>3698</v>
      </c>
      <c r="I26" t="str">
        <f t="shared" si="3"/>
        <v>r:"(?i)^Brooch$"=WI-胸针-41433</v>
      </c>
      <c r="J26">
        <f t="shared" si="1"/>
        <v>1</v>
      </c>
      <c r="K26" t="str">
        <f t="shared" si="2"/>
        <v>Brooch=WI-胸针-41433</v>
      </c>
    </row>
    <row r="27" ht="40.5" spans="1:11">
      <c r="A27" s="9" t="s">
        <v>1104</v>
      </c>
      <c r="B27" s="5" t="s">
        <v>3713</v>
      </c>
      <c r="C27" s="8" t="s">
        <v>1105</v>
      </c>
      <c r="D27" s="5" t="str">
        <f>_xlfn.XLOOKUP(A27,全装!G:G,全装!I:I,"",0,1)</f>
        <v>IU-商务下装-31434</v>
      </c>
      <c r="E27" s="5" t="s">
        <v>3696</v>
      </c>
      <c r="F27" s="11" t="s">
        <v>1104</v>
      </c>
      <c r="G27" t="s">
        <v>3698</v>
      </c>
      <c r="I27" t="str">
        <f t="shared" si="3"/>
        <v>r:"(?i)^Business Ass$"=IU-商务下装-31434</v>
      </c>
      <c r="J27">
        <f t="shared" si="1"/>
        <v>1</v>
      </c>
      <c r="K27" t="str">
        <f t="shared" si="2"/>
        <v>Business Ass=IU-商务下装-31434</v>
      </c>
    </row>
    <row r="28" ht="40.5" spans="1:11">
      <c r="A28" s="9" t="s">
        <v>1109</v>
      </c>
      <c r="B28" s="5" t="s">
        <v>3714</v>
      </c>
      <c r="C28" s="8" t="s">
        <v>1110</v>
      </c>
      <c r="D28" s="5" t="str">
        <f>_xlfn.XLOOKUP(A28,全装!G:G,全装!I:I,"",0,1)</f>
        <v>IU-商务上衣-31434</v>
      </c>
      <c r="E28" s="5" t="s">
        <v>3696</v>
      </c>
      <c r="F28" s="11" t="s">
        <v>1109</v>
      </c>
      <c r="G28" t="s">
        <v>3698</v>
      </c>
      <c r="I28" t="str">
        <f t="shared" si="3"/>
        <v>r:"(?i)^Business Top$"=IU-商务上衣-31434</v>
      </c>
      <c r="J28">
        <f t="shared" si="1"/>
        <v>1</v>
      </c>
      <c r="K28" t="str">
        <f t="shared" si="2"/>
        <v>Business Top=IU-商务上衣-31434</v>
      </c>
    </row>
    <row r="29" ht="40.5" spans="1:11">
      <c r="A29" s="5" t="s">
        <v>1692</v>
      </c>
      <c r="B29" s="5" t="s">
        <v>1695</v>
      </c>
      <c r="C29" s="8" t="s">
        <v>1693</v>
      </c>
      <c r="D29" s="5" t="str">
        <f>_xlfn.XLOOKUP(A29,全装!G:G,全装!I:I,"",0,1)</f>
        <v>AFU-屠夫的斩肉刀-14244</v>
      </c>
      <c r="E29" s="5" t="s">
        <v>3696</v>
      </c>
      <c r="F29" s="11" t="s">
        <v>1948</v>
      </c>
      <c r="G29" t="s">
        <v>3698</v>
      </c>
      <c r="I29" t="str">
        <f t="shared" si="3"/>
        <v>r:"(?i)^Butcher's Chopper$"=AFU-屠夫的斩肉刀-14244</v>
      </c>
      <c r="J29">
        <f t="shared" si="1"/>
        <v>0</v>
      </c>
      <c r="K29" t="str">
        <f t="shared" si="2"/>
        <v>Butcher's Chopper=AFU-屠夫的斩肉刀-14244</v>
      </c>
    </row>
    <row r="30" ht="40.5" spans="1:11">
      <c r="A30" s="5" t="s">
        <v>965</v>
      </c>
      <c r="B30" s="5" t="s">
        <v>966</v>
      </c>
      <c r="C30" s="8" t="s">
        <v>966</v>
      </c>
      <c r="D30" s="5" t="str">
        <f>_xlfn.XLOOKUP(A30,全装!G:G,全装!I:I,"",0,1)</f>
        <v>休闲连衣裙-33333</v>
      </c>
      <c r="E30" s="5" t="s">
        <v>3696</v>
      </c>
      <c r="F30" s="11" t="s">
        <v>965</v>
      </c>
      <c r="G30" t="s">
        <v>3698</v>
      </c>
      <c r="I30" t="str">
        <f t="shared" si="3"/>
        <v>r:"(?i)^Casual Dress$"=休闲连衣裙-33333</v>
      </c>
      <c r="J30">
        <f t="shared" si="1"/>
        <v>1</v>
      </c>
      <c r="K30" t="str">
        <f t="shared" si="2"/>
        <v>Casual Dress=休闲连衣裙-33333</v>
      </c>
    </row>
    <row r="31" ht="40.5" spans="1:11">
      <c r="A31" s="9" t="s">
        <v>968</v>
      </c>
      <c r="B31" s="5" t="s">
        <v>3715</v>
      </c>
      <c r="C31" s="8" t="s">
        <v>969</v>
      </c>
      <c r="D31" s="5" t="str">
        <f>_xlfn.XLOOKUP(A31,全装!G:G,全装!I:I,"",0,1)</f>
        <v>④.IFU-休闲套装-21444</v>
      </c>
      <c r="E31" s="5" t="s">
        <v>3696</v>
      </c>
      <c r="F31" s="11" t="s">
        <v>968</v>
      </c>
      <c r="G31" t="s">
        <v>3698</v>
      </c>
      <c r="I31" t="str">
        <f t="shared" si="3"/>
        <v>r:"(?i)^Casual Suit$"=④.IFU-休闲套装-21444</v>
      </c>
      <c r="J31">
        <f t="shared" si="1"/>
        <v>1</v>
      </c>
      <c r="K31" t="str">
        <f t="shared" si="2"/>
        <v>Casual Suit=④.IFU-休闲套装-21444</v>
      </c>
    </row>
    <row r="32" ht="40.5" spans="1:11">
      <c r="A32" s="9" t="s">
        <v>1002</v>
      </c>
      <c r="B32" s="5" t="s">
        <v>1005</v>
      </c>
      <c r="C32" s="8" t="s">
        <v>1003</v>
      </c>
      <c r="D32" s="5" t="str">
        <f>_xlfn.XLOOKUP(A32,全装!G:G,全装!I:I,"",0,1)</f>
        <v>AF-猫耳发饰-14343</v>
      </c>
      <c r="E32" s="5" t="s">
        <v>3696</v>
      </c>
      <c r="F32" s="11" t="s">
        <v>1002</v>
      </c>
      <c r="G32" t="s">
        <v>3698</v>
      </c>
      <c r="I32" t="str">
        <f t="shared" si="3"/>
        <v>r:"(?i)^Cat Ears$"=AF-猫耳发饰-14343</v>
      </c>
      <c r="J32">
        <f t="shared" si="1"/>
        <v>1</v>
      </c>
      <c r="K32" t="str">
        <f t="shared" si="2"/>
        <v>Cat Ears=AF-猫耳发饰-14343</v>
      </c>
    </row>
    <row r="33" ht="40.5" spans="1:11">
      <c r="A33" s="17" t="s">
        <v>975</v>
      </c>
      <c r="B33" s="11" t="s">
        <v>977</v>
      </c>
      <c r="C33" s="10" t="s">
        <v>976</v>
      </c>
      <c r="D33" s="5" t="str">
        <f>_xlfn.XLOOKUP(A33,全装!G:G,全装!I:I,"",0,1)</f>
        <v>凯瑟琳的绷带装(X)-00000</v>
      </c>
      <c r="E33" s="5" t="s">
        <v>3696</v>
      </c>
      <c r="F33" s="11" t="s">
        <v>975</v>
      </c>
      <c r="G33" t="s">
        <v>3698</v>
      </c>
      <c r="I33" t="str">
        <f t="shared" si="3"/>
        <v>r:"(?i)^Catherine's Bandages$"=凯瑟琳的绷带装(X)-00000</v>
      </c>
      <c r="J33">
        <f t="shared" si="1"/>
        <v>1</v>
      </c>
      <c r="K33" t="str">
        <f t="shared" si="2"/>
        <v>Catherine's Bandages=凯瑟琳的绷带装(X)-00000</v>
      </c>
    </row>
    <row r="34" ht="40.5" spans="1:11">
      <c r="A34" s="17" t="s">
        <v>979</v>
      </c>
      <c r="B34" s="11" t="s">
        <v>981</v>
      </c>
      <c r="C34" s="10" t="s">
        <v>980</v>
      </c>
      <c r="D34" s="5" t="str">
        <f>_xlfn.XLOOKUP(A34,全装!G:G,全装!I:I,"",0,1)</f>
        <v>CB-69的护甲(X)-00000</v>
      </c>
      <c r="E34" s="5" t="s">
        <v>3696</v>
      </c>
      <c r="F34" s="11" t="s">
        <v>979</v>
      </c>
      <c r="G34" t="s">
        <v>3698</v>
      </c>
      <c r="I34" t="str">
        <f t="shared" si="3"/>
        <v>r:"(?i)^CB-69's Armour$"=CB-69的护甲(X)-00000</v>
      </c>
      <c r="J34">
        <f t="shared" si="1"/>
        <v>1</v>
      </c>
      <c r="K34" t="str">
        <f t="shared" si="2"/>
        <v>CB-69's Armour=CB-69的护甲(X)-00000</v>
      </c>
    </row>
    <row r="35" ht="40.5" spans="1:11">
      <c r="A35" s="9" t="s">
        <v>989</v>
      </c>
      <c r="B35" s="12" t="s">
        <v>3716</v>
      </c>
      <c r="C35" s="13" t="s">
        <v>990</v>
      </c>
      <c r="D35" s="5" t="str">
        <f>_xlfn.XLOOKUP(A35,全装!G:G,全装!I:I,"",0,1)</f>
        <v>②.AF-切尔西的连体紧身衣-15243</v>
      </c>
      <c r="E35" s="5" t="s">
        <v>3696</v>
      </c>
      <c r="F35" s="11" t="s">
        <v>3717</v>
      </c>
      <c r="G35" t="s">
        <v>3698</v>
      </c>
      <c r="I35" t="str">
        <f t="shared" si="3"/>
        <v>r:"(?i)^Chelsea's Bodysuit$"=②.AF-切尔西的连体紧身衣-15243</v>
      </c>
      <c r="J35">
        <f t="shared" si="1"/>
        <v>0</v>
      </c>
      <c r="K35" t="str">
        <f t="shared" si="2"/>
        <v>Chelsea's Bodysuit=②.AF-切尔西的连体紧身衣-15243</v>
      </c>
    </row>
    <row r="36" ht="40.5" spans="1:11">
      <c r="A36" s="9" t="s">
        <v>794</v>
      </c>
      <c r="B36" s="12" t="s">
        <v>3718</v>
      </c>
      <c r="C36" s="13" t="s">
        <v>795</v>
      </c>
      <c r="D36" s="5" t="str">
        <f>_xlfn.XLOOKUP(A36,全装!G:G,全装!I:I,"",0,1)</f>
        <v>②.8_AF-切尔西的恩惠-15243</v>
      </c>
      <c r="E36" s="5" t="s">
        <v>3696</v>
      </c>
      <c r="F36" s="11" t="s">
        <v>3719</v>
      </c>
      <c r="G36" t="s">
        <v>3698</v>
      </c>
      <c r="I36" t="str">
        <f t="shared" si="3"/>
        <v>r:"(?i)^Chelsea's Favour$"=②.8_AF-切尔西的恩惠-15243</v>
      </c>
      <c r="J36">
        <f t="shared" si="1"/>
        <v>0</v>
      </c>
      <c r="K36" t="str">
        <f t="shared" si="2"/>
        <v>Chelsea's Favour=②.8_AF-切尔西的恩惠-15243</v>
      </c>
    </row>
    <row r="37" ht="40.5" spans="1:11">
      <c r="A37" s="9" t="s">
        <v>802</v>
      </c>
      <c r="B37" s="12" t="s">
        <v>3720</v>
      </c>
      <c r="C37" s="13" t="s">
        <v>803</v>
      </c>
      <c r="D37" s="5" t="str">
        <f>_xlfn.XLOOKUP(A37,全装!G:G,全装!I:I,"",0,1)</f>
        <v>②.8_AF-切尔西的赐福-15243</v>
      </c>
      <c r="E37" s="5" t="s">
        <v>3696</v>
      </c>
      <c r="F37" s="11" t="s">
        <v>802</v>
      </c>
      <c r="G37" t="s">
        <v>3698</v>
      </c>
      <c r="I37" t="str">
        <f t="shared" si="3"/>
        <v>r:"(?i)^Chelsea's Blessing$"=②.8_AF-切尔西的赐福-15243</v>
      </c>
      <c r="J37">
        <f t="shared" si="1"/>
        <v>1</v>
      </c>
      <c r="K37" t="str">
        <f t="shared" si="2"/>
        <v>Chelsea's Blessing=②.8_AF-切尔西的赐福-15243</v>
      </c>
    </row>
    <row r="38" ht="40.5" spans="1:11">
      <c r="A38" s="14" t="s">
        <v>995</v>
      </c>
      <c r="B38" s="5" t="s">
        <v>3721</v>
      </c>
      <c r="C38" s="8" t="s">
        <v>996</v>
      </c>
      <c r="D38" s="5" t="str">
        <f>_xlfn.XLOOKUP(A38,全装!G:G,全装!I:I,"",0,1)</f>
        <v>③.WUF-骑士精神-41145</v>
      </c>
      <c r="E38" s="5" t="s">
        <v>3696</v>
      </c>
      <c r="F38" s="11" t="s">
        <v>995</v>
      </c>
      <c r="G38" t="s">
        <v>3698</v>
      </c>
      <c r="I38" t="str">
        <f t="shared" si="3"/>
        <v>r:"(?i)^Chivalry$"=③.WUF-骑士精神-41145</v>
      </c>
      <c r="J38">
        <f t="shared" si="1"/>
        <v>1</v>
      </c>
      <c r="K38" t="str">
        <f t="shared" si="2"/>
        <v>Chivalry=③.WUF-骑士精神-41145</v>
      </c>
    </row>
    <row r="39" ht="40.5" spans="1:11">
      <c r="A39" s="9" t="s">
        <v>1007</v>
      </c>
      <c r="B39" s="5" t="s">
        <v>1010</v>
      </c>
      <c r="C39" s="8" t="s">
        <v>1008</v>
      </c>
      <c r="D39" s="5" t="str">
        <f>_xlfn.XLOOKUP(A39,全装!G:G,全装!I:I,"",0,1)</f>
        <v>FU-巧克力棒-13344</v>
      </c>
      <c r="E39" s="5" t="s">
        <v>3696</v>
      </c>
      <c r="F39" s="11" t="s">
        <v>1007</v>
      </c>
      <c r="G39" t="s">
        <v>3698</v>
      </c>
      <c r="I39" t="str">
        <f t="shared" si="3"/>
        <v>r:"(?i)^Chocolate Bar$"=FU-巧克力棒-13344</v>
      </c>
      <c r="J39">
        <f t="shared" si="1"/>
        <v>1</v>
      </c>
      <c r="K39" t="str">
        <f t="shared" si="2"/>
        <v>Chocolate Bar=FU-巧克力棒-13344</v>
      </c>
    </row>
    <row r="40" ht="40.5" spans="1:11">
      <c r="A40" s="5" t="s">
        <v>1722</v>
      </c>
      <c r="B40" s="5" t="s">
        <v>1725</v>
      </c>
      <c r="C40" s="8" t="s">
        <v>1723</v>
      </c>
      <c r="D40" s="5" t="str">
        <f>_xlfn.XLOOKUP(A40,全装!G:G,全装!I:I,"",0,1)</f>
        <v>AF-斩肉刀-24243</v>
      </c>
      <c r="E40" s="5" t="s">
        <v>3696</v>
      </c>
      <c r="F40" s="11" t="s">
        <v>1722</v>
      </c>
      <c r="G40" t="s">
        <v>3698</v>
      </c>
      <c r="I40" t="str">
        <f t="shared" si="3"/>
        <v>r:"(?i)^Chopper$"=AF-斩肉刀-24243</v>
      </c>
      <c r="J40">
        <f t="shared" si="1"/>
        <v>1</v>
      </c>
      <c r="K40" t="str">
        <f t="shared" si="2"/>
        <v>Chopper=AF-斩肉刀-24243</v>
      </c>
    </row>
    <row r="41" ht="40.5" spans="1:11">
      <c r="A41" s="16" t="s">
        <v>1597</v>
      </c>
      <c r="B41" s="5" t="s">
        <v>1600</v>
      </c>
      <c r="C41" s="8" t="s">
        <v>1598</v>
      </c>
      <c r="D41" s="5" t="str">
        <f>_xlfn.XLOOKUP(A41,全装!G:G,全装!I:I,"",0,1)</f>
        <v>W-民用自动手枪-43332</v>
      </c>
      <c r="E41" s="5" t="s">
        <v>3696</v>
      </c>
      <c r="F41" s="11" t="s">
        <v>1597</v>
      </c>
      <c r="G41" t="s">
        <v>3698</v>
      </c>
      <c r="I41" t="str">
        <f t="shared" si="3"/>
        <v>r:"(?i)^Civilian Pistol$"=W-民用自动手枪-43332</v>
      </c>
      <c r="J41">
        <f t="shared" si="1"/>
        <v>1</v>
      </c>
      <c r="K41" t="str">
        <f t="shared" si="2"/>
        <v>Civilian Pistol=W-民用自动手枪-43332</v>
      </c>
    </row>
    <row r="42" ht="40.5" spans="1:11">
      <c r="A42" s="9" t="s">
        <v>1098</v>
      </c>
      <c r="B42" s="5" t="s">
        <v>2085</v>
      </c>
      <c r="C42" s="8" t="s">
        <v>1099</v>
      </c>
      <c r="D42" s="5" t="str">
        <f>_xlfn.XLOOKUP(A42,全装!G:G,全装!I:I,"",0,1)</f>
        <v>IU-上流色彩-22434</v>
      </c>
      <c r="E42" s="5" t="s">
        <v>3696</v>
      </c>
      <c r="F42" s="11" t="s">
        <v>1098</v>
      </c>
      <c r="G42" t="s">
        <v>3698</v>
      </c>
      <c r="I42" t="str">
        <f t="shared" si="3"/>
        <v>r:"(?i)^Classy Colours$"=IU-上流色彩-22434</v>
      </c>
      <c r="J42">
        <f t="shared" si="1"/>
        <v>1</v>
      </c>
      <c r="K42" t="str">
        <f t="shared" si="2"/>
        <v>Classy Colours=IU-上流色彩-22434</v>
      </c>
    </row>
    <row r="43" ht="40.5" spans="1:11">
      <c r="A43" s="9" t="s">
        <v>1113</v>
      </c>
      <c r="B43" s="5" t="s">
        <v>3722</v>
      </c>
      <c r="C43" s="8" t="s">
        <v>1114</v>
      </c>
      <c r="D43" s="5" t="str">
        <f>_xlfn.XLOOKUP(A43,全装!G:G,全装!I:I,"",0,1)</f>
        <v>③.IF-克洛伊的套装-13542</v>
      </c>
      <c r="E43" s="5" t="s">
        <v>3696</v>
      </c>
      <c r="F43" s="11" t="s">
        <v>3723</v>
      </c>
      <c r="G43" t="s">
        <v>3698</v>
      </c>
      <c r="I43" t="str">
        <f t="shared" si="3"/>
        <v>r:"(?i)^Cloe's Sets$"=③.IF-克洛伊的套装-13542</v>
      </c>
      <c r="J43">
        <f t="shared" si="1"/>
        <v>0</v>
      </c>
      <c r="K43" t="str">
        <f t="shared" si="2"/>
        <v>Cloe's Sets=③.IF-克洛伊的套装-13542</v>
      </c>
    </row>
    <row r="44" ht="40.5" spans="1:11">
      <c r="A44" s="16" t="s">
        <v>1550</v>
      </c>
      <c r="B44" s="5" t="s">
        <v>1553</v>
      </c>
      <c r="C44" s="8" t="s">
        <v>1551</v>
      </c>
      <c r="D44" s="5" t="str">
        <f>_xlfn.XLOOKUP(A44,全装!G:G,全装!I:I,"",0,1)</f>
        <v>WF-战斗霰弹枪-41352</v>
      </c>
      <c r="E44" s="5" t="s">
        <v>3696</v>
      </c>
      <c r="F44" s="11" t="s">
        <v>1550</v>
      </c>
      <c r="G44" t="s">
        <v>3698</v>
      </c>
      <c r="I44" t="str">
        <f t="shared" si="3"/>
        <v>r:"(?i)^Combat Shotgun$"=WF-战斗霰弹枪-41352</v>
      </c>
      <c r="J44">
        <f t="shared" si="1"/>
        <v>1</v>
      </c>
      <c r="K44" t="str">
        <f t="shared" si="2"/>
        <v>Combat Shotgun=WF-战斗霰弹枪-41352</v>
      </c>
    </row>
    <row r="45" ht="40.5" spans="1:11">
      <c r="A45" s="14" t="s">
        <v>1149</v>
      </c>
      <c r="B45" s="5" t="s">
        <v>1152</v>
      </c>
      <c r="C45" s="8" t="s">
        <v>1150</v>
      </c>
      <c r="D45" s="5" t="str">
        <f>_xlfn.XLOOKUP(A45,全装!G:G,全装!I:I,"",0,1)</f>
        <v>WI-宇宙装束-51513</v>
      </c>
      <c r="E45" s="5" t="s">
        <v>3696</v>
      </c>
      <c r="F45" s="11" t="s">
        <v>1149</v>
      </c>
      <c r="G45" t="s">
        <v>3698</v>
      </c>
      <c r="I45" t="str">
        <f t="shared" si="3"/>
        <v>r:"(?i)^Cosmic Attire$"=WI-宇宙装束-51513</v>
      </c>
      <c r="J45">
        <f t="shared" si="1"/>
        <v>1</v>
      </c>
      <c r="K45" t="str">
        <f t="shared" si="2"/>
        <v>Cosmic Attire=WI-宇宙装束-51513</v>
      </c>
    </row>
    <row r="46" ht="40.5" spans="1:11">
      <c r="A46" s="14" t="s">
        <v>1199</v>
      </c>
      <c r="B46" s="5" t="s">
        <v>3724</v>
      </c>
      <c r="C46" s="8" t="s">
        <v>1200</v>
      </c>
      <c r="D46" s="5" t="str">
        <f>_xlfn.XLOOKUP(A46,全装!G:G,全装!I:I,"",0,1)</f>
        <v>WI-宇宙装束（上衣）-43422</v>
      </c>
      <c r="E46" s="5" t="s">
        <v>3696</v>
      </c>
      <c r="F46" s="11" t="s">
        <v>1199</v>
      </c>
      <c r="G46" t="s">
        <v>3698</v>
      </c>
      <c r="I46" t="str">
        <f t="shared" si="3"/>
        <v>r:"(?i)^Cosmic Attire (top)$"=WI-宇宙装束（上衣）-43422</v>
      </c>
      <c r="J46">
        <f t="shared" si="1"/>
        <v>1</v>
      </c>
      <c r="K46" t="str">
        <f t="shared" si="2"/>
        <v>Cosmic Attire (top)=WI-宇宙装束（上衣）-43422</v>
      </c>
    </row>
    <row r="47" ht="40.5" spans="1:11">
      <c r="A47" s="9" t="s">
        <v>1171</v>
      </c>
      <c r="B47" s="5" t="s">
        <v>3725</v>
      </c>
      <c r="C47" s="8" t="s">
        <v>1172</v>
      </c>
      <c r="D47" s="5" t="str">
        <f>_xlfn.XLOOKUP(A47,全装!G:G,全装!I:I,"",0,1)</f>
        <v>⑥.AF-疯狂套装-24342</v>
      </c>
      <c r="E47" s="5" t="s">
        <v>3696</v>
      </c>
      <c r="F47" s="11" t="s">
        <v>3726</v>
      </c>
      <c r="G47" t="s">
        <v>3698</v>
      </c>
      <c r="I47" t="str">
        <f t="shared" si="3"/>
        <v>r:"(?i)^Crazy's Sets$"=⑥.AF-疯狂套装-24342</v>
      </c>
      <c r="J47">
        <f t="shared" si="1"/>
        <v>0</v>
      </c>
      <c r="K47" t="str">
        <f t="shared" si="2"/>
        <v>Crazy's Sets=⑥.AF-疯狂套装-24342</v>
      </c>
    </row>
    <row r="48" ht="40.5" spans="1:11">
      <c r="A48" s="14" t="s">
        <v>1030</v>
      </c>
      <c r="B48" s="5" t="s">
        <v>1033</v>
      </c>
      <c r="C48" s="8" t="s">
        <v>1031</v>
      </c>
      <c r="D48" s="5" t="str">
        <f>_xlfn.XLOOKUP(A48,全装!G:G,全装!I:I,"",0,1)</f>
        <v>WF-可爱胸针-42342</v>
      </c>
      <c r="E48" s="5" t="s">
        <v>3696</v>
      </c>
      <c r="F48" s="11" t="s">
        <v>1030</v>
      </c>
      <c r="G48" t="s">
        <v>3698</v>
      </c>
      <c r="I48" t="str">
        <f t="shared" si="3"/>
        <v>r:"(?i)^Cute Brooch$"=WF-可爱胸针-42342</v>
      </c>
      <c r="J48">
        <f t="shared" si="1"/>
        <v>1</v>
      </c>
      <c r="K48" t="str">
        <f t="shared" si="2"/>
        <v>Cute Brooch=WF-可爱胸针-42342</v>
      </c>
    </row>
    <row r="49" ht="40.5" spans="1:11">
      <c r="A49" s="5" t="s">
        <v>1212</v>
      </c>
      <c r="B49" s="5" t="s">
        <v>3727</v>
      </c>
      <c r="C49" s="8" t="s">
        <v>1213</v>
      </c>
      <c r="D49" s="5" t="str">
        <f>_xlfn.XLOOKUP(A49,全装!G:G,全装!I:I,"",0,1)</f>
        <v>④.IFU-可爱连衣裙-12444</v>
      </c>
      <c r="E49" s="5" t="s">
        <v>3696</v>
      </c>
      <c r="F49" s="11" t="s">
        <v>1212</v>
      </c>
      <c r="G49" t="s">
        <v>3698</v>
      </c>
      <c r="I49" t="str">
        <f t="shared" si="3"/>
        <v>r:"(?i)^Cute Dress$"=④.IFU-可爱连衣裙-12444</v>
      </c>
      <c r="J49">
        <f t="shared" si="1"/>
        <v>1</v>
      </c>
      <c r="K49" t="str">
        <f t="shared" si="2"/>
        <v>Cute Dress=④.IFU-可爱连衣裙-12444</v>
      </c>
    </row>
    <row r="50" ht="40.5" spans="1:11">
      <c r="A50" s="5" t="s">
        <v>1238</v>
      </c>
      <c r="B50" s="5" t="s">
        <v>1241</v>
      </c>
      <c r="C50" s="8" t="s">
        <v>1239</v>
      </c>
      <c r="D50" s="5" t="str">
        <f>_xlfn.XLOOKUP(A50,全装!G:G,全装!I:I,"",0,1)</f>
        <v>AF-匕首-24342</v>
      </c>
      <c r="E50" s="5" t="s">
        <v>3696</v>
      </c>
      <c r="F50" s="11" t="s">
        <v>1238</v>
      </c>
      <c r="G50" t="s">
        <v>3698</v>
      </c>
      <c r="I50" t="str">
        <f t="shared" si="3"/>
        <v>r:"(?i)^Dagger$"=AF-匕首-24342</v>
      </c>
      <c r="J50">
        <f t="shared" si="1"/>
        <v>1</v>
      </c>
      <c r="K50" t="str">
        <f t="shared" si="2"/>
        <v>Dagger=AF-匕首-24342</v>
      </c>
    </row>
    <row r="51" ht="40.5" spans="1:11">
      <c r="A51" s="17" t="s">
        <v>1217</v>
      </c>
      <c r="B51" s="11" t="s">
        <v>1219</v>
      </c>
      <c r="C51" s="10" t="s">
        <v>1218</v>
      </c>
      <c r="D51" s="5" t="str">
        <f>_xlfn.XLOOKUP(A51,全装!G:G,全装!I:I,"",0,1)</f>
        <v>达希亚的仪式(X)-00000</v>
      </c>
      <c r="E51" s="5" t="s">
        <v>3696</v>
      </c>
      <c r="F51" s="11" t="s">
        <v>1217</v>
      </c>
      <c r="G51" t="s">
        <v>3698</v>
      </c>
      <c r="I51" t="str">
        <f t="shared" si="3"/>
        <v>r:"(?i)^Dahia's Rituals$"=达希亚的仪式(X)-00000</v>
      </c>
      <c r="J51">
        <f t="shared" si="1"/>
        <v>1</v>
      </c>
      <c r="K51" t="str">
        <f t="shared" si="2"/>
        <v>Dahia's Rituals=达希亚的仪式(X)-00000</v>
      </c>
    </row>
    <row r="52" ht="40.5" spans="1:11">
      <c r="A52" s="5" t="s">
        <v>1220</v>
      </c>
      <c r="B52" s="5" t="s">
        <v>3728</v>
      </c>
      <c r="C52" s="8" t="s">
        <v>1221</v>
      </c>
      <c r="D52" s="5" t="str">
        <f>_xlfn.XLOOKUP(A52,全装!G:G,全装!I:I,"",0,1)</f>
        <v>⑤.AF-危险套装-24243</v>
      </c>
      <c r="E52" s="5" t="s">
        <v>3696</v>
      </c>
      <c r="F52" s="11" t="s">
        <v>1220</v>
      </c>
      <c r="G52" t="s">
        <v>3698</v>
      </c>
      <c r="I52" t="str">
        <f t="shared" si="3"/>
        <v>r:"(?i)^Dangerous Set$"=⑤.AF-危险套装-24243</v>
      </c>
      <c r="J52">
        <f t="shared" si="1"/>
        <v>1</v>
      </c>
      <c r="K52" t="str">
        <f t="shared" si="2"/>
        <v>Dangerous Set=⑤.AF-危险套装-24243</v>
      </c>
    </row>
    <row r="53" ht="40.5" spans="1:11">
      <c r="A53" s="5" t="s">
        <v>1469</v>
      </c>
      <c r="B53" s="5" t="s">
        <v>1472</v>
      </c>
      <c r="C53" s="8" t="s">
        <v>1470</v>
      </c>
      <c r="D53" s="5" t="str">
        <f>_xlfn.XLOOKUP(A53,全装!G:G,全装!I:I,"",0,1)</f>
        <v>F-深V短裙-23343</v>
      </c>
      <c r="E53" s="5" t="s">
        <v>3696</v>
      </c>
      <c r="F53" s="11" t="s">
        <v>1469</v>
      </c>
      <c r="G53" t="s">
        <v>3698</v>
      </c>
      <c r="I53" t="str">
        <f t="shared" si="3"/>
        <v>r:"(?i)^Deepcut Skirt$"=F-深V短裙-23343</v>
      </c>
      <c r="J53">
        <f t="shared" si="1"/>
        <v>1</v>
      </c>
      <c r="K53" t="str">
        <f t="shared" si="2"/>
        <v>Deepcut Skirt=F-深V短裙-23343</v>
      </c>
    </row>
    <row r="54" ht="40.5" spans="1:11">
      <c r="A54" s="5" t="s">
        <v>1473</v>
      </c>
      <c r="B54" s="5" t="s">
        <v>1477</v>
      </c>
      <c r="C54" s="8" t="s">
        <v>1474</v>
      </c>
      <c r="D54" s="5" t="str">
        <f>_xlfn.XLOOKUP(A54,全装!G:G,全装!I:I,"",0,1)</f>
        <v>F-深V上衣-23352</v>
      </c>
      <c r="E54" s="5" t="s">
        <v>3696</v>
      </c>
      <c r="F54" s="11" t="s">
        <v>1473</v>
      </c>
      <c r="G54" t="s">
        <v>3698</v>
      </c>
      <c r="I54" t="str">
        <f t="shared" si="3"/>
        <v>r:"(?i)^Deepcut Top$"=F-深V上衣-23352</v>
      </c>
      <c r="J54">
        <f t="shared" si="1"/>
        <v>1</v>
      </c>
      <c r="K54" t="str">
        <f t="shared" si="2"/>
        <v>Deepcut Top=F-深V上衣-23352</v>
      </c>
    </row>
    <row r="55" ht="40.5" spans="1:11">
      <c r="A55" s="9" t="s">
        <v>1283</v>
      </c>
      <c r="B55" s="5" t="s">
        <v>1286</v>
      </c>
      <c r="C55" s="8" t="s">
        <v>1284</v>
      </c>
      <c r="D55" s="5" t="str">
        <f>_xlfn.XLOOKUP(A55,全装!G:G,全装!I:I,"",0,1)</f>
        <v>AF-溶解下装-14343</v>
      </c>
      <c r="E55" s="5" t="s">
        <v>3696</v>
      </c>
      <c r="F55" s="11" t="s">
        <v>1283</v>
      </c>
      <c r="G55" t="s">
        <v>3698</v>
      </c>
      <c r="I55" t="str">
        <f t="shared" si="3"/>
        <v>r:"(?i)^Dissolved Cloth$"=AF-溶解下装-14343</v>
      </c>
      <c r="J55">
        <f t="shared" si="1"/>
        <v>1</v>
      </c>
      <c r="K55" t="str">
        <f t="shared" si="2"/>
        <v>Dissolved Cloth=AF-溶解下装-14343</v>
      </c>
    </row>
    <row r="56" ht="40.5" spans="1:11">
      <c r="A56" s="9" t="s">
        <v>817</v>
      </c>
      <c r="B56" s="12" t="s">
        <v>822</v>
      </c>
      <c r="C56" s="13" t="s">
        <v>818</v>
      </c>
      <c r="D56" s="5" t="str">
        <f>_xlfn.XLOOKUP(A56,全装!G:G,全装!I:I,"",0,1)</f>
        <v>②.9_AF-溶解上衣-15243</v>
      </c>
      <c r="E56" s="5" t="s">
        <v>3696</v>
      </c>
      <c r="F56" s="11" t="s">
        <v>817</v>
      </c>
      <c r="G56" t="s">
        <v>3698</v>
      </c>
      <c r="I56" t="str">
        <f t="shared" si="3"/>
        <v>r:"(?i)^Dissolved Top$"=②.9_AF-溶解上衣-15243</v>
      </c>
      <c r="J56">
        <f t="shared" si="1"/>
        <v>1</v>
      </c>
      <c r="K56" t="str">
        <f t="shared" si="2"/>
        <v>Dissolved Top=②.9_AF-溶解上衣-15243</v>
      </c>
    </row>
    <row r="57" ht="40.5" spans="1:11">
      <c r="A57" s="9" t="s">
        <v>1055</v>
      </c>
      <c r="B57" s="5" t="s">
        <v>1058</v>
      </c>
      <c r="C57" s="8" t="s">
        <v>1056</v>
      </c>
      <c r="D57" s="5" t="str">
        <f>_xlfn.XLOOKUP(A57,全装!G:G,全装!I:I,"",0,1)</f>
        <v>IF-狗狗零食-13443</v>
      </c>
      <c r="E57" s="5" t="s">
        <v>3696</v>
      </c>
      <c r="F57" s="11" t="s">
        <v>1055</v>
      </c>
      <c r="G57" t="s">
        <v>3698</v>
      </c>
      <c r="I57" t="str">
        <f t="shared" si="3"/>
        <v>r:"(?i)^Dog Treat$"=IF-狗狗零食-13443</v>
      </c>
      <c r="J57">
        <f t="shared" si="1"/>
        <v>1</v>
      </c>
      <c r="K57" t="str">
        <f t="shared" si="2"/>
        <v>Dog Treat=IF-狗狗零食-13443</v>
      </c>
    </row>
    <row r="58" ht="40.5" spans="1:11">
      <c r="A58" s="9" t="s">
        <v>1227</v>
      </c>
      <c r="B58" t="s">
        <v>3729</v>
      </c>
      <c r="C58" s="10" t="s">
        <v>1228</v>
      </c>
      <c r="D58" s="5" t="str">
        <f>_xlfn.XLOOKUP(A58,全装!G:G,全装!I:I,"",0,1)</f>
        <v>①.IFU-#支配-11554</v>
      </c>
      <c r="E58" s="5" t="s">
        <v>3696</v>
      </c>
      <c r="F58" s="11" t="s">
        <v>1227</v>
      </c>
      <c r="G58" t="s">
        <v>3698</v>
      </c>
      <c r="I58" t="str">
        <f t="shared" si="3"/>
        <v>r:"(?i)^Domination$"=①.IFU-#支配-11554</v>
      </c>
      <c r="J58">
        <f t="shared" si="1"/>
        <v>1</v>
      </c>
      <c r="K58" t="str">
        <f t="shared" si="2"/>
        <v>Domination=①.IFU-#支配-11554</v>
      </c>
    </row>
    <row r="59" ht="40.5" spans="1:11">
      <c r="A59" s="5" t="s">
        <v>1311</v>
      </c>
      <c r="B59" s="5" t="s">
        <v>1314</v>
      </c>
      <c r="C59" s="8" t="s">
        <v>1312</v>
      </c>
      <c r="D59" s="5" t="str">
        <f>_xlfn.XLOOKUP(A59,全装!G:G,全装!I:I,"",0,1)</f>
        <v>AU-破布礼服-24234</v>
      </c>
      <c r="E59" s="5" t="s">
        <v>3696</v>
      </c>
      <c r="F59" s="11" t="s">
        <v>1311</v>
      </c>
      <c r="G59" t="s">
        <v>3698</v>
      </c>
      <c r="I59" t="str">
        <f t="shared" si="3"/>
        <v>r:"(?i)^Dress To Rugs$"=AU-破布礼服-24234</v>
      </c>
      <c r="J59">
        <f t="shared" si="1"/>
        <v>1</v>
      </c>
      <c r="K59" t="str">
        <f t="shared" si="2"/>
        <v>Dress To Rugs=AU-破布礼服-24234</v>
      </c>
    </row>
    <row r="60" ht="40.5" spans="1:11">
      <c r="A60" s="9" t="s">
        <v>1060</v>
      </c>
      <c r="B60" s="5" t="s">
        <v>1063</v>
      </c>
      <c r="C60" s="8" t="s">
        <v>1061</v>
      </c>
      <c r="D60" s="5" t="str">
        <f>_xlfn.XLOOKUP(A60,全装!G:G,全装!I:I,"",0,1)</f>
        <v>F-小黄鸭-33243</v>
      </c>
      <c r="E60" s="5" t="s">
        <v>3696</v>
      </c>
      <c r="F60" s="11" t="s">
        <v>1060</v>
      </c>
      <c r="G60" t="s">
        <v>3698</v>
      </c>
      <c r="I60" t="str">
        <f t="shared" si="3"/>
        <v>r:"(?i)^Duck$"=F-小黄鸭-33243</v>
      </c>
      <c r="J60">
        <f t="shared" si="1"/>
        <v>1</v>
      </c>
      <c r="K60" t="str">
        <f t="shared" si="2"/>
        <v>Duck=F-小黄鸭-33243</v>
      </c>
    </row>
    <row r="61" ht="40.5" spans="1:11">
      <c r="A61" s="9" t="s">
        <v>1088</v>
      </c>
      <c r="B61" s="5" t="s">
        <v>1091</v>
      </c>
      <c r="C61" s="8" t="s">
        <v>1089</v>
      </c>
      <c r="D61" s="5" t="str">
        <f>_xlfn.XLOOKUP(A61,全装!G:G,全装!I:I,"",0,1)</f>
        <v>FU-鸭鸭-23244</v>
      </c>
      <c r="E61" s="5" t="s">
        <v>3696</v>
      </c>
      <c r="F61" s="11" t="s">
        <v>1088</v>
      </c>
      <c r="G61" t="s">
        <v>3698</v>
      </c>
      <c r="I61" t="str">
        <f t="shared" si="3"/>
        <v>r:"(?i)^El Patito$"=FU-鸭鸭-23244</v>
      </c>
      <c r="J61">
        <f t="shared" si="1"/>
        <v>1</v>
      </c>
      <c r="K61" t="str">
        <f t="shared" si="2"/>
        <v>El Patito=FU-鸭鸭-23244</v>
      </c>
    </row>
    <row r="62" ht="40.5" spans="1:11">
      <c r="A62" s="17" t="s">
        <v>1392</v>
      </c>
      <c r="B62" s="11" t="s">
        <v>1394</v>
      </c>
      <c r="C62" s="10" t="s">
        <v>1393</v>
      </c>
      <c r="D62" s="5" t="str">
        <f>_xlfn.XLOOKUP(A62,全装!G:G,全装!I:I,"",0,1)</f>
        <v>伊莲的护符(X)-00000</v>
      </c>
      <c r="E62" s="5" t="s">
        <v>3696</v>
      </c>
      <c r="F62" s="11" t="s">
        <v>1392</v>
      </c>
      <c r="G62" t="s">
        <v>3698</v>
      </c>
      <c r="I62" t="str">
        <f t="shared" si="3"/>
        <v>r:"(?i)^Elaine's Charm$"=伊莲的护符(X)-00000</v>
      </c>
      <c r="J62">
        <f t="shared" si="1"/>
        <v>1</v>
      </c>
      <c r="K62" t="str">
        <f t="shared" si="2"/>
        <v>Elaine's Charm=伊莲的护符(X)-00000</v>
      </c>
    </row>
    <row r="63" ht="40.5" spans="1:11">
      <c r="A63" s="9" t="s">
        <v>1430</v>
      </c>
      <c r="B63" s="5" t="s">
        <v>1433</v>
      </c>
      <c r="C63" s="8" t="s">
        <v>1431</v>
      </c>
      <c r="D63" s="5" t="str">
        <f>_xlfn.XLOOKUP(A63,全装!G:G,全装!I:I,"",0,1)</f>
        <v>FU-埃莉诺套装-11155</v>
      </c>
      <c r="E63" s="5" t="s">
        <v>3696</v>
      </c>
      <c r="F63" s="11" t="s">
        <v>1430</v>
      </c>
      <c r="G63" t="s">
        <v>3698</v>
      </c>
      <c r="I63" t="str">
        <f t="shared" si="3"/>
        <v>r:"(?i)^Eleanor Set$"=FU-埃莉诺套装-11155</v>
      </c>
      <c r="J63">
        <f t="shared" si="1"/>
        <v>1</v>
      </c>
      <c r="K63" t="str">
        <f t="shared" si="2"/>
        <v>Eleanor Set=FU-埃莉诺套装-11155</v>
      </c>
    </row>
    <row r="64" ht="40.5" spans="1:11">
      <c r="A64" s="16" t="s">
        <v>1584</v>
      </c>
      <c r="B64" s="5" t="s">
        <v>1587</v>
      </c>
      <c r="C64" s="8" t="s">
        <v>1585</v>
      </c>
      <c r="D64" s="5" t="str">
        <f>_xlfn.XLOOKUP(A64,全装!G:G,全装!I:I,"",0,1)</f>
        <v>WU-艾米丽的大佬-41334</v>
      </c>
      <c r="E64" s="5" t="s">
        <v>3696</v>
      </c>
      <c r="F64" s="11" t="s">
        <v>3730</v>
      </c>
      <c r="G64" t="s">
        <v>3698</v>
      </c>
      <c r="I64" t="str">
        <f t="shared" si="3"/>
        <v>r:"(?i)^Emily's Boss$"=WU-艾米丽的大佬-41334</v>
      </c>
      <c r="J64">
        <f t="shared" si="1"/>
        <v>0</v>
      </c>
      <c r="K64" t="str">
        <f t="shared" si="2"/>
        <v>Emily's Boss=WU-艾米丽的大佬-41334</v>
      </c>
    </row>
    <row r="65" ht="40.5" spans="1:11">
      <c r="A65" s="14" t="s">
        <v>1189</v>
      </c>
      <c r="B65" s="5" t="s">
        <v>1192</v>
      </c>
      <c r="C65" s="8" t="s">
        <v>1190</v>
      </c>
      <c r="D65" s="5" t="str">
        <f>_xlfn.XLOOKUP(A65,全装!G:G,全装!I:I,"",0,1)</f>
        <v>WI-艾米丽的小弟们-51423</v>
      </c>
      <c r="E65" s="5" t="s">
        <v>3696</v>
      </c>
      <c r="F65" s="11" t="s">
        <v>1189</v>
      </c>
      <c r="G65" t="s">
        <v>3698</v>
      </c>
      <c r="I65" t="str">
        <f t="shared" si="3"/>
        <v>r:"(?i)^Emily's Underlings$"=WI-艾米丽的小弟们-51423</v>
      </c>
      <c r="J65">
        <f t="shared" si="1"/>
        <v>1</v>
      </c>
      <c r="K65" t="str">
        <f t="shared" si="2"/>
        <v>Emily's Underlings=WI-艾米丽的小弟们-51423</v>
      </c>
    </row>
    <row r="66" ht="40.5" spans="1:11">
      <c r="A66" s="5" t="s">
        <v>1642</v>
      </c>
      <c r="B66" s="5" t="s">
        <v>1643</v>
      </c>
      <c r="C66" s="8" t="s">
        <v>1643</v>
      </c>
      <c r="D66" s="5" t="str">
        <f>_xlfn.XLOOKUP(A66,全装!G:G,全装!I:I,"",0,1)</f>
        <v>能量自动手枪-33333</v>
      </c>
      <c r="E66" s="5" t="s">
        <v>3696</v>
      </c>
      <c r="F66" s="11" t="s">
        <v>1642</v>
      </c>
      <c r="G66" t="s">
        <v>3698</v>
      </c>
      <c r="I66" t="str">
        <f t="shared" si="3"/>
        <v>r:"(?i)^Energy Pistol$"=能量自动手枪-33333</v>
      </c>
      <c r="J66">
        <f t="shared" si="1"/>
        <v>1</v>
      </c>
      <c r="K66" t="str">
        <f t="shared" si="2"/>
        <v>Energy Pistol=能量自动手枪-33333</v>
      </c>
    </row>
    <row r="67" ht="40.5" spans="1:11">
      <c r="A67" s="5" t="s">
        <v>1396</v>
      </c>
      <c r="B67" s="5" t="s">
        <v>1399</v>
      </c>
      <c r="C67" s="8" t="s">
        <v>1397</v>
      </c>
      <c r="D67" s="5" t="str">
        <f>_xlfn.XLOOKUP(A67,全装!G:G,全装!I:I,"",0,1)</f>
        <v>FU-探险者短裙-13344</v>
      </c>
      <c r="E67" s="5" t="s">
        <v>3696</v>
      </c>
      <c r="F67" s="11" t="s">
        <v>1396</v>
      </c>
      <c r="G67" t="s">
        <v>3698</v>
      </c>
      <c r="I67" t="str">
        <f t="shared" si="3"/>
        <v>r:"(?i)^Explorer Skirt$"=FU-探险者短裙-13344</v>
      </c>
      <c r="J67">
        <f t="shared" ref="J67:J130" si="4">IF(F67=A67,1,0)</f>
        <v>1</v>
      </c>
      <c r="K67" t="str">
        <f t="shared" ref="K67:K130" si="5">F67&amp;"="&amp;D67</f>
        <v>Explorer Skirt=FU-探险者短裙-13344</v>
      </c>
    </row>
    <row r="68" ht="40.5" spans="1:11">
      <c r="A68" s="5" t="s">
        <v>1435</v>
      </c>
      <c r="B68" s="5" t="s">
        <v>1439</v>
      </c>
      <c r="C68" s="8" t="s">
        <v>1436</v>
      </c>
      <c r="D68" s="5" t="str">
        <f>_xlfn.XLOOKUP(A68,全装!G:G,全装!I:I,"",0,1)</f>
        <v>F-探险者上衣-13353</v>
      </c>
      <c r="E68" s="5" t="s">
        <v>3696</v>
      </c>
      <c r="F68" s="11" t="s">
        <v>1435</v>
      </c>
      <c r="G68" t="s">
        <v>3698</v>
      </c>
      <c r="I68" t="str">
        <f t="shared" si="3"/>
        <v>r:"(?i)^Explorer Top$"=F-探险者上衣-13353</v>
      </c>
      <c r="J68">
        <f t="shared" si="4"/>
        <v>1</v>
      </c>
      <c r="K68" t="str">
        <f t="shared" si="5"/>
        <v>Explorer Top=F-探险者上衣-13353</v>
      </c>
    </row>
    <row r="69" ht="40.5" spans="1:11">
      <c r="A69" s="14" t="s">
        <v>1093</v>
      </c>
      <c r="B69" t="s">
        <v>1097</v>
      </c>
      <c r="C69" s="10" t="s">
        <v>1094</v>
      </c>
      <c r="D69" s="5" t="str">
        <f>_xlfn.XLOOKUP(A69,全装!G:G,全装!I:I,"",0,1)</f>
        <v>WAI-#探险者的缎带-44433</v>
      </c>
      <c r="E69" s="5" t="s">
        <v>3696</v>
      </c>
      <c r="F69" s="11" t="s">
        <v>1093</v>
      </c>
      <c r="G69" t="s">
        <v>3698</v>
      </c>
      <c r="I69" t="str">
        <f t="shared" si="3"/>
        <v>r:"(?i)^Explorer's Ribbon$"=WAI-#探险者的缎带-44433</v>
      </c>
      <c r="J69">
        <f t="shared" si="4"/>
        <v>1</v>
      </c>
      <c r="K69" t="str">
        <f t="shared" si="5"/>
        <v>Explorer's Ribbon=WAI-#探险者的缎带-44433</v>
      </c>
    </row>
    <row r="70" ht="40.5" spans="1:11">
      <c r="A70" s="5" t="s">
        <v>1495</v>
      </c>
      <c r="B70" s="5" t="s">
        <v>3731</v>
      </c>
      <c r="C70" s="8" t="s">
        <v>1496</v>
      </c>
      <c r="D70" s="5" t="str">
        <f>_xlfn.XLOOKUP(A70,全装!G:G,全装!I:I,"",0,1)</f>
        <v>④.AF-无畏战士服-14253</v>
      </c>
      <c r="E70" s="5" t="s">
        <v>3696</v>
      </c>
      <c r="F70" s="11" t="s">
        <v>1495</v>
      </c>
      <c r="G70" t="s">
        <v>3698</v>
      </c>
      <c r="I70" t="str">
        <f t="shared" si="3"/>
        <v>r:"(?i)^Fearless Warrior Suit$"=④.AF-无畏战士服-14253</v>
      </c>
      <c r="J70">
        <f t="shared" si="4"/>
        <v>1</v>
      </c>
      <c r="K70" t="str">
        <f t="shared" si="5"/>
        <v>Fearless Warrior Suit=④.AF-无畏战士服-14253</v>
      </c>
    </row>
    <row r="71" ht="40.5" spans="1:11">
      <c r="A71" s="9" t="s">
        <v>1501</v>
      </c>
      <c r="B71" s="5" t="s">
        <v>3732</v>
      </c>
      <c r="C71" s="8" t="s">
        <v>1502</v>
      </c>
      <c r="D71" s="5" t="str">
        <f>_xlfn.XLOOKUP(A71,全装!G:G,全装!I:I,"",0,1)</f>
        <v>IU-战地医疗兵套装-31434</v>
      </c>
      <c r="E71" s="5" t="s">
        <v>3696</v>
      </c>
      <c r="F71" s="11" t="s">
        <v>1501</v>
      </c>
      <c r="G71" t="s">
        <v>3698</v>
      </c>
      <c r="I71" t="str">
        <f t="shared" si="3"/>
        <v>r:"(?i)^Field Medic Suit$"=IU-战地医疗兵套装-31434</v>
      </c>
      <c r="J71">
        <f t="shared" si="4"/>
        <v>1</v>
      </c>
      <c r="K71" t="str">
        <f t="shared" si="5"/>
        <v>Field Medic Suit=IU-战地医疗兵套装-31434</v>
      </c>
    </row>
    <row r="72" ht="40.5" spans="1:11">
      <c r="A72" s="9" t="s">
        <v>1070</v>
      </c>
      <c r="B72" s="5" t="s">
        <v>1074</v>
      </c>
      <c r="C72" s="8" t="s">
        <v>1071</v>
      </c>
      <c r="D72" s="5" t="str">
        <f>_xlfn.XLOOKUP(A72,全装!G:G,全装!I:I,"",0,1)</f>
        <v>IF-消防斧-13443</v>
      </c>
      <c r="E72" s="5" t="s">
        <v>3696</v>
      </c>
      <c r="F72" s="11" t="s">
        <v>1070</v>
      </c>
      <c r="G72" t="s">
        <v>3698</v>
      </c>
      <c r="I72" t="str">
        <f t="shared" si="3"/>
        <v>r:"(?i)^Fireaxe$"=IF-消防斧-13443</v>
      </c>
      <c r="J72">
        <f t="shared" si="4"/>
        <v>1</v>
      </c>
      <c r="K72" t="str">
        <f t="shared" si="5"/>
        <v>Fireaxe=IF-消防斧-13443</v>
      </c>
    </row>
    <row r="73" ht="40.5" spans="1:11">
      <c r="A73" s="9" t="s">
        <v>1511</v>
      </c>
      <c r="B73" s="5" t="s">
        <v>1514</v>
      </c>
      <c r="C73" s="8" t="s">
        <v>1512</v>
      </c>
      <c r="D73" s="5" t="str">
        <f>_xlfn.XLOOKUP(A73,全装!G:G,全装!I:I,"",0,1)</f>
        <v>U-火焰喷射器-23334</v>
      </c>
      <c r="E73" s="5" t="s">
        <v>3696</v>
      </c>
      <c r="F73" s="11" t="s">
        <v>1511</v>
      </c>
      <c r="G73" t="s">
        <v>3698</v>
      </c>
      <c r="I73" t="str">
        <f t="shared" si="3"/>
        <v>r:"(?i)^Flamethrower$"=U-火焰喷射器-23334</v>
      </c>
      <c r="J73">
        <f t="shared" si="4"/>
        <v>1</v>
      </c>
      <c r="K73" t="str">
        <f t="shared" si="5"/>
        <v>Flamethrower=U-火焰喷射器-23334</v>
      </c>
    </row>
    <row r="74" ht="40.5" spans="1:11">
      <c r="A74" s="5" t="s">
        <v>691</v>
      </c>
      <c r="B74" s="5" t="s">
        <v>3733</v>
      </c>
      <c r="C74" s="8" t="s">
        <v>692</v>
      </c>
      <c r="D74" s="5" t="str">
        <f>_xlfn.XLOOKUP(A74,全装!G:G,全装!I:I,"",0,1)</f>
        <v>③.3_AFU-燃烧紧身裤-14244</v>
      </c>
      <c r="E74" s="5" t="s">
        <v>3696</v>
      </c>
      <c r="F74" s="11" t="s">
        <v>691</v>
      </c>
      <c r="G74" t="s">
        <v>3698</v>
      </c>
      <c r="I74" t="str">
        <f t="shared" ref="I74:I137" si="6">E74&amp;F74&amp;G74&amp;D74</f>
        <v>r:"(?i)^Flaming Leggings$"=③.3_AFU-燃烧紧身裤-14244</v>
      </c>
      <c r="J74">
        <f t="shared" si="4"/>
        <v>1</v>
      </c>
      <c r="K74" t="str">
        <f t="shared" si="5"/>
        <v>Flaming Leggings=③.3_AFU-燃烧紧身裤-14244</v>
      </c>
    </row>
    <row r="75" ht="40.5" spans="1:11">
      <c r="A75" s="5" t="s">
        <v>1273</v>
      </c>
      <c r="B75" s="5" t="s">
        <v>1276</v>
      </c>
      <c r="C75" s="8" t="s">
        <v>1274</v>
      </c>
      <c r="D75" s="5" t="str">
        <f>_xlfn.XLOOKUP(A75,全装!G:G,全装!I:I,"",0,1)</f>
        <v>AF-燃烧上衣-14343</v>
      </c>
      <c r="E75" s="5" t="s">
        <v>3696</v>
      </c>
      <c r="F75" s="11" t="s">
        <v>1273</v>
      </c>
      <c r="G75" t="s">
        <v>3698</v>
      </c>
      <c r="I75" t="str">
        <f t="shared" si="6"/>
        <v>r:"(?i)^Flaming Top$"=AF-燃烧上衣-14343</v>
      </c>
      <c r="J75">
        <f t="shared" si="4"/>
        <v>1</v>
      </c>
      <c r="K75" t="str">
        <f t="shared" si="5"/>
        <v>Flaming Top=AF-燃烧上衣-14343</v>
      </c>
    </row>
    <row r="76" ht="40.5" spans="1:11">
      <c r="A76" s="5" t="s">
        <v>1076</v>
      </c>
      <c r="B76" s="5" t="s">
        <v>3734</v>
      </c>
      <c r="C76" s="8" t="s">
        <v>1077</v>
      </c>
      <c r="D76" s="5" t="str">
        <f>_xlfn.XLOOKUP(A76,全装!G:G,全装!I:I,"",0,1)</f>
        <v>IF-正装短裙-31443</v>
      </c>
      <c r="E76" s="5" t="s">
        <v>3696</v>
      </c>
      <c r="F76" s="11" t="s">
        <v>1076</v>
      </c>
      <c r="G76" t="s">
        <v>3698</v>
      </c>
      <c r="I76" t="str">
        <f t="shared" si="6"/>
        <v>r:"(?i)^Formal Skirt$"=IF-正装短裙-31443</v>
      </c>
      <c r="J76">
        <f t="shared" si="4"/>
        <v>1</v>
      </c>
      <c r="K76" t="str">
        <f t="shared" si="5"/>
        <v>Formal Skirt=IF-正装短裙-31443</v>
      </c>
    </row>
    <row r="77" ht="40.5" spans="1:11">
      <c r="A77" s="5" t="s">
        <v>1516</v>
      </c>
      <c r="B77" s="5" t="s">
        <v>1519</v>
      </c>
      <c r="C77" s="8" t="s">
        <v>1517</v>
      </c>
      <c r="D77" s="5" t="str">
        <f>_xlfn.XLOOKUP(A77,全装!G:G,全装!I:I,"",0,1)</f>
        <v>福克希套装-33333</v>
      </c>
      <c r="E77" s="5" t="s">
        <v>3696</v>
      </c>
      <c r="F77" s="11" t="s">
        <v>3735</v>
      </c>
      <c r="G77" t="s">
        <v>3698</v>
      </c>
      <c r="I77" t="str">
        <f t="shared" si="6"/>
        <v>r:"(?i)^Foxy's Sets$"=福克希套装-33333</v>
      </c>
      <c r="J77">
        <f t="shared" si="4"/>
        <v>0</v>
      </c>
      <c r="K77" t="str">
        <f t="shared" si="5"/>
        <v>Foxy's Sets=福克希套装-33333</v>
      </c>
    </row>
    <row r="78" ht="40.5" spans="1:11">
      <c r="A78" s="14" t="s">
        <v>1525</v>
      </c>
      <c r="B78" s="5" t="s">
        <v>1528</v>
      </c>
      <c r="C78" s="8" t="s">
        <v>1526</v>
      </c>
      <c r="D78" s="5" t="str">
        <f>_xlfn.XLOOKUP(A78,全装!G:G,全装!I:I,"",0,1)</f>
        <v>WA-流苏长裤-44331</v>
      </c>
      <c r="E78" s="5" t="s">
        <v>3696</v>
      </c>
      <c r="F78" s="11" t="s">
        <v>1525</v>
      </c>
      <c r="G78" t="s">
        <v>3698</v>
      </c>
      <c r="I78" t="str">
        <f t="shared" si="6"/>
        <v>r:"(?i)^Fringed Pants$"=WA-流苏长裤-44331</v>
      </c>
      <c r="J78">
        <f t="shared" si="4"/>
        <v>1</v>
      </c>
      <c r="K78" t="str">
        <f t="shared" si="5"/>
        <v>Fringed Pants=WA-流苏长裤-44331</v>
      </c>
    </row>
    <row r="79" ht="40.5" spans="1:11">
      <c r="A79" s="14" t="s">
        <v>1602</v>
      </c>
      <c r="B79" s="5" t="s">
        <v>1603</v>
      </c>
      <c r="C79" s="8" t="s">
        <v>1603</v>
      </c>
      <c r="D79" s="5" t="str">
        <f>_xlfn.XLOOKUP(A79,全装!G:G,全装!I:I,"",0,1)</f>
        <v>W-流苏上衣-43332</v>
      </c>
      <c r="E79" s="5" t="s">
        <v>3696</v>
      </c>
      <c r="F79" s="11" t="s">
        <v>1602</v>
      </c>
      <c r="G79" t="s">
        <v>3698</v>
      </c>
      <c r="I79" t="str">
        <f t="shared" si="6"/>
        <v>r:"(?i)^Fringed Top$"=W-流苏上衣-43332</v>
      </c>
      <c r="J79">
        <f t="shared" si="4"/>
        <v>1</v>
      </c>
      <c r="K79" t="str">
        <f t="shared" si="5"/>
        <v>Fringed Top=W-流苏上衣-43332</v>
      </c>
    </row>
    <row r="80" ht="40.5" spans="1:11">
      <c r="A80" s="14" t="s">
        <v>1637</v>
      </c>
      <c r="B80" s="5" t="s">
        <v>3736</v>
      </c>
      <c r="C80" s="8" t="s">
        <v>1638</v>
      </c>
      <c r="D80" s="5" t="str">
        <f>_xlfn.XLOOKUP(A80,全装!G:G,全装!I:I,"",0,1)</f>
        <v>①.WF-冰霜装束-51153</v>
      </c>
      <c r="E80" s="5" t="s">
        <v>3696</v>
      </c>
      <c r="F80" s="11" t="s">
        <v>3737</v>
      </c>
      <c r="G80" t="s">
        <v>3698</v>
      </c>
      <c r="I80" t="str">
        <f t="shared" si="6"/>
        <v>r:"(?i)^Frozen's Attire$"=①.WF-冰霜装束-51153</v>
      </c>
      <c r="J80">
        <f t="shared" si="4"/>
        <v>0</v>
      </c>
      <c r="K80" t="str">
        <f t="shared" si="5"/>
        <v>Frozen's Attire=①.WF-冰霜装束-51153</v>
      </c>
    </row>
    <row r="81" ht="40.5" spans="1:11">
      <c r="A81" s="9" t="s">
        <v>1127</v>
      </c>
      <c r="B81" s="5" t="s">
        <v>3738</v>
      </c>
      <c r="C81" s="8" t="s">
        <v>1128</v>
      </c>
      <c r="D81" s="5" t="str">
        <f>_xlfn.XLOOKUP(A81,全装!G:G,全装!I:I,"",0,1)</f>
        <v>I-全罩胸罩-33432</v>
      </c>
      <c r="E81" s="5" t="s">
        <v>3696</v>
      </c>
      <c r="F81" s="11" t="s">
        <v>1127</v>
      </c>
      <c r="G81" t="s">
        <v>3698</v>
      </c>
      <c r="I81" t="str">
        <f t="shared" si="6"/>
        <v>r:"(?i)^Full Bra$"=I-全罩胸罩-33432</v>
      </c>
      <c r="J81">
        <f t="shared" si="4"/>
        <v>1</v>
      </c>
      <c r="K81" t="str">
        <f t="shared" si="5"/>
        <v>Full Bra=I-全罩胸罩-33432</v>
      </c>
    </row>
    <row r="82" ht="40.5" spans="1:11">
      <c r="A82" s="9" t="s">
        <v>1650</v>
      </c>
      <c r="B82" s="5" t="s">
        <v>1654</v>
      </c>
      <c r="C82" s="8" t="s">
        <v>1651</v>
      </c>
      <c r="D82" s="5" t="str">
        <f>_xlfn.XLOOKUP(A82,全装!G:G,全装!I:I,"",0,1)</f>
        <v>FU-盖亚的套装-13254</v>
      </c>
      <c r="E82" s="5" t="s">
        <v>3696</v>
      </c>
      <c r="F82" s="11" t="s">
        <v>3739</v>
      </c>
      <c r="G82" t="s">
        <v>3698</v>
      </c>
      <c r="I82" t="str">
        <f t="shared" si="6"/>
        <v>r:"(?i)^Gaia's Sets$"=FU-盖亚的套装-13254</v>
      </c>
      <c r="J82">
        <f t="shared" si="4"/>
        <v>0</v>
      </c>
      <c r="K82" t="str">
        <f t="shared" si="5"/>
        <v>Gaia's Sets=FU-盖亚的套装-13254</v>
      </c>
    </row>
    <row r="83" ht="40.5" spans="1:11">
      <c r="A83" s="5" t="s">
        <v>1760</v>
      </c>
      <c r="B83" s="5" t="s">
        <v>1763</v>
      </c>
      <c r="C83" s="8" t="s">
        <v>1761</v>
      </c>
      <c r="D83" s="5" t="str">
        <f>_xlfn.XLOOKUP(A83,全装!G:G,全装!I:I,"",0,1)</f>
        <v>FU-盖亚的上衣-13254</v>
      </c>
      <c r="E83" s="5" t="s">
        <v>3696</v>
      </c>
      <c r="F83" s="11" t="s">
        <v>3740</v>
      </c>
      <c r="G83" t="s">
        <v>3698</v>
      </c>
      <c r="I83" t="str">
        <f t="shared" si="6"/>
        <v>r:"(?i)^Gaia's Top$"=FU-盖亚的上衣-13254</v>
      </c>
      <c r="J83">
        <f t="shared" si="4"/>
        <v>0</v>
      </c>
      <c r="K83" t="str">
        <f t="shared" si="5"/>
        <v>Gaia's Top=FU-盖亚的上衣-13254</v>
      </c>
    </row>
    <row r="84" ht="40.5" spans="1:11">
      <c r="A84" s="9" t="s">
        <v>661</v>
      </c>
      <c r="B84" s="5" t="s">
        <v>3741</v>
      </c>
      <c r="C84" s="8" t="s">
        <v>662</v>
      </c>
      <c r="D84" s="5" t="str">
        <f>_xlfn.XLOOKUP(A84,全装!G:G,全装!I:I,"",0,1)</f>
        <v>2_AUF-盖亚的下装-14145</v>
      </c>
      <c r="E84" s="5" t="s">
        <v>3696</v>
      </c>
      <c r="F84" s="11" t="s">
        <v>661</v>
      </c>
      <c r="G84" t="s">
        <v>3698</v>
      </c>
      <c r="I84" t="str">
        <f t="shared" si="6"/>
        <v>r:"(?i)^Gaia's Bottom$"=2_AUF-盖亚的下装-14145</v>
      </c>
      <c r="J84">
        <f t="shared" si="4"/>
        <v>1</v>
      </c>
      <c r="K84" t="str">
        <f t="shared" si="5"/>
        <v>Gaia's Bottom=2_AUF-盖亚的下装-14145</v>
      </c>
    </row>
    <row r="85" ht="40.5" spans="1:11">
      <c r="A85" s="14" t="s">
        <v>1573</v>
      </c>
      <c r="B85" s="5" t="s">
        <v>1574</v>
      </c>
      <c r="C85" s="8" t="s">
        <v>1574</v>
      </c>
      <c r="D85" s="5" t="str">
        <f>_xlfn.XLOOKUP(A85,全装!G:G,全装!I:I,"",0,1)</f>
        <v>WU-吊带袜腰带-41334</v>
      </c>
      <c r="E85" s="5" t="s">
        <v>3696</v>
      </c>
      <c r="F85" s="11" t="s">
        <v>1573</v>
      </c>
      <c r="G85" t="s">
        <v>3698</v>
      </c>
      <c r="I85" t="str">
        <f t="shared" si="6"/>
        <v>r:"(?i)^Garterbelt$"=WU-吊带袜腰带-41334</v>
      </c>
      <c r="J85">
        <f t="shared" si="4"/>
        <v>1</v>
      </c>
      <c r="K85" t="str">
        <f t="shared" si="5"/>
        <v>Garterbelt=WU-吊带袜腰带-41334</v>
      </c>
    </row>
    <row r="86" ht="40.5" spans="1:11">
      <c r="A86" s="9" t="s">
        <v>1404</v>
      </c>
      <c r="B86" s="5" t="s">
        <v>1407</v>
      </c>
      <c r="C86" s="8" t="s">
        <v>1405</v>
      </c>
      <c r="D86" s="5" t="str">
        <f>_xlfn.XLOOKUP(A86,全装!G:G,全装!I:I,"",0,1)</f>
        <v>FU-巨型扳手-11355</v>
      </c>
      <c r="E86" s="5" t="s">
        <v>3696</v>
      </c>
      <c r="F86" s="11" t="s">
        <v>1404</v>
      </c>
      <c r="G86" t="s">
        <v>3698</v>
      </c>
      <c r="I86" t="str">
        <f t="shared" si="6"/>
        <v>r:"(?i)^Giant Wrench$"=FU-巨型扳手-11355</v>
      </c>
      <c r="J86">
        <f t="shared" si="4"/>
        <v>1</v>
      </c>
      <c r="K86" t="str">
        <f t="shared" si="5"/>
        <v>Giant Wrench=FU-巨型扳手-11355</v>
      </c>
    </row>
    <row r="87" ht="40.5" spans="1:11">
      <c r="A87" s="5" t="s">
        <v>1400</v>
      </c>
      <c r="B87" s="5" t="s">
        <v>1403</v>
      </c>
      <c r="C87" s="8" t="s">
        <v>1401</v>
      </c>
      <c r="D87" s="5" t="str">
        <f>_xlfn.XLOOKUP(A87,全装!G:G,全装!I:I,"",0,1)</f>
        <v>FU-高尔夫球杆-13344</v>
      </c>
      <c r="E87" s="5" t="s">
        <v>3696</v>
      </c>
      <c r="F87" s="11" t="s">
        <v>1400</v>
      </c>
      <c r="G87" t="s">
        <v>3698</v>
      </c>
      <c r="I87" t="str">
        <f t="shared" si="6"/>
        <v>r:"(?i)^Golf$"=FU-高尔夫球杆-13344</v>
      </c>
      <c r="J87">
        <f t="shared" si="4"/>
        <v>1</v>
      </c>
      <c r="K87" t="str">
        <f t="shared" si="5"/>
        <v>Golf=FU-高尔夫球杆-13344</v>
      </c>
    </row>
    <row r="88" ht="40.5" spans="1:11">
      <c r="A88" s="14" t="s">
        <v>1631</v>
      </c>
      <c r="B88" s="5" t="s">
        <v>1634</v>
      </c>
      <c r="C88" s="8" t="s">
        <v>1632</v>
      </c>
      <c r="D88" s="5" t="str">
        <f>_xlfn.XLOOKUP(A88,全装!G:G,全装!I:I,"",0,1)</f>
        <v>W-枪手长裤-42333</v>
      </c>
      <c r="E88" s="5" t="s">
        <v>3696</v>
      </c>
      <c r="F88" s="11" t="s">
        <v>1631</v>
      </c>
      <c r="G88" t="s">
        <v>3698</v>
      </c>
      <c r="I88" t="str">
        <f t="shared" si="6"/>
        <v>r:"(?i)^Gunslinger Pants$"=W-枪手长裤-42333</v>
      </c>
      <c r="J88">
        <f t="shared" si="4"/>
        <v>1</v>
      </c>
      <c r="K88" t="str">
        <f t="shared" si="5"/>
        <v>Gunslinger Pants=W-枪手长裤-42333</v>
      </c>
    </row>
    <row r="89" ht="40.5" spans="1:11">
      <c r="A89" s="14" t="s">
        <v>1625</v>
      </c>
      <c r="B89" s="5" t="s">
        <v>1628</v>
      </c>
      <c r="C89" s="8" t="s">
        <v>1626</v>
      </c>
      <c r="D89" s="5" t="str">
        <f>_xlfn.XLOOKUP(A89,全装!G:G,全装!I:I,"",0,1)</f>
        <v>W-枪手上衣-51333</v>
      </c>
      <c r="E89" s="5" t="s">
        <v>3696</v>
      </c>
      <c r="F89" s="11" t="s">
        <v>1625</v>
      </c>
      <c r="G89" t="s">
        <v>3698</v>
      </c>
      <c r="I89" t="str">
        <f t="shared" si="6"/>
        <v>r:"(?i)^Gunslinger Top$"=W-枪手上衣-51333</v>
      </c>
      <c r="J89">
        <f t="shared" si="4"/>
        <v>1</v>
      </c>
      <c r="K89" t="str">
        <f t="shared" si="5"/>
        <v>Gunslinger Top=W-枪手上衣-51333</v>
      </c>
    </row>
    <row r="90" ht="40.5" spans="1:11">
      <c r="A90" s="14" t="s">
        <v>1154</v>
      </c>
      <c r="B90" s="5" t="s">
        <v>1158</v>
      </c>
      <c r="C90" s="8" t="s">
        <v>1155</v>
      </c>
      <c r="D90" s="5" t="str">
        <f>_xlfn.XLOOKUP(A90,全装!G:G,全装!I:I,"",0,1)</f>
        <v>W-染发剂-53133</v>
      </c>
      <c r="E90" s="5" t="s">
        <v>3696</v>
      </c>
      <c r="F90" s="11" t="s">
        <v>1154</v>
      </c>
      <c r="G90" t="s">
        <v>3698</v>
      </c>
      <c r="I90" t="str">
        <f t="shared" si="6"/>
        <v>r:"(?i)^Hair Dye$"=W-染发剂-53133</v>
      </c>
      <c r="J90">
        <f t="shared" si="4"/>
        <v>1</v>
      </c>
      <c r="K90" t="str">
        <f t="shared" si="5"/>
        <v>Hair Dye=W-染发剂-53133</v>
      </c>
    </row>
    <row r="91" ht="40.5" spans="1:11">
      <c r="A91" s="9" t="s">
        <v>1161</v>
      </c>
      <c r="B91" s="5" t="s">
        <v>1165</v>
      </c>
      <c r="C91" s="8" t="s">
        <v>1162</v>
      </c>
      <c r="D91" s="5" t="str">
        <f>_xlfn.XLOOKUP(A91,全装!G:G,全装!I:I,"",0,1)</f>
        <v>IUF-手工棒棒糖-11445</v>
      </c>
      <c r="E91" s="5" t="s">
        <v>3696</v>
      </c>
      <c r="F91" s="11" t="s">
        <v>1161</v>
      </c>
      <c r="G91" t="s">
        <v>3698</v>
      </c>
      <c r="I91" t="str">
        <f t="shared" si="6"/>
        <v>r:"(?i)^Handmade Lollipop$"=IUF-手工棒棒糖-11445</v>
      </c>
      <c r="J91">
        <f t="shared" si="4"/>
        <v>1</v>
      </c>
      <c r="K91" t="str">
        <f t="shared" si="5"/>
        <v>Handmade Lollipop=IUF-手工棒棒糖-11445</v>
      </c>
    </row>
    <row r="92" ht="40.5" spans="1:11">
      <c r="A92" s="14" t="s">
        <v>1658</v>
      </c>
      <c r="B92" t="s">
        <v>1662</v>
      </c>
      <c r="C92" s="10" t="s">
        <v>1659</v>
      </c>
      <c r="D92" s="5" t="str">
        <f>_xlfn.XLOOKUP(A92,全装!G:G,全装!I:I,"",0,1)</f>
        <v>C.WAI-#痛苦先驱-54511</v>
      </c>
      <c r="E92" s="5" t="s">
        <v>3696</v>
      </c>
      <c r="F92" s="11" t="s">
        <v>3742</v>
      </c>
      <c r="G92" t="s">
        <v>3698</v>
      </c>
      <c r="I92" t="str">
        <f t="shared" si="6"/>
        <v>r:"(?i)^Harbringers of Pain$"=C.WAI-#痛苦先驱-54511</v>
      </c>
      <c r="J92">
        <f t="shared" si="4"/>
        <v>1</v>
      </c>
      <c r="K92" t="str">
        <f t="shared" si="5"/>
        <v>Harbringers of Pain=C.WAI-#痛苦先驱-54511</v>
      </c>
    </row>
    <row r="93" ht="40.5" spans="1:11">
      <c r="A93" s="16" t="s">
        <v>1562</v>
      </c>
      <c r="B93" s="5" t="s">
        <v>1565</v>
      </c>
      <c r="C93" s="8" t="s">
        <v>1563</v>
      </c>
      <c r="D93" s="5" t="str">
        <f>_xlfn.XLOOKUP(A93,全装!G:G,全装!I:I,"",0,1)</f>
        <v>WF-鱼叉枪-41343</v>
      </c>
      <c r="E93" s="5" t="s">
        <v>3696</v>
      </c>
      <c r="F93" s="11" t="s">
        <v>1562</v>
      </c>
      <c r="G93" t="s">
        <v>3698</v>
      </c>
      <c r="I93" t="str">
        <f t="shared" si="6"/>
        <v>r:"(?i)^Harpoon Gun$"=WF-鱼叉枪-41343</v>
      </c>
      <c r="J93">
        <f t="shared" si="4"/>
        <v>1</v>
      </c>
      <c r="K93" t="str">
        <f t="shared" si="5"/>
        <v>Harpoon Gun=WF-鱼叉枪-41343</v>
      </c>
    </row>
    <row r="94" ht="40.5" spans="1:11">
      <c r="A94" s="5" t="s">
        <v>1707</v>
      </c>
      <c r="B94" s="5" t="s">
        <v>1710</v>
      </c>
      <c r="C94" s="8" t="s">
        <v>1708</v>
      </c>
      <c r="D94" s="5" t="str">
        <f>_xlfn.XLOOKUP(A94,全装!G:G,全装!I:I,"",0,1)</f>
        <v>AFU-重型水管-14244</v>
      </c>
      <c r="E94" s="5" t="s">
        <v>3696</v>
      </c>
      <c r="F94" s="11" t="s">
        <v>1707</v>
      </c>
      <c r="G94" t="s">
        <v>3698</v>
      </c>
      <c r="I94" t="str">
        <f t="shared" si="6"/>
        <v>r:"(?i)^Heavy Pipe$"=AFU-重型水管-14244</v>
      </c>
      <c r="J94">
        <f t="shared" si="4"/>
        <v>1</v>
      </c>
      <c r="K94" t="str">
        <f t="shared" si="5"/>
        <v>Heavy Pipe=AFU-重型水管-14244</v>
      </c>
    </row>
    <row r="95" ht="40.5" spans="1:11">
      <c r="A95" s="9" t="s">
        <v>1415</v>
      </c>
      <c r="B95" s="5" t="s">
        <v>1418</v>
      </c>
      <c r="C95" s="8" t="s">
        <v>1416</v>
      </c>
      <c r="D95" s="5" t="str">
        <f>_xlfn.XLOOKUP(A95,全装!G:G,全装!I:I,"",0,1)</f>
        <v>FU-重型扳手-11355</v>
      </c>
      <c r="E95" s="5" t="s">
        <v>3696</v>
      </c>
      <c r="F95" s="11" t="s">
        <v>1415</v>
      </c>
      <c r="G95" t="s">
        <v>3698</v>
      </c>
      <c r="I95" t="str">
        <f t="shared" si="6"/>
        <v>r:"(?i)^Heavy Wrench$"=FU-重型扳手-11355</v>
      </c>
      <c r="J95">
        <f t="shared" si="4"/>
        <v>1</v>
      </c>
      <c r="K95" t="str">
        <f t="shared" si="5"/>
        <v>Heavy Wrench=FU-重型扳手-11355</v>
      </c>
    </row>
    <row r="96" ht="40.5" spans="1:11">
      <c r="A96" s="5" t="s">
        <v>1049</v>
      </c>
      <c r="B96" s="5" t="s">
        <v>1053</v>
      </c>
      <c r="C96" s="8" t="s">
        <v>1050</v>
      </c>
      <c r="D96" s="5" t="str">
        <f>_xlfn.XLOOKUP(A96,全装!G:G,全装!I:I,"",0,1)</f>
        <v>IF-高压电击器-22443</v>
      </c>
      <c r="E96" s="5" t="s">
        <v>3696</v>
      </c>
      <c r="F96" s="11" t="s">
        <v>1049</v>
      </c>
      <c r="G96" t="s">
        <v>3698</v>
      </c>
      <c r="I96" t="str">
        <f t="shared" si="6"/>
        <v>r:"(?i)^High-Volt Tazer$"=IF-高压电击器-22443</v>
      </c>
      <c r="J96">
        <f t="shared" si="4"/>
        <v>1</v>
      </c>
      <c r="K96" t="str">
        <f t="shared" si="5"/>
        <v>High-Volt Tazer=IF-高压电击器-22443</v>
      </c>
    </row>
    <row r="97" ht="40.5" spans="1:11">
      <c r="A97" s="5" t="s">
        <v>1335</v>
      </c>
      <c r="B97" s="5" t="s">
        <v>1338</v>
      </c>
      <c r="C97" s="8" t="s">
        <v>1336</v>
      </c>
      <c r="D97" s="5" t="str">
        <f>_xlfn.XLOOKUP(A97,全装!G:G,全装!I:I,"",0,1)</f>
        <v>A-狩猎匕首-24333</v>
      </c>
      <c r="E97" s="5" t="s">
        <v>3696</v>
      </c>
      <c r="F97" s="11" t="s">
        <v>1335</v>
      </c>
      <c r="G97" t="s">
        <v>3698</v>
      </c>
      <c r="I97" t="str">
        <f t="shared" si="6"/>
        <v>r:"(?i)^Hunting Dagger$"=A-狩猎匕首-24333</v>
      </c>
      <c r="J97">
        <f t="shared" si="4"/>
        <v>1</v>
      </c>
      <c r="K97" t="str">
        <f t="shared" si="5"/>
        <v>Hunting Dagger=A-狩猎匕首-24333</v>
      </c>
    </row>
    <row r="98" ht="40.5" spans="1:11">
      <c r="A98" s="5" t="s">
        <v>1448</v>
      </c>
      <c r="B98" s="5" t="s">
        <v>1451</v>
      </c>
      <c r="C98" s="8" t="s">
        <v>1449</v>
      </c>
      <c r="D98" s="5" t="str">
        <f>_xlfn.XLOOKUP(A98,全装!G:G,全装!I:I,"",0,1)</f>
        <v>F-改良霰弹枪-32352</v>
      </c>
      <c r="E98" s="5" t="s">
        <v>3696</v>
      </c>
      <c r="F98" s="11" t="s">
        <v>1448</v>
      </c>
      <c r="G98" t="s">
        <v>3698</v>
      </c>
      <c r="I98" t="str">
        <f t="shared" si="6"/>
        <v>r:"(?i)^Improved Shotgun$"=F-改良霰弹枪-32352</v>
      </c>
      <c r="J98">
        <f t="shared" si="4"/>
        <v>1</v>
      </c>
      <c r="K98" t="str">
        <f t="shared" si="5"/>
        <v>Improved Shotgun=F-改良霰弹枪-32352</v>
      </c>
    </row>
    <row r="99" ht="40.5" spans="1:11">
      <c r="A99" s="14" t="s">
        <v>1663</v>
      </c>
      <c r="B99" s="5" t="s">
        <v>3743</v>
      </c>
      <c r="C99" s="8" t="s">
        <v>1664</v>
      </c>
      <c r="D99" s="5" t="str">
        <f>_xlfn.XLOOKUP(A99,全装!G:G,全装!I:I,"",0,1)</f>
        <v>④.WF-渗透者套装-41343</v>
      </c>
      <c r="E99" s="5" t="s">
        <v>3696</v>
      </c>
      <c r="F99" s="11" t="s">
        <v>1663</v>
      </c>
      <c r="G99" t="s">
        <v>3698</v>
      </c>
      <c r="I99" t="str">
        <f t="shared" si="6"/>
        <v>r:"(?i)^Infiltrator Suit$"=④.WF-渗透者套装-41343</v>
      </c>
      <c r="J99">
        <f t="shared" si="4"/>
        <v>1</v>
      </c>
      <c r="K99" t="str">
        <f t="shared" si="5"/>
        <v>Infiltrator Suit=④.WF-渗透者套装-41343</v>
      </c>
    </row>
    <row r="100" ht="40.5" spans="1:11">
      <c r="A100" s="9" t="s">
        <v>1024</v>
      </c>
      <c r="B100" s="12" t="s">
        <v>1028</v>
      </c>
      <c r="C100" s="13" t="s">
        <v>1025</v>
      </c>
      <c r="D100" s="5" t="str">
        <f>_xlfn.XLOOKUP(A100,全装!G:G,全装!I:I,"",0,1)</f>
        <v>AI-艾尔玛的上衣-24432</v>
      </c>
      <c r="E100" s="5" t="s">
        <v>3696</v>
      </c>
      <c r="F100" s="11" t="s">
        <v>3744</v>
      </c>
      <c r="G100" t="s">
        <v>3698</v>
      </c>
      <c r="I100" t="str">
        <f t="shared" si="6"/>
        <v>r:"(?i)^Irma's Top$"=AI-艾尔玛的上衣-24432</v>
      </c>
      <c r="J100">
        <f t="shared" si="4"/>
        <v>0</v>
      </c>
      <c r="K100" t="str">
        <f t="shared" si="5"/>
        <v>Irma's Top=AI-艾尔玛的上衣-24432</v>
      </c>
    </row>
    <row r="101" ht="40.5" spans="1:11">
      <c r="A101" s="9" t="s">
        <v>1017</v>
      </c>
      <c r="B101" s="12" t="s">
        <v>1021</v>
      </c>
      <c r="C101" s="13" t="s">
        <v>1018</v>
      </c>
      <c r="D101" s="5" t="str">
        <f>_xlfn.XLOOKUP(A101,全装!G:G,全装!I:I,"",0,1)</f>
        <v>AI-艾尔玛的下装-24432</v>
      </c>
      <c r="E101" s="5" t="s">
        <v>3696</v>
      </c>
      <c r="F101" s="11" t="s">
        <v>1017</v>
      </c>
      <c r="G101" t="s">
        <v>3698</v>
      </c>
      <c r="I101" t="str">
        <f t="shared" si="6"/>
        <v>r:"(?i)^Irma's Bottom$"=AI-艾尔玛的下装-24432</v>
      </c>
      <c r="J101">
        <f t="shared" si="4"/>
        <v>1</v>
      </c>
      <c r="K101" t="str">
        <f t="shared" si="5"/>
        <v>Irma's Bottom=AI-艾尔玛的下装-24432</v>
      </c>
    </row>
    <row r="102" ht="40.5" spans="1:11">
      <c r="A102" s="9" t="s">
        <v>1675</v>
      </c>
      <c r="B102" s="5" t="s">
        <v>1677</v>
      </c>
      <c r="C102" s="8" t="s">
        <v>1676</v>
      </c>
      <c r="D102" s="5" t="str">
        <f>_xlfn.XLOOKUP(A102,全装!G:G,全装!I:I,"",0,1)</f>
        <v>茉莉的夜晚(X)-00000</v>
      </c>
      <c r="E102" s="5" t="s">
        <v>3696</v>
      </c>
      <c r="F102" s="11" t="s">
        <v>1675</v>
      </c>
      <c r="G102" t="s">
        <v>3698</v>
      </c>
      <c r="I102" t="str">
        <f t="shared" si="6"/>
        <v>r:"(?i)^Jasmine's Nights$"=茉莉的夜晚(X)-00000</v>
      </c>
      <c r="J102">
        <f t="shared" si="4"/>
        <v>1</v>
      </c>
      <c r="K102" t="str">
        <f t="shared" si="5"/>
        <v>Jasmine's Nights=茉莉的夜晚(X)-00000</v>
      </c>
    </row>
    <row r="103" ht="40.5" spans="1:11">
      <c r="A103" s="14" t="s">
        <v>1679</v>
      </c>
      <c r="B103" s="5" t="s">
        <v>3745</v>
      </c>
      <c r="C103" s="8" t="s">
        <v>1680</v>
      </c>
      <c r="D103" s="5" t="str">
        <f>_xlfn.XLOOKUP(A103,全装!G:G,全装!I:I,"",0,1)</f>
        <v>⑤.WF-妒忌制造者-42342</v>
      </c>
      <c r="E103" s="5" t="s">
        <v>3696</v>
      </c>
      <c r="F103" s="11" t="s">
        <v>1679</v>
      </c>
      <c r="G103" t="s">
        <v>3698</v>
      </c>
      <c r="I103" t="str">
        <f t="shared" si="6"/>
        <v>r:"(?i)^Jealousy Bringer$"=⑤.WF-妒忌制造者-42342</v>
      </c>
      <c r="J103">
        <f t="shared" si="4"/>
        <v>1</v>
      </c>
      <c r="K103" t="str">
        <f t="shared" si="5"/>
        <v>Jealousy Bringer=⑤.WF-妒忌制造者-42342</v>
      </c>
    </row>
    <row r="104" ht="40.5" spans="1:11">
      <c r="A104" s="5" t="s">
        <v>1689</v>
      </c>
      <c r="B104" s="5" t="s">
        <v>1690</v>
      </c>
      <c r="C104" s="8" t="s">
        <v>1690</v>
      </c>
      <c r="D104" s="5" t="str">
        <f>_xlfn.XLOOKUP(A104,全装!G:G,全装!I:I,"",0,1)</f>
        <v>JNT套装-33333</v>
      </c>
      <c r="E104" s="5" t="s">
        <v>3696</v>
      </c>
      <c r="F104" s="11" t="s">
        <v>1689</v>
      </c>
      <c r="G104" t="s">
        <v>3698</v>
      </c>
      <c r="I104" t="str">
        <f t="shared" si="6"/>
        <v>r:"(?i)^JNT Set$"=JNT套装-33333</v>
      </c>
      <c r="J104">
        <f t="shared" si="4"/>
        <v>1</v>
      </c>
      <c r="K104" t="str">
        <f t="shared" si="5"/>
        <v>JNT Set=JNT套装-33333</v>
      </c>
    </row>
    <row r="105" ht="40.5" spans="1:11">
      <c r="A105" s="9" t="s">
        <v>1316</v>
      </c>
      <c r="B105" s="5" t="s">
        <v>1319</v>
      </c>
      <c r="C105" s="8" t="s">
        <v>1317</v>
      </c>
      <c r="D105" s="5" t="str">
        <f>_xlfn.XLOOKUP(A105,全装!G:G,全装!I:I,"",0,1)</f>
        <v>AU-武士刀-24324</v>
      </c>
      <c r="E105" s="5" t="s">
        <v>3696</v>
      </c>
      <c r="F105" s="11" t="s">
        <v>1316</v>
      </c>
      <c r="G105" t="s">
        <v>3698</v>
      </c>
      <c r="I105" t="str">
        <f t="shared" si="6"/>
        <v>r:"(?i)^Katana$"=AU-武士刀-24324</v>
      </c>
      <c r="J105">
        <f t="shared" si="4"/>
        <v>1</v>
      </c>
      <c r="K105" t="str">
        <f t="shared" si="5"/>
        <v>Katana=AU-武士刀-24324</v>
      </c>
    </row>
    <row r="106" ht="40.5" spans="1:11">
      <c r="A106" s="9" t="s">
        <v>1727</v>
      </c>
      <c r="B106" s="5" t="s">
        <v>1730</v>
      </c>
      <c r="C106" s="8" t="s">
        <v>1728</v>
      </c>
      <c r="D106" s="5" t="str">
        <f>_xlfn.XLOOKUP(A106,全装!G:G,全装!I:I,"",0,1)</f>
        <v>AU-杀手连衣裙-24324</v>
      </c>
      <c r="E106" s="5" t="s">
        <v>3696</v>
      </c>
      <c r="F106" s="11" t="s">
        <v>1727</v>
      </c>
      <c r="G106" t="s">
        <v>3698</v>
      </c>
      <c r="I106" t="str">
        <f t="shared" si="6"/>
        <v>r:"(?i)^Killer Dress$"=AU-杀手连衣裙-24324</v>
      </c>
      <c r="J106">
        <f t="shared" si="4"/>
        <v>1</v>
      </c>
      <c r="K106" t="str">
        <f t="shared" si="5"/>
        <v>Killer Dress=AU-杀手连衣裙-24324</v>
      </c>
    </row>
    <row r="107" ht="40.5" spans="1:11">
      <c r="A107" s="5" t="s">
        <v>1731</v>
      </c>
      <c r="B107" s="5" t="s">
        <v>3746</v>
      </c>
      <c r="C107" s="8" t="s">
        <v>1732</v>
      </c>
      <c r="D107" s="5" t="str">
        <f>_xlfn.XLOOKUP(A107,全装!G:G,全装!I:I,"",0,1)</f>
        <v>④.IFU-金的泳装-12444</v>
      </c>
      <c r="E107" s="5" t="s">
        <v>3696</v>
      </c>
      <c r="F107" s="11" t="s">
        <v>3747</v>
      </c>
      <c r="G107" t="s">
        <v>3698</v>
      </c>
      <c r="I107" t="str">
        <f t="shared" si="6"/>
        <v>r:"(?i)^Kim's Swimsuit$"=④.IFU-金的泳装-12444</v>
      </c>
      <c r="J107">
        <f t="shared" si="4"/>
        <v>0</v>
      </c>
      <c r="K107" t="str">
        <f t="shared" si="5"/>
        <v>Kim's Swimsuit=④.IFU-金的泳装-12444</v>
      </c>
    </row>
    <row r="108" ht="40.5" spans="1:11">
      <c r="A108" s="9" t="s">
        <v>1793</v>
      </c>
      <c r="B108" s="5" t="s">
        <v>1794</v>
      </c>
      <c r="C108" s="8" t="s">
        <v>1794</v>
      </c>
      <c r="D108" s="5" t="str">
        <f>_xlfn.XLOOKUP(A108,全装!G:G,全装!I:I,"",0,1)</f>
        <v>UF-蕾丝牛仔裤-12245</v>
      </c>
      <c r="E108" s="5" t="s">
        <v>3696</v>
      </c>
      <c r="F108" s="11" t="s">
        <v>1793</v>
      </c>
      <c r="G108" t="s">
        <v>3698</v>
      </c>
      <c r="I108" t="str">
        <f t="shared" si="6"/>
        <v>r:"(?i)^Lace Jeans$"=UF-蕾丝牛仔裤-12245</v>
      </c>
      <c r="J108">
        <f t="shared" si="4"/>
        <v>1</v>
      </c>
      <c r="K108" t="str">
        <f t="shared" si="5"/>
        <v>Lace Jeans=UF-蕾丝牛仔裤-12245</v>
      </c>
    </row>
    <row r="109" ht="40.5" spans="1:11">
      <c r="A109" s="5" t="s">
        <v>1065</v>
      </c>
      <c r="B109" s="5" t="s">
        <v>3748</v>
      </c>
      <c r="C109" s="8" t="s">
        <v>1066</v>
      </c>
      <c r="D109" s="5" t="str">
        <f>_xlfn.XLOOKUP(A109,全装!G:G,全装!I:I,"",0,1)</f>
        <v>IF-系带短裤-23442</v>
      </c>
      <c r="E109" s="5" t="s">
        <v>3696</v>
      </c>
      <c r="F109" s="11" t="s">
        <v>1065</v>
      </c>
      <c r="G109" t="s">
        <v>3698</v>
      </c>
      <c r="I109" t="str">
        <f t="shared" si="6"/>
        <v>r:"(?i)^Lace-up Shorts$"=IF-系带短裤-23442</v>
      </c>
      <c r="J109">
        <f t="shared" si="4"/>
        <v>1</v>
      </c>
      <c r="K109" t="str">
        <f t="shared" si="5"/>
        <v>Lace-up Shorts=IF-系带短裤-23442</v>
      </c>
    </row>
    <row r="110" ht="40.5" spans="1:11">
      <c r="A110" s="14" t="s">
        <v>1611</v>
      </c>
      <c r="B110" s="5" t="s">
        <v>1612</v>
      </c>
      <c r="C110" s="8" t="s">
        <v>1612</v>
      </c>
      <c r="D110" s="5" t="str">
        <f>_xlfn.XLOOKUP(A110,全装!G:G,全装!I:I,"",0,1)</f>
        <v>W-系带上衣-43323</v>
      </c>
      <c r="E110" s="5" t="s">
        <v>3696</v>
      </c>
      <c r="F110" s="11" t="s">
        <v>1611</v>
      </c>
      <c r="G110" t="s">
        <v>3698</v>
      </c>
      <c r="I110" t="str">
        <f t="shared" si="6"/>
        <v>r:"(?i)^Lace-up Top$"=W-系带上衣-43323</v>
      </c>
      <c r="J110">
        <f t="shared" si="4"/>
        <v>1</v>
      </c>
      <c r="K110" t="str">
        <f t="shared" si="5"/>
        <v>Lace-up Top=W-系带上衣-43323</v>
      </c>
    </row>
    <row r="111" ht="40.5" spans="1:11">
      <c r="A111" s="5" t="s">
        <v>1711</v>
      </c>
      <c r="B111" s="5" t="s">
        <v>1714</v>
      </c>
      <c r="C111" s="8" t="s">
        <v>1712</v>
      </c>
      <c r="D111" s="5" t="str">
        <f>_xlfn.XLOOKUP(A111,全装!G:G,全装!I:I,"",0,1)</f>
        <v>AF-大型电击器-24252</v>
      </c>
      <c r="E111" s="5" t="s">
        <v>3696</v>
      </c>
      <c r="F111" s="11" t="s">
        <v>1711</v>
      </c>
      <c r="G111" t="s">
        <v>3698</v>
      </c>
      <c r="I111" t="str">
        <f t="shared" si="6"/>
        <v>r:"(?i)^Large Tazer$"=AF-大型电击器-24252</v>
      </c>
      <c r="J111">
        <f t="shared" si="4"/>
        <v>1</v>
      </c>
      <c r="K111" t="str">
        <f t="shared" si="5"/>
        <v>Large Tazer=AF-大型电击器-24252</v>
      </c>
    </row>
    <row r="112" ht="40.5" spans="1:11">
      <c r="A112" s="9" t="s">
        <v>1143</v>
      </c>
      <c r="B112" s="5" t="s">
        <v>1147</v>
      </c>
      <c r="C112" s="8" t="s">
        <v>1144</v>
      </c>
      <c r="D112" s="5" t="str">
        <f>_xlfn.XLOOKUP(A112,全装!G:G,全装!I:I,"",0,1)</f>
        <v>I-最后手段-32433</v>
      </c>
      <c r="E112" s="5" t="s">
        <v>3696</v>
      </c>
      <c r="F112" s="11" t="s">
        <v>1143</v>
      </c>
      <c r="G112" t="s">
        <v>3698</v>
      </c>
      <c r="I112" t="str">
        <f t="shared" si="6"/>
        <v>r:"(?i)^Last Resort$"=I-最后手段-32433</v>
      </c>
      <c r="J112">
        <f t="shared" si="4"/>
        <v>1</v>
      </c>
      <c r="K112" t="str">
        <f t="shared" si="5"/>
        <v>Last Resort=I-最后手段-32433</v>
      </c>
    </row>
    <row r="113" ht="40.5" spans="1:11">
      <c r="A113" s="5" t="s">
        <v>1736</v>
      </c>
      <c r="B113" s="5" t="s">
        <v>3749</v>
      </c>
      <c r="C113" s="8" t="s">
        <v>1737</v>
      </c>
      <c r="D113" s="5" t="str">
        <f>_xlfn.XLOOKUP(A113,全装!G:G,全装!I:I,"",0,1)</f>
        <v>④.IFU-领路者套装-12444</v>
      </c>
      <c r="E113" s="5" t="s">
        <v>3696</v>
      </c>
      <c r="F113" s="11" t="s">
        <v>1736</v>
      </c>
      <c r="G113" t="s">
        <v>3698</v>
      </c>
      <c r="I113" t="str">
        <f t="shared" si="6"/>
        <v>r:"(?i)^Leader Set$"=④.IFU-领路者套装-12444</v>
      </c>
      <c r="J113">
        <f t="shared" si="4"/>
        <v>1</v>
      </c>
      <c r="K113" t="str">
        <f t="shared" si="5"/>
        <v>Leader Set=④.IFU-领路者套装-12444</v>
      </c>
    </row>
    <row r="114" ht="40.5" spans="1:11">
      <c r="A114" s="9" t="s">
        <v>1351</v>
      </c>
      <c r="B114" s="5" t="s">
        <v>1354</v>
      </c>
      <c r="C114" s="8" t="s">
        <v>1352</v>
      </c>
      <c r="D114" s="5" t="str">
        <f>_xlfn.XLOOKUP(A114,全装!G:G,全装!I:I,"",0,1)</f>
        <v>A-联盟长裤-24333</v>
      </c>
      <c r="E114" s="5" t="s">
        <v>3696</v>
      </c>
      <c r="F114" s="11" t="s">
        <v>1351</v>
      </c>
      <c r="G114" t="s">
        <v>3698</v>
      </c>
      <c r="I114" t="str">
        <f t="shared" si="6"/>
        <v>r:"(?i)^League Pants$"=A-联盟长裤-24333</v>
      </c>
      <c r="J114">
        <f t="shared" si="4"/>
        <v>1</v>
      </c>
      <c r="K114" t="str">
        <f t="shared" si="5"/>
        <v>League Pants=A-联盟长裤-24333</v>
      </c>
    </row>
    <row r="115" ht="40.5" spans="1:11">
      <c r="A115" s="9" t="s">
        <v>1521</v>
      </c>
      <c r="B115" s="5" t="s">
        <v>1524</v>
      </c>
      <c r="C115" s="8" t="s">
        <v>1522</v>
      </c>
      <c r="D115" s="5" t="str">
        <f>_xlfn.XLOOKUP(A115,全装!G:G,全装!I:I,"",0,1)</f>
        <v>U-联盟短裤-23334</v>
      </c>
      <c r="E115" s="5" t="s">
        <v>3696</v>
      </c>
      <c r="F115" s="11" t="s">
        <v>1521</v>
      </c>
      <c r="G115" t="s">
        <v>3698</v>
      </c>
      <c r="I115" t="str">
        <f t="shared" si="6"/>
        <v>r:"(?i)^League Shorts$"=U-联盟短裤-23334</v>
      </c>
      <c r="J115">
        <f t="shared" si="4"/>
        <v>1</v>
      </c>
      <c r="K115" t="str">
        <f t="shared" si="5"/>
        <v>League Shorts=U-联盟短裤-23334</v>
      </c>
    </row>
    <row r="116" ht="40.5" spans="1:11">
      <c r="A116" s="9" t="s">
        <v>1779</v>
      </c>
      <c r="B116" s="5" t="s">
        <v>1782</v>
      </c>
      <c r="C116" s="8" t="s">
        <v>1780</v>
      </c>
      <c r="D116" s="5" t="str">
        <f>_xlfn.XLOOKUP(A116,全装!G:G,全装!I:I,"",0,1)</f>
        <v>FU-联盟上衣（胸罩款）-13254</v>
      </c>
      <c r="E116" s="5" t="s">
        <v>3696</v>
      </c>
      <c r="F116" s="11" t="s">
        <v>1779</v>
      </c>
      <c r="G116" t="s">
        <v>3698</v>
      </c>
      <c r="I116" t="str">
        <f t="shared" si="6"/>
        <v>r:"(?i)^League Top (bra)$"=FU-联盟上衣（胸罩款）-13254</v>
      </c>
      <c r="J116">
        <f t="shared" si="4"/>
        <v>1</v>
      </c>
      <c r="K116" t="str">
        <f t="shared" si="5"/>
        <v>League Top (bra)=FU-联盟上衣（胸罩款）-13254</v>
      </c>
    </row>
    <row r="117" ht="40.5" spans="1:11">
      <c r="A117" s="9" t="s">
        <v>1424</v>
      </c>
      <c r="B117" s="5" t="s">
        <v>1427</v>
      </c>
      <c r="C117" s="8" t="s">
        <v>1425</v>
      </c>
      <c r="D117" s="5" t="str">
        <f>_xlfn.XLOOKUP(A117,全装!G:G,全装!I:I,"",0,1)</f>
        <v>FU-联盟上衣（马甲款）-13344</v>
      </c>
      <c r="E117" s="5" t="s">
        <v>3696</v>
      </c>
      <c r="F117" s="11" t="s">
        <v>1424</v>
      </c>
      <c r="G117" t="s">
        <v>3698</v>
      </c>
      <c r="I117" t="str">
        <f t="shared" si="6"/>
        <v>r:"(?i)^League Top (vest)$"=FU-联盟上衣（马甲款）-13344</v>
      </c>
      <c r="J117">
        <f t="shared" si="4"/>
        <v>1</v>
      </c>
      <c r="K117" t="str">
        <f t="shared" si="5"/>
        <v>League Top (vest)=FU-联盟上衣（马甲款）-13344</v>
      </c>
    </row>
    <row r="118" ht="40.5" spans="1:11">
      <c r="A118" s="16" t="s">
        <v>1594</v>
      </c>
      <c r="B118" s="5" t="s">
        <v>1595</v>
      </c>
      <c r="C118" s="8" t="s">
        <v>1595</v>
      </c>
      <c r="D118" s="5" t="str">
        <f>_xlfn.XLOOKUP(A118,全装!G:G,全装!I:I,"",0,1)</f>
        <v>W-皮夹克-42333</v>
      </c>
      <c r="E118" s="5" t="s">
        <v>3696</v>
      </c>
      <c r="F118" s="11" t="s">
        <v>1594</v>
      </c>
      <c r="G118" t="s">
        <v>3698</v>
      </c>
      <c r="I118" t="str">
        <f t="shared" si="6"/>
        <v>r:"(?i)^Leather Jacket$"=W-皮夹克-42333</v>
      </c>
      <c r="J118">
        <f t="shared" si="4"/>
        <v>1</v>
      </c>
      <c r="K118" t="str">
        <f t="shared" si="5"/>
        <v>Leather Jacket=W-皮夹克-42333</v>
      </c>
    </row>
    <row r="119" ht="40.5" spans="1:11">
      <c r="A119" s="9" t="s">
        <v>1755</v>
      </c>
      <c r="B119" s="12" t="s">
        <v>3750</v>
      </c>
      <c r="C119" s="13" t="s">
        <v>1756</v>
      </c>
      <c r="D119" s="5" t="str">
        <f>_xlfn.XLOOKUP(A119,全装!G:G,全装!I:I,"",0,1)</f>
        <v>②.AF-解放者套装-15243</v>
      </c>
      <c r="E119" s="5" t="s">
        <v>3696</v>
      </c>
      <c r="F119" s="11" t="s">
        <v>1755</v>
      </c>
      <c r="G119" t="s">
        <v>3698</v>
      </c>
      <c r="I119" t="str">
        <f t="shared" si="6"/>
        <v>r:"(?i)^Liberator Suit$"=②.AF-解放者套装-15243</v>
      </c>
      <c r="J119">
        <f t="shared" si="4"/>
        <v>1</v>
      </c>
      <c r="K119" t="str">
        <f t="shared" si="5"/>
        <v>Liberator Suit=②.AF-解放者套装-15243</v>
      </c>
    </row>
    <row r="120" ht="40.5" spans="1:11">
      <c r="A120" s="9" t="s">
        <v>1492</v>
      </c>
      <c r="B120" s="5" t="s">
        <v>1493</v>
      </c>
      <c r="C120" s="8" t="s">
        <v>1493</v>
      </c>
      <c r="D120" s="5" t="str">
        <f>_xlfn.XLOOKUP(A120,全装!G:G,全装!I:I,"",0,1)</f>
        <v>F-线条迷你裙-23342</v>
      </c>
      <c r="E120" s="5" t="s">
        <v>3696</v>
      </c>
      <c r="F120" s="11" t="s">
        <v>1492</v>
      </c>
      <c r="G120" t="s">
        <v>3698</v>
      </c>
      <c r="I120" t="str">
        <f t="shared" si="6"/>
        <v>r:"(?i)^Line Mini$"=F-线条迷你裙-23342</v>
      </c>
      <c r="J120">
        <f t="shared" si="4"/>
        <v>1</v>
      </c>
      <c r="K120" t="str">
        <f t="shared" si="5"/>
        <v>Line Mini=F-线条迷你裙-23342</v>
      </c>
    </row>
    <row r="121" ht="40.5" spans="1:11">
      <c r="A121" s="9" t="s">
        <v>1769</v>
      </c>
      <c r="B121" s="5" t="s">
        <v>3751</v>
      </c>
      <c r="C121" s="8" t="s">
        <v>1770</v>
      </c>
      <c r="D121" s="5" t="str">
        <f>_xlfn.XLOOKUP(A121,全装!G:G,全装!I:I,"",0,1)</f>
        <v>④.AF-丽莎的甲壳-14253</v>
      </c>
      <c r="E121" s="5" t="s">
        <v>3696</v>
      </c>
      <c r="F121" s="11" t="s">
        <v>3752</v>
      </c>
      <c r="G121" t="s">
        <v>3698</v>
      </c>
      <c r="I121" t="str">
        <f t="shared" si="6"/>
        <v>r:"(?i)^Liza's Chitina$"=④.AF-丽莎的甲壳-14253</v>
      </c>
      <c r="J121">
        <f t="shared" si="4"/>
        <v>0</v>
      </c>
      <c r="K121" t="str">
        <f t="shared" si="5"/>
        <v>Liza's Chitina=④.AF-丽莎的甲壳-14253</v>
      </c>
    </row>
    <row r="122" ht="40.5" spans="1:11">
      <c r="A122" s="5" t="s">
        <v>684</v>
      </c>
      <c r="B122" s="5" t="s">
        <v>3753</v>
      </c>
      <c r="C122" s="8" t="s">
        <v>685</v>
      </c>
      <c r="D122" s="5" t="str">
        <f>_xlfn.XLOOKUP(A122,全装!G:G,全装!I:I,"",0,1)</f>
        <v>③.3_AFU-丽莎的翅翼-14244</v>
      </c>
      <c r="E122" s="5" t="s">
        <v>3696</v>
      </c>
      <c r="F122" s="11" t="s">
        <v>3754</v>
      </c>
      <c r="G122" t="s">
        <v>3698</v>
      </c>
      <c r="I122" t="str">
        <f t="shared" si="6"/>
        <v>r:"(?i)^Liza's Wings$"=③.3_AFU-丽莎的翅翼-14244</v>
      </c>
      <c r="J122">
        <f t="shared" si="4"/>
        <v>0</v>
      </c>
      <c r="K122" t="str">
        <f t="shared" si="5"/>
        <v>Liza's Wings=③.3_AFU-丽莎的翅翼-14244</v>
      </c>
    </row>
    <row r="123" ht="40.5" spans="1:11">
      <c r="A123" s="5" t="s">
        <v>1715</v>
      </c>
      <c r="B123" s="5" t="s">
        <v>1719</v>
      </c>
      <c r="C123" s="8" t="s">
        <v>1716</v>
      </c>
      <c r="D123" s="5" t="str">
        <f>_xlfn.XLOOKUP(A123,全装!G:G,全装!I:I,"",0,1)</f>
        <v>AF-丽莎的腹部-14253</v>
      </c>
      <c r="E123" s="5" t="s">
        <v>3696</v>
      </c>
      <c r="F123" s="11" t="s">
        <v>1715</v>
      </c>
      <c r="G123" t="s">
        <v>3698</v>
      </c>
      <c r="I123" t="str">
        <f t="shared" si="6"/>
        <v>r:"(?i)^Liza's Abdomen$"=AF-丽莎的腹部-14253</v>
      </c>
      <c r="J123">
        <f t="shared" si="4"/>
        <v>1</v>
      </c>
      <c r="K123" t="str">
        <f t="shared" si="5"/>
        <v>Liza's Abdomen=AF-丽莎的腹部-14253</v>
      </c>
    </row>
    <row r="124" ht="40.5" spans="1:11">
      <c r="A124" s="9" t="s">
        <v>1166</v>
      </c>
      <c r="B124" s="5" t="s">
        <v>1169</v>
      </c>
      <c r="C124" s="8" t="s">
        <v>1167</v>
      </c>
      <c r="D124" s="5" t="str">
        <f>_xlfn.XLOOKUP(A124,全装!G:G,全装!I:I,"",0,1)</f>
        <v>IFU-棒棒糖-12444</v>
      </c>
      <c r="E124" s="5" t="s">
        <v>3696</v>
      </c>
      <c r="F124" s="11" t="s">
        <v>1166</v>
      </c>
      <c r="G124" t="s">
        <v>3698</v>
      </c>
      <c r="I124" t="str">
        <f t="shared" si="6"/>
        <v>r:"(?i)^Lollipop$"=IFU-棒棒糖-12444</v>
      </c>
      <c r="J124">
        <f t="shared" si="4"/>
        <v>1</v>
      </c>
      <c r="K124" t="str">
        <f t="shared" si="5"/>
        <v>Lollipop=IFU-棒棒糖-12444</v>
      </c>
    </row>
    <row r="125" ht="40.5" spans="1:11">
      <c r="A125" s="14" t="s">
        <v>1177</v>
      </c>
      <c r="B125" s="5" t="s">
        <v>1181</v>
      </c>
      <c r="C125" s="8" t="s">
        <v>1178</v>
      </c>
      <c r="D125" s="5" t="str">
        <f>_xlfn.XLOOKUP(A125,全装!G:G,全装!I:I,"",0,1)</f>
        <v>WF-爱欲卡牌-41343</v>
      </c>
      <c r="E125" s="5" t="s">
        <v>3696</v>
      </c>
      <c r="F125" s="11" t="s">
        <v>1177</v>
      </c>
      <c r="G125" t="s">
        <v>3698</v>
      </c>
      <c r="I125" t="str">
        <f t="shared" si="6"/>
        <v>r:"(?i)^Love Cards$"=WF-爱欲卡牌-41343</v>
      </c>
      <c r="J125">
        <f t="shared" si="4"/>
        <v>1</v>
      </c>
      <c r="K125" t="str">
        <f t="shared" si="5"/>
        <v>Love Cards=WF-爱欲卡牌-41343</v>
      </c>
    </row>
    <row r="126" ht="40.5" spans="1:11">
      <c r="A126" s="9" t="s">
        <v>1183</v>
      </c>
      <c r="B126" s="5" t="s">
        <v>1187</v>
      </c>
      <c r="C126" s="8" t="s">
        <v>3755</v>
      </c>
      <c r="D126" s="5" t="str">
        <f>_xlfn.XLOOKUP(A126,全装!G:G,全装!I:I,"",0,1)</f>
        <v>I震动棒-13533</v>
      </c>
      <c r="E126" s="5" t="s">
        <v>3696</v>
      </c>
      <c r="F126" s="11" t="s">
        <v>1183</v>
      </c>
      <c r="G126" t="s">
        <v>3698</v>
      </c>
      <c r="I126" t="str">
        <f t="shared" si="6"/>
        <v>r:"(?i)^Lovense Gift$"=I震动棒-13533</v>
      </c>
      <c r="J126">
        <f t="shared" si="4"/>
        <v>1</v>
      </c>
      <c r="K126" t="str">
        <f t="shared" si="5"/>
        <v>Lovense Gift=I震动棒-13533</v>
      </c>
    </row>
    <row r="127" ht="40.5" spans="1:11">
      <c r="A127" s="5" t="s">
        <v>1644</v>
      </c>
      <c r="B127" s="5" t="s">
        <v>1645</v>
      </c>
      <c r="C127" s="8" t="s">
        <v>1645</v>
      </c>
      <c r="D127" s="5" t="str">
        <f>_xlfn.XLOOKUP(A127,全装!G:G,全装!I:I,"",0,1)</f>
        <v>砍刀-33333</v>
      </c>
      <c r="E127" s="5" t="s">
        <v>3696</v>
      </c>
      <c r="F127" s="11" t="s">
        <v>1644</v>
      </c>
      <c r="G127" t="s">
        <v>3698</v>
      </c>
      <c r="I127" t="str">
        <f t="shared" si="6"/>
        <v>r:"(?i)^Machete$"=砍刀-33333</v>
      </c>
      <c r="J127">
        <f t="shared" si="4"/>
        <v>1</v>
      </c>
      <c r="K127" t="str">
        <f t="shared" si="5"/>
        <v>Machete=砍刀-33333</v>
      </c>
    </row>
    <row r="128" ht="40.5" spans="1:11">
      <c r="A128" s="9" t="s">
        <v>1243</v>
      </c>
      <c r="B128" s="5" t="s">
        <v>1247</v>
      </c>
      <c r="C128" s="8" t="s">
        <v>1244</v>
      </c>
      <c r="D128" s="5" t="str">
        <f>_xlfn.XLOOKUP(A128,全装!G:G,全装!I:I,"",0,1)</f>
        <v>F-化妆包-33342</v>
      </c>
      <c r="E128" s="5" t="s">
        <v>3696</v>
      </c>
      <c r="F128" s="11" t="s">
        <v>1243</v>
      </c>
      <c r="G128" t="s">
        <v>3698</v>
      </c>
      <c r="I128" t="str">
        <f t="shared" si="6"/>
        <v>r:"(?i)^Makeup Kit$"=F-化妆包-33342</v>
      </c>
      <c r="J128">
        <f t="shared" si="4"/>
        <v>1</v>
      </c>
      <c r="K128" t="str">
        <f t="shared" si="5"/>
        <v>Makeup Kit=F-化妆包-33342</v>
      </c>
    </row>
    <row r="129" ht="40.5" spans="1:11">
      <c r="A129" s="9" t="s">
        <v>749</v>
      </c>
      <c r="B129" s="5" t="s">
        <v>754</v>
      </c>
      <c r="C129" s="8" t="s">
        <v>750</v>
      </c>
      <c r="D129" s="5" t="str">
        <f>_xlfn.XLOOKUP(A129,全装!G:G,全装!I:I,"",0,1)</f>
        <v>5_FU-技工上衣-11355</v>
      </c>
      <c r="E129" s="5" t="s">
        <v>3696</v>
      </c>
      <c r="F129" s="11" t="s">
        <v>3756</v>
      </c>
      <c r="G129" t="s">
        <v>3698</v>
      </c>
      <c r="I129" t="str">
        <f t="shared" si="6"/>
        <v>r:"(?i)^Mechanic's Top$"=5_FU-技工上衣-11355</v>
      </c>
      <c r="J129">
        <f t="shared" si="4"/>
        <v>0</v>
      </c>
      <c r="K129" t="str">
        <f t="shared" si="5"/>
        <v>Mechanic's Top=5_FU-技工上衣-11355</v>
      </c>
    </row>
    <row r="130" ht="40.5" spans="1:11">
      <c r="A130" s="9" t="s">
        <v>723</v>
      </c>
      <c r="B130" s="5" t="s">
        <v>3757</v>
      </c>
      <c r="C130" s="8" t="s">
        <v>724</v>
      </c>
      <c r="D130" s="5" t="str">
        <f>_xlfn.XLOOKUP(A130,全装!G:G,全装!I:I,"",0,1)</f>
        <v>②.4_IUF-技工短裙-11445</v>
      </c>
      <c r="E130" s="5" t="s">
        <v>3696</v>
      </c>
      <c r="F130" s="11" t="s">
        <v>723</v>
      </c>
      <c r="G130" t="s">
        <v>3698</v>
      </c>
      <c r="I130" t="str">
        <f t="shared" si="6"/>
        <v>r:"(?i)^Mechanic's Skirt$"=②.4_IUF-技工短裙-11445</v>
      </c>
      <c r="J130">
        <f t="shared" si="4"/>
        <v>1</v>
      </c>
      <c r="K130" t="str">
        <f t="shared" si="5"/>
        <v>Mechanic's Skirt=②.4_IUF-技工短裙-11445</v>
      </c>
    </row>
    <row r="131" ht="40.5" spans="1:11">
      <c r="A131" s="16" t="s">
        <v>1820</v>
      </c>
      <c r="B131" s="5" t="s">
        <v>1823</v>
      </c>
      <c r="C131" s="8" t="s">
        <v>1821</v>
      </c>
      <c r="D131" s="5" t="str">
        <f>_xlfn.XLOOKUP(A131,全装!G:G,全装!I:I,"",0,1)</f>
        <v>W-佣兵长裤-43233</v>
      </c>
      <c r="E131" s="5" t="s">
        <v>3696</v>
      </c>
      <c r="F131" s="11" t="s">
        <v>1820</v>
      </c>
      <c r="G131" t="s">
        <v>3698</v>
      </c>
      <c r="I131" t="str">
        <f t="shared" si="6"/>
        <v>r:"(?i)^Merc Pants$"=W-佣兵长裤-43233</v>
      </c>
      <c r="J131">
        <f t="shared" ref="J131:J194" si="7">IF(F131=A131,1,0)</f>
        <v>1</v>
      </c>
      <c r="K131" t="str">
        <f t="shared" ref="K131:K194" si="8">F131&amp;"="&amp;D131</f>
        <v>Merc Pants=W-佣兵长裤-43233</v>
      </c>
    </row>
    <row r="132" ht="40.5" spans="1:11">
      <c r="A132" s="14" t="s">
        <v>1669</v>
      </c>
      <c r="B132" s="5" t="s">
        <v>1673</v>
      </c>
      <c r="C132" s="8" t="s">
        <v>1670</v>
      </c>
      <c r="D132" s="5" t="str">
        <f>_xlfn.XLOOKUP(A132,全装!G:G,全装!I:I,"",0,1)</f>
        <v>③.WF-佣兵上衣-51243</v>
      </c>
      <c r="E132" s="5" t="s">
        <v>3696</v>
      </c>
      <c r="F132" s="11" t="s">
        <v>1669</v>
      </c>
      <c r="G132" t="s">
        <v>3698</v>
      </c>
      <c r="I132" t="str">
        <f t="shared" si="6"/>
        <v>r:"(?i)^Merc Top$"=③.WF-佣兵上衣-51243</v>
      </c>
      <c r="J132">
        <f t="shared" si="7"/>
        <v>1</v>
      </c>
      <c r="K132" t="str">
        <f t="shared" si="8"/>
        <v>Merc Top=③.WF-佣兵上衣-51243</v>
      </c>
    </row>
    <row r="133" ht="40.5" spans="1:11">
      <c r="A133" s="9" t="s">
        <v>1655</v>
      </c>
      <c r="B133" s="5" t="s">
        <v>1657</v>
      </c>
      <c r="C133" s="8" t="s">
        <v>1656</v>
      </c>
      <c r="D133" s="5" t="str">
        <f>_xlfn.XLOOKUP(A133,全装!G:G,全装!I:I,"",0,1)</f>
        <v>军用手枪-33333</v>
      </c>
      <c r="E133" s="5" t="s">
        <v>3696</v>
      </c>
      <c r="F133" s="11" t="s">
        <v>1655</v>
      </c>
      <c r="G133" t="s">
        <v>3698</v>
      </c>
      <c r="I133" t="str">
        <f t="shared" si="6"/>
        <v>r:"(?i)^Military Pistol$"=军用手枪-33333</v>
      </c>
      <c r="J133">
        <f t="shared" si="7"/>
        <v>1</v>
      </c>
      <c r="K133" t="str">
        <f t="shared" si="8"/>
        <v>Military Pistol=军用手枪-33333</v>
      </c>
    </row>
    <row r="134" ht="40.5" spans="1:11">
      <c r="A134" s="9" t="s">
        <v>1799</v>
      </c>
      <c r="B134" s="5" t="s">
        <v>1802</v>
      </c>
      <c r="C134" s="8" t="s">
        <v>1800</v>
      </c>
      <c r="D134" s="5" t="str">
        <f>_xlfn.XLOOKUP(A134,全装!G:G,全装!I:I,"",0,1)</f>
        <v>FU-桃香的套装-13344</v>
      </c>
      <c r="E134" s="5" t="s">
        <v>3696</v>
      </c>
      <c r="F134" s="11" t="s">
        <v>3758</v>
      </c>
      <c r="G134" t="s">
        <v>3698</v>
      </c>
      <c r="I134" t="str">
        <f t="shared" si="6"/>
        <v>r:"(?i)^Momoka's Set$"=FU-桃香的套装-13344</v>
      </c>
      <c r="J134">
        <f t="shared" si="7"/>
        <v>0</v>
      </c>
      <c r="K134" t="str">
        <f t="shared" si="8"/>
        <v>Momoka's Set=FU-桃香的套装-13344</v>
      </c>
    </row>
    <row r="135" ht="40.5" spans="1:11">
      <c r="A135" s="9" t="s">
        <v>708</v>
      </c>
      <c r="B135" s="5" t="s">
        <v>3759</v>
      </c>
      <c r="C135" s="8" t="s">
        <v>709</v>
      </c>
      <c r="D135" s="5" t="str">
        <f>_xlfn.XLOOKUP(A135,全装!G:G,全装!I:I,"",0,1)</f>
        <v>②.4_IFU-桃香的下装-11454</v>
      </c>
      <c r="E135" s="5" t="s">
        <v>3696</v>
      </c>
      <c r="F135" s="11" t="s">
        <v>708</v>
      </c>
      <c r="G135" t="s">
        <v>3698</v>
      </c>
      <c r="I135" t="str">
        <f t="shared" si="6"/>
        <v>r:"(?i)^Momoka's Bottom$"=②.4_IFU-桃香的下装-11454</v>
      </c>
      <c r="J135">
        <f t="shared" si="7"/>
        <v>1</v>
      </c>
      <c r="K135" t="str">
        <f t="shared" si="8"/>
        <v>Momoka's Bottom=②.4_IFU-桃香的下装-11454</v>
      </c>
    </row>
    <row r="136" spans="1:11">
      <c r="A136" s="9" t="s">
        <v>1325</v>
      </c>
      <c r="B136" s="5" t="s">
        <v>1328</v>
      </c>
      <c r="C136" s="8" t="s">
        <v>1325</v>
      </c>
      <c r="D136" s="5" t="str">
        <f>_xlfn.XLOOKUP(A136,全装!G:G,全装!I:I,"",0,1)</f>
        <v>F-MP3-32343</v>
      </c>
      <c r="E136" s="5"/>
      <c r="F136" s="11" t="s">
        <v>1325</v>
      </c>
      <c r="G136" t="s">
        <v>3760</v>
      </c>
      <c r="I136" t="str">
        <f t="shared" si="6"/>
        <v>MP3=F-MP3-32343</v>
      </c>
      <c r="J136">
        <f t="shared" si="7"/>
        <v>1</v>
      </c>
      <c r="K136" t="str">
        <f t="shared" si="8"/>
        <v>MP3=F-MP3-32343</v>
      </c>
    </row>
    <row r="137" spans="1:11">
      <c r="A137" s="14" t="s">
        <v>1356</v>
      </c>
      <c r="B137" s="5" t="s">
        <v>1359</v>
      </c>
      <c r="C137" s="8" t="s">
        <v>1356</v>
      </c>
      <c r="D137" s="5" t="str">
        <f>_xlfn.XLOOKUP(A137,全装!G:G,全装!I:I,"",0,1)</f>
        <v>WI-MP5-41433</v>
      </c>
      <c r="E137" s="5"/>
      <c r="F137" s="11" t="s">
        <v>1356</v>
      </c>
      <c r="G137" t="s">
        <v>3760</v>
      </c>
      <c r="I137" t="str">
        <f t="shared" si="6"/>
        <v>MP5=WI-MP5-41433</v>
      </c>
      <c r="J137">
        <f t="shared" si="7"/>
        <v>1</v>
      </c>
      <c r="K137" t="str">
        <f t="shared" si="8"/>
        <v>MP5=WI-MP5-41433</v>
      </c>
    </row>
    <row r="138" spans="1:11">
      <c r="A138" s="9" t="s">
        <v>1361</v>
      </c>
      <c r="B138" s="5" t="s">
        <v>1364</v>
      </c>
      <c r="C138" s="8" t="s">
        <v>1361</v>
      </c>
      <c r="D138" s="5" t="str">
        <f>_xlfn.XLOOKUP(A138,全装!G:G,全装!I:I,"",0,1)</f>
        <v>I-MP6-31533</v>
      </c>
      <c r="E138" s="5"/>
      <c r="F138" s="11" t="s">
        <v>1361</v>
      </c>
      <c r="G138" t="s">
        <v>3760</v>
      </c>
      <c r="I138" t="str">
        <f t="shared" ref="I138:I201" si="9">E138&amp;F138&amp;G138&amp;D138</f>
        <v>MP6=I-MP6-31533</v>
      </c>
      <c r="J138">
        <f t="shared" si="7"/>
        <v>1</v>
      </c>
      <c r="K138" t="str">
        <f t="shared" si="8"/>
        <v>MP6=I-MP6-31533</v>
      </c>
    </row>
    <row r="139" ht="40.5" spans="1:11">
      <c r="A139" s="5" t="s">
        <v>1132</v>
      </c>
      <c r="B139" s="5" t="s">
        <v>3761</v>
      </c>
      <c r="C139" s="8" t="s">
        <v>1133</v>
      </c>
      <c r="D139" s="5" t="str">
        <f>_xlfn.XLOOKUP(A139,全装!G:G,全装!I:I,"",0,1)</f>
        <v>I-系领胸罩-32433</v>
      </c>
      <c r="E139" s="5" t="s">
        <v>3696</v>
      </c>
      <c r="F139" s="11" t="s">
        <v>1132</v>
      </c>
      <c r="G139" t="s">
        <v>3698</v>
      </c>
      <c r="I139" t="str">
        <f t="shared" si="9"/>
        <v>r:"(?i)^Neck-tied Bra$"=I-系领胸罩-32433</v>
      </c>
      <c r="J139">
        <f t="shared" si="7"/>
        <v>1</v>
      </c>
      <c r="K139" t="str">
        <f t="shared" si="8"/>
        <v>Neck-tied Bra=I-系领胸罩-32433</v>
      </c>
    </row>
    <row r="140" ht="40.5" spans="1:11">
      <c r="A140" s="9" t="s">
        <v>731</v>
      </c>
      <c r="B140" s="5" t="s">
        <v>3762</v>
      </c>
      <c r="C140" s="8" t="s">
        <v>732</v>
      </c>
      <c r="D140" s="5" t="str">
        <f>_xlfn.XLOOKUP(A140,全装!G:G,全装!I:I,"",0,1)</f>
        <v>①.14_IFU-霓虹灯（下装）-11544</v>
      </c>
      <c r="E140" s="5" t="s">
        <v>3696</v>
      </c>
      <c r="F140" s="15" t="s">
        <v>731</v>
      </c>
      <c r="G140" t="s">
        <v>3698</v>
      </c>
      <c r="I140" t="str">
        <f t="shared" si="9"/>
        <v>r:"(?i)^Neon Lights (bottom)$"=①.14_IFU-霓虹灯（下装）-11544</v>
      </c>
      <c r="J140">
        <f t="shared" si="7"/>
        <v>1</v>
      </c>
      <c r="K140" t="str">
        <f t="shared" si="8"/>
        <v>Neon Lights (bottom)=①.14_IFU-霓虹灯（下装）-11544</v>
      </c>
    </row>
    <row r="141" ht="40.5" spans="1:11">
      <c r="A141" s="9" t="s">
        <v>739</v>
      </c>
      <c r="B141" s="5" t="s">
        <v>3763</v>
      </c>
      <c r="C141" s="8" t="s">
        <v>740</v>
      </c>
      <c r="D141" s="5" t="str">
        <f>_xlfn.XLOOKUP(A141,全装!G:G,全装!I:I,"",0,1)</f>
        <v>①.14_IFU-霓虹灯(散件)-11544</v>
      </c>
      <c r="E141" s="5" t="s">
        <v>3696</v>
      </c>
      <c r="F141" s="15" t="s">
        <v>3764</v>
      </c>
      <c r="G141" t="s">
        <v>3698</v>
      </c>
      <c r="I141" t="str">
        <f t="shared" si="9"/>
        <v>r:"(?i)^Neon Lights$"=①.14_IFU-霓虹灯(散件)-11544</v>
      </c>
      <c r="J141">
        <f t="shared" si="7"/>
        <v>0</v>
      </c>
      <c r="K141" t="str">
        <f t="shared" si="8"/>
        <v>Neon Lights=①.14_IFU-霓虹灯(散件)-11544</v>
      </c>
    </row>
    <row r="142" ht="40.5" spans="1:11">
      <c r="A142" s="5" t="s">
        <v>1277</v>
      </c>
      <c r="B142" s="5" t="s">
        <v>1281</v>
      </c>
      <c r="C142" s="8" t="s">
        <v>1278</v>
      </c>
      <c r="D142" s="5" t="str">
        <f>_xlfn.XLOOKUP(A142,全装!G:G,全装!I:I,"",0,1)</f>
        <v>AF-乳头胸贴-24342</v>
      </c>
      <c r="E142" s="5" t="s">
        <v>3696</v>
      </c>
      <c r="F142" s="11" t="s">
        <v>1277</v>
      </c>
      <c r="G142" t="s">
        <v>3698</v>
      </c>
      <c r="I142" t="str">
        <f t="shared" si="9"/>
        <v>r:"(?i)^Nipplebra$"=AF-乳头胸贴-24342</v>
      </c>
      <c r="J142">
        <f t="shared" si="7"/>
        <v>1</v>
      </c>
      <c r="K142" t="str">
        <f t="shared" si="8"/>
        <v>Nipplebra=AF-乳头胸贴-24342</v>
      </c>
    </row>
    <row r="143" ht="40.5" spans="1:11">
      <c r="A143" s="5" t="s">
        <v>1824</v>
      </c>
      <c r="B143" t="s">
        <v>3765</v>
      </c>
      <c r="C143" s="10" t="s">
        <v>1825</v>
      </c>
      <c r="D143" s="5" t="str">
        <f>_xlfn.XLOOKUP(A143,全装!G:G,全装!I:I,"",0,1)</f>
        <v>AU-#欧泊石套装-24235</v>
      </c>
      <c r="E143" s="5" t="s">
        <v>3696</v>
      </c>
      <c r="F143" s="11" t="s">
        <v>1824</v>
      </c>
      <c r="G143" t="s">
        <v>3698</v>
      </c>
      <c r="I143" t="str">
        <f t="shared" si="9"/>
        <v>r:"(?i)^Opalescent Set$"=AU-#欧泊石套装-24235</v>
      </c>
      <c r="J143">
        <f t="shared" si="7"/>
        <v>1</v>
      </c>
      <c r="K143" t="str">
        <f t="shared" si="8"/>
        <v>Opalescent Set=AU-#欧泊石套装-24235</v>
      </c>
    </row>
    <row r="144" ht="40.5" spans="1:11">
      <c r="A144" s="14" t="s">
        <v>766</v>
      </c>
      <c r="B144" t="s">
        <v>770</v>
      </c>
      <c r="C144" s="10" t="s">
        <v>767</v>
      </c>
      <c r="D144" s="5" t="str">
        <f>_xlfn.XLOOKUP(A144,全装!G:G,全装!I:I,"",0,1)</f>
        <v>⑥.WAI-#敞口上衣-55411</v>
      </c>
      <c r="E144" s="5" t="s">
        <v>3696</v>
      </c>
      <c r="F144" s="11" t="s">
        <v>766</v>
      </c>
      <c r="G144" t="s">
        <v>3698</v>
      </c>
      <c r="I144" t="str">
        <f t="shared" si="9"/>
        <v>r:"(?i)^Open Top$"=⑥.WAI-#敞口上衣-55411</v>
      </c>
      <c r="J144">
        <f t="shared" si="7"/>
        <v>1</v>
      </c>
      <c r="K144" t="str">
        <f t="shared" si="8"/>
        <v>Open Top=⑥.WAI-#敞口上衣-55411</v>
      </c>
    </row>
    <row r="145" ht="40.5" spans="1:11">
      <c r="A145" s="5" t="s">
        <v>1036</v>
      </c>
      <c r="B145" s="5" t="s">
        <v>1040</v>
      </c>
      <c r="C145" s="8" t="s">
        <v>1037</v>
      </c>
      <c r="D145" s="5" t="str">
        <f>_xlfn.XLOOKUP(A145,全装!G:G,全装!I:I,"",0,1)</f>
        <v>IFU-过载电击器-12444</v>
      </c>
      <c r="E145" s="5" t="s">
        <v>3696</v>
      </c>
      <c r="F145" s="11" t="s">
        <v>1036</v>
      </c>
      <c r="G145" t="s">
        <v>3698</v>
      </c>
      <c r="I145" t="str">
        <f t="shared" si="9"/>
        <v>r:"(?i)^Overcharged Tazer$"=IFU-过载电击器-12444</v>
      </c>
      <c r="J145">
        <f t="shared" si="7"/>
        <v>1</v>
      </c>
      <c r="K145" t="str">
        <f t="shared" si="8"/>
        <v>Overcharged Tazer=IFU-过载电击器-12444</v>
      </c>
    </row>
    <row r="146" ht="40.5" spans="1:11">
      <c r="A146" s="14" t="s">
        <v>867</v>
      </c>
      <c r="B146" t="s">
        <v>871</v>
      </c>
      <c r="C146" s="10" t="s">
        <v>868</v>
      </c>
      <c r="D146" s="5" t="str">
        <f>_xlfn.XLOOKUP(A146,全装!G:G,全装!I:I,"",0,1)</f>
        <v>⑮.WAI-#痛苦使者（下装）-54511</v>
      </c>
      <c r="E146" s="5" t="s">
        <v>3696</v>
      </c>
      <c r="F146" s="15" t="s">
        <v>867</v>
      </c>
      <c r="G146" t="s">
        <v>3698</v>
      </c>
      <c r="I146" t="str">
        <f t="shared" si="9"/>
        <v>r:"(?i)^Pain Bringers (bottom)$"=⑮.WAI-#痛苦使者（下装）-54511</v>
      </c>
      <c r="J146">
        <f t="shared" si="7"/>
        <v>1</v>
      </c>
      <c r="K146" t="str">
        <f t="shared" si="8"/>
        <v>Pain Bringers (bottom)=⑮.WAI-#痛苦使者（下装）-54511</v>
      </c>
    </row>
    <row r="147" ht="40.5" spans="1:11">
      <c r="A147" s="14" t="s">
        <v>874</v>
      </c>
      <c r="B147" t="s">
        <v>878</v>
      </c>
      <c r="C147" s="10" t="s">
        <v>875</v>
      </c>
      <c r="D147" s="5" t="str">
        <f>_xlfn.XLOOKUP(A147,全装!G:G,全装!I:I,"",0,1)</f>
        <v>⑮.WAI-#痛苦使者(散件)-54511</v>
      </c>
      <c r="E147" s="5" t="s">
        <v>3696</v>
      </c>
      <c r="F147" s="15" t="s">
        <v>3766</v>
      </c>
      <c r="G147" t="s">
        <v>3698</v>
      </c>
      <c r="I147" t="str">
        <f t="shared" si="9"/>
        <v>r:"(?i)^Pain Bringers$"=⑮.WAI-#痛苦使者(散件)-54511</v>
      </c>
      <c r="J147">
        <f t="shared" si="7"/>
        <v>0</v>
      </c>
      <c r="K147" t="str">
        <f t="shared" si="8"/>
        <v>Pain Bringers=⑮.WAI-#痛苦使者(散件)-54511</v>
      </c>
    </row>
    <row r="148" ht="40.5" spans="1:11">
      <c r="A148" s="9" t="s">
        <v>904</v>
      </c>
      <c r="B148" s="5" t="s">
        <v>909</v>
      </c>
      <c r="C148" s="8" t="s">
        <v>905</v>
      </c>
      <c r="D148" s="5" t="str">
        <f>_xlfn.XLOOKUP(A148,全装!G:G,全装!I:I,"",0,1)</f>
        <v>17_FU-珍珠的贝壳-11155</v>
      </c>
      <c r="E148" s="5" t="s">
        <v>3696</v>
      </c>
      <c r="F148" s="11" t="s">
        <v>904</v>
      </c>
      <c r="G148" t="s">
        <v>3698</v>
      </c>
      <c r="I148" t="str">
        <f t="shared" si="9"/>
        <v>r:"(?i)^Pearl's Shell$"=17_FU-珍珠的贝壳-11155</v>
      </c>
      <c r="J148">
        <f t="shared" si="7"/>
        <v>1</v>
      </c>
      <c r="K148" t="str">
        <f t="shared" si="8"/>
        <v>Pearl's Shell=17_FU-珍珠的贝壳-11155</v>
      </c>
    </row>
    <row r="149" ht="40.5" spans="1:11">
      <c r="A149" s="9" t="s">
        <v>896</v>
      </c>
      <c r="B149" s="5" t="s">
        <v>901</v>
      </c>
      <c r="C149" s="8" t="s">
        <v>897</v>
      </c>
      <c r="D149" s="5" t="str">
        <f>_xlfn.XLOOKUP(A149,全装!G:G,全装!I:I,"",0,1)</f>
        <v>17_FU-珍珠的珍藏-11155</v>
      </c>
      <c r="E149" s="5" t="s">
        <v>3696</v>
      </c>
      <c r="F149" s="11" t="s">
        <v>896</v>
      </c>
      <c r="G149" t="s">
        <v>3698</v>
      </c>
      <c r="I149" t="str">
        <f t="shared" si="9"/>
        <v>r:"(?i)^Pearl's Treasury$"=17_FU-珍珠的珍藏-11155</v>
      </c>
      <c r="J149">
        <f t="shared" si="7"/>
        <v>1</v>
      </c>
      <c r="K149" t="str">
        <f t="shared" si="8"/>
        <v>Pearl's Treasury=17_FU-珍珠的珍藏-11155</v>
      </c>
    </row>
    <row r="150" ht="40.5" spans="1:11">
      <c r="A150" s="14" t="s">
        <v>1372</v>
      </c>
      <c r="B150" s="5" t="s">
        <v>1376</v>
      </c>
      <c r="C150" s="8" t="s">
        <v>1373</v>
      </c>
      <c r="D150" s="5" t="str">
        <f>_xlfn.XLOOKUP(A150,全装!G:G,全装!I:I,"",0,1)</f>
        <v>WIF-完美胸针-41442</v>
      </c>
      <c r="E150" s="5" t="s">
        <v>3696</v>
      </c>
      <c r="F150" s="11" t="s">
        <v>1372</v>
      </c>
      <c r="G150" t="s">
        <v>3698</v>
      </c>
      <c r="I150" t="str">
        <f t="shared" si="9"/>
        <v>r:"(?i)^Perfect Brooch$"=WIF-完美胸针-41442</v>
      </c>
      <c r="J150">
        <f t="shared" si="7"/>
        <v>1</v>
      </c>
      <c r="K150" t="str">
        <f t="shared" si="8"/>
        <v>Perfect Brooch=WIF-完美胸针-41442</v>
      </c>
    </row>
    <row r="151" ht="40.5" spans="1:11">
      <c r="A151" s="9" t="s">
        <v>1268</v>
      </c>
      <c r="B151" s="5" t="s">
        <v>1272</v>
      </c>
      <c r="C151" s="8" t="s">
        <v>1269</v>
      </c>
      <c r="D151" s="5" t="str">
        <f>_xlfn.XLOOKUP(A151,全装!G:G,全装!I:I,"",0,1)</f>
        <v>AF-水管-14343</v>
      </c>
      <c r="E151" s="5" t="s">
        <v>3696</v>
      </c>
      <c r="F151" s="11" t="s">
        <v>1268</v>
      </c>
      <c r="G151" t="s">
        <v>3698</v>
      </c>
      <c r="I151" t="str">
        <f t="shared" si="9"/>
        <v>r:"(?i)^Pipe$"=AF-水管-14343</v>
      </c>
      <c r="J151">
        <f t="shared" si="7"/>
        <v>1</v>
      </c>
      <c r="K151" t="str">
        <f t="shared" si="8"/>
        <v>Pipe=AF-水管-14343</v>
      </c>
    </row>
    <row r="152" ht="40.5" spans="1:11">
      <c r="A152" s="14" t="s">
        <v>1619</v>
      </c>
      <c r="B152" s="5" t="s">
        <v>1622</v>
      </c>
      <c r="C152" s="8" t="s">
        <v>1620</v>
      </c>
      <c r="D152" s="5" t="str">
        <f>_xlfn.XLOOKUP(A152,全装!G:G,全装!I:I,"",0,1)</f>
        <v>W-自动手枪-43332</v>
      </c>
      <c r="E152" s="5" t="s">
        <v>3696</v>
      </c>
      <c r="F152" s="11" t="s">
        <v>1619</v>
      </c>
      <c r="G152" t="s">
        <v>3698</v>
      </c>
      <c r="I152" t="str">
        <f t="shared" si="9"/>
        <v>r:"(?i)^Pistol$"=W-自动手枪-43332</v>
      </c>
      <c r="J152">
        <f t="shared" si="7"/>
        <v>1</v>
      </c>
      <c r="K152" t="str">
        <f t="shared" si="8"/>
        <v>Pistol=W-自动手枪-43332</v>
      </c>
    </row>
    <row r="153" ht="40.5" spans="1:11">
      <c r="A153" s="14" t="s">
        <v>1529</v>
      </c>
      <c r="B153" s="5" t="s">
        <v>1533</v>
      </c>
      <c r="C153" s="8" t="s">
        <v>1530</v>
      </c>
      <c r="D153" s="5" t="str">
        <f>_xlfn.XLOOKUP(A153,全装!G:G,全装!I:I,"",0,1)</f>
        <v>WA-素色内裤-44322</v>
      </c>
      <c r="E153" s="5" t="s">
        <v>3696</v>
      </c>
      <c r="F153" s="11" t="s">
        <v>1529</v>
      </c>
      <c r="G153" t="s">
        <v>3698</v>
      </c>
      <c r="I153" t="str">
        <f t="shared" si="9"/>
        <v>r:"(?i)^Plain Panties$"=WA-素色内裤-44322</v>
      </c>
      <c r="J153">
        <f t="shared" si="7"/>
        <v>1</v>
      </c>
      <c r="K153" t="str">
        <f t="shared" si="8"/>
        <v>Plain Panties=WA-素色内裤-44322</v>
      </c>
    </row>
    <row r="154" ht="40.5" spans="1:11">
      <c r="A154" s="14" t="s">
        <v>1876</v>
      </c>
      <c r="B154" s="5" t="s">
        <v>1879</v>
      </c>
      <c r="C154" s="8" t="s">
        <v>1877</v>
      </c>
      <c r="D154" s="5" t="str">
        <f>_xlfn.XLOOKUP(A154,全装!G:G,全装!I:I,"",0,1)</f>
        <v>WU-可能长裤-43134</v>
      </c>
      <c r="E154" s="5" t="s">
        <v>3696</v>
      </c>
      <c r="F154" s="11" t="s">
        <v>1876</v>
      </c>
      <c r="G154" t="s">
        <v>3698</v>
      </c>
      <c r="I154" t="str">
        <f t="shared" si="9"/>
        <v>r:"(?i)^Possible Pants$"=WU-可能长裤-43134</v>
      </c>
      <c r="J154">
        <f t="shared" si="7"/>
        <v>1</v>
      </c>
      <c r="K154" t="str">
        <f t="shared" si="8"/>
        <v>Possible Pants=WU-可能长裤-43134</v>
      </c>
    </row>
    <row r="155" ht="40.5" spans="1:11">
      <c r="A155" s="14" t="s">
        <v>1871</v>
      </c>
      <c r="B155" s="5" t="s">
        <v>1874</v>
      </c>
      <c r="C155" s="8" t="s">
        <v>1872</v>
      </c>
      <c r="D155" s="5" t="str">
        <f>_xlfn.XLOOKUP(A155,全装!G:G,全装!I:I,"",0,1)</f>
        <v>WU-可能上衣-43134</v>
      </c>
      <c r="E155" s="5" t="s">
        <v>3696</v>
      </c>
      <c r="F155" s="11" t="s">
        <v>1871</v>
      </c>
      <c r="G155" t="s">
        <v>3698</v>
      </c>
      <c r="I155" t="str">
        <f t="shared" si="9"/>
        <v>r:"(?i)^Possible Top$"=WU-可能上衣-43134</v>
      </c>
      <c r="J155">
        <f t="shared" si="7"/>
        <v>1</v>
      </c>
      <c r="K155" t="str">
        <f t="shared" si="8"/>
        <v>Possible Top=WU-可能上衣-43134</v>
      </c>
    </row>
    <row r="156" ht="40.5" spans="1:11">
      <c r="A156" s="9" t="s">
        <v>1764</v>
      </c>
      <c r="B156" s="5" t="s">
        <v>1767</v>
      </c>
      <c r="C156" s="8" t="s">
        <v>1765</v>
      </c>
      <c r="D156" s="5" t="str">
        <f>_xlfn.XLOOKUP(A156,全装!G:G,全装!I:I,"",0,1)</f>
        <v>FU-后末日短裤-23244</v>
      </c>
      <c r="E156" s="5" t="s">
        <v>3696</v>
      </c>
      <c r="F156" s="11" t="s">
        <v>1764</v>
      </c>
      <c r="G156" t="s">
        <v>3698</v>
      </c>
      <c r="I156" t="str">
        <f t="shared" si="9"/>
        <v>r:"(?i)^Postapo Shorts$"=FU-后末日短裤-23244</v>
      </c>
      <c r="J156">
        <f t="shared" si="7"/>
        <v>1</v>
      </c>
      <c r="K156" t="str">
        <f t="shared" si="8"/>
        <v>Postapo Shorts=FU-后末日短裤-23244</v>
      </c>
    </row>
    <row r="157" ht="40.5" spans="1:11">
      <c r="A157" s="9" t="s">
        <v>1829</v>
      </c>
      <c r="B157" s="5" t="s">
        <v>1832</v>
      </c>
      <c r="C157" s="8" t="s">
        <v>1830</v>
      </c>
      <c r="D157" s="5" t="str">
        <f>_xlfn.XLOOKUP(A157,全装!G:G,全装!I:I,"",0,1)</f>
        <v>FU-后末日套装-23244</v>
      </c>
      <c r="E157" s="5" t="s">
        <v>3696</v>
      </c>
      <c r="F157" s="11" t="s">
        <v>1829</v>
      </c>
      <c r="G157" t="s">
        <v>3698</v>
      </c>
      <c r="I157" t="str">
        <f t="shared" si="9"/>
        <v>r:"(?i)^Postapo Suit$"=FU-后末日套装-23244</v>
      </c>
      <c r="J157">
        <f t="shared" si="7"/>
        <v>1</v>
      </c>
      <c r="K157" t="str">
        <f t="shared" si="8"/>
        <v>Postapo Suit=FU-后末日套装-23244</v>
      </c>
    </row>
    <row r="158" ht="40.5" spans="1:11">
      <c r="A158" s="9" t="s">
        <v>1834</v>
      </c>
      <c r="B158" s="5" t="s">
        <v>3767</v>
      </c>
      <c r="C158" s="8" t="s">
        <v>1835</v>
      </c>
      <c r="D158" s="5" t="str">
        <f>_xlfn.XLOOKUP(A158,全装!G:G,全装!I:I,"",0,1)</f>
        <v>③.FAU-力量套装-14154</v>
      </c>
      <c r="E158" s="5" t="s">
        <v>3696</v>
      </c>
      <c r="F158" s="11" t="s">
        <v>1834</v>
      </c>
      <c r="G158" t="s">
        <v>3698</v>
      </c>
      <c r="I158" t="str">
        <f t="shared" si="9"/>
        <v>r:"(?i)^Power Set$"=③.FAU-力量套装-14154</v>
      </c>
      <c r="J158">
        <f t="shared" si="7"/>
        <v>1</v>
      </c>
      <c r="K158" t="str">
        <f t="shared" si="8"/>
        <v>Power Set=③.FAU-力量套装-14154</v>
      </c>
    </row>
    <row r="159" ht="40.5" spans="1:11">
      <c r="A159" s="14" t="s">
        <v>1606</v>
      </c>
      <c r="B159" s="5" t="s">
        <v>1609</v>
      </c>
      <c r="C159" s="8" t="s">
        <v>1607</v>
      </c>
      <c r="D159" s="5" t="str">
        <f>_xlfn.XLOOKUP(A159,全装!G:G,全装!I:I,"",0,1)</f>
        <v>W-精密激光手枪-43323</v>
      </c>
      <c r="E159" s="5" t="s">
        <v>3696</v>
      </c>
      <c r="F159" s="11" t="s">
        <v>1606</v>
      </c>
      <c r="G159" t="s">
        <v>3698</v>
      </c>
      <c r="I159" t="str">
        <f t="shared" si="9"/>
        <v>r:"(?i)^Precision Laser Pistol$"=W-精密激光手枪-43323</v>
      </c>
      <c r="J159">
        <f t="shared" si="7"/>
        <v>1</v>
      </c>
      <c r="K159" t="str">
        <f t="shared" si="8"/>
        <v>Precision Laser Pistol=W-精密激光手枪-43323</v>
      </c>
    </row>
    <row r="160" ht="40.5" spans="1:11">
      <c r="A160" s="9" t="s">
        <v>810</v>
      </c>
      <c r="B160" s="12" t="s">
        <v>815</v>
      </c>
      <c r="C160" s="13" t="s">
        <v>811</v>
      </c>
      <c r="D160" s="5" t="str">
        <f>_xlfn.XLOOKUP(A160,全装!G:G,全装!I:I,"",0,1)</f>
        <v>②.9_AF-囚犯内裤-15342</v>
      </c>
      <c r="E160" s="5" t="s">
        <v>3696</v>
      </c>
      <c r="F160" s="11" t="s">
        <v>810</v>
      </c>
      <c r="G160" t="s">
        <v>3698</v>
      </c>
      <c r="I160" t="str">
        <f t="shared" si="9"/>
        <v>r:"(?i)^Prisoners Panties$"=②.9_AF-囚犯内裤-15342</v>
      </c>
      <c r="J160">
        <f t="shared" si="7"/>
        <v>1</v>
      </c>
      <c r="K160" t="str">
        <f t="shared" si="8"/>
        <v>Prisoners Panties=②.9_AF-囚犯内裤-15342</v>
      </c>
    </row>
    <row r="161" ht="40.5" spans="1:11">
      <c r="A161" s="9" t="s">
        <v>1082</v>
      </c>
      <c r="B161" s="5" t="s">
        <v>1086</v>
      </c>
      <c r="C161" s="8" t="s">
        <v>1083</v>
      </c>
      <c r="D161" s="5" t="str">
        <f>_xlfn.XLOOKUP(A161,全装!G:G,全装!I:I,"",0,1)</f>
        <v>IF-原型特斯拉枪-31443</v>
      </c>
      <c r="E161" s="5" t="s">
        <v>3696</v>
      </c>
      <c r="F161" s="11" t="s">
        <v>1082</v>
      </c>
      <c r="G161" t="s">
        <v>3698</v>
      </c>
      <c r="I161" t="str">
        <f t="shared" si="9"/>
        <v>r:"(?i)^Prototype Tesla Gun$"=IF-原型特斯拉枪-31443</v>
      </c>
      <c r="J161">
        <f t="shared" si="7"/>
        <v>1</v>
      </c>
      <c r="K161" t="str">
        <f t="shared" si="8"/>
        <v>Prototype Tesla Gun=IF-原型特斯拉枪-31443</v>
      </c>
    </row>
    <row r="162" ht="40.5" spans="1:11">
      <c r="A162" s="14" t="s">
        <v>1409</v>
      </c>
      <c r="B162" t="s">
        <v>1413</v>
      </c>
      <c r="C162" s="10" t="s">
        <v>1410</v>
      </c>
      <c r="D162" s="5" t="str">
        <f>_xlfn.XLOOKUP(A162,全装!G:G,全装!I:I,"",0,1)</f>
        <v>WF-#优质小黄鸭-43243</v>
      </c>
      <c r="E162" s="5" t="s">
        <v>3696</v>
      </c>
      <c r="F162" s="11" t="s">
        <v>1409</v>
      </c>
      <c r="G162" t="s">
        <v>3698</v>
      </c>
      <c r="I162" t="str">
        <f t="shared" si="9"/>
        <v>r:"(?i)^Quality Duck$"=WF-#优质小黄鸭-43243</v>
      </c>
      <c r="J162">
        <f t="shared" si="7"/>
        <v>1</v>
      </c>
      <c r="K162" t="str">
        <f t="shared" si="8"/>
        <v>Quality Duck=WF-#优质小黄鸭-43243</v>
      </c>
    </row>
    <row r="163" ht="40.5" spans="1:11">
      <c r="A163" s="16" t="s">
        <v>1814</v>
      </c>
      <c r="B163" s="5" t="s">
        <v>1815</v>
      </c>
      <c r="C163" s="8" t="s">
        <v>1815</v>
      </c>
      <c r="D163" s="5" t="str">
        <f>_xlfn.XLOOKUP(A163,全装!G:G,全装!I:I,"",0,1)</f>
        <v>W-祈雨舞-43233</v>
      </c>
      <c r="E163" s="5" t="s">
        <v>3696</v>
      </c>
      <c r="F163" s="11" t="s">
        <v>1814</v>
      </c>
      <c r="G163" t="s">
        <v>3698</v>
      </c>
      <c r="I163" t="str">
        <f t="shared" si="9"/>
        <v>r:"(?i)^Rain Dance$"=W-祈雨舞-43233</v>
      </c>
      <c r="J163">
        <f t="shared" si="7"/>
        <v>1</v>
      </c>
      <c r="K163" t="str">
        <f t="shared" si="8"/>
        <v>Rain Dance=W-祈雨舞-43233</v>
      </c>
    </row>
    <row r="164" ht="40.5" spans="1:11">
      <c r="A164" s="16" t="s">
        <v>1817</v>
      </c>
      <c r="B164" s="5" t="s">
        <v>1818</v>
      </c>
      <c r="C164" s="8" t="s">
        <v>1818</v>
      </c>
      <c r="D164" s="5" t="str">
        <f>_xlfn.XLOOKUP(A164,全装!G:G,全装!I:I,"",0,1)</f>
        <v>W-雨衣-43233</v>
      </c>
      <c r="E164" s="5" t="s">
        <v>3696</v>
      </c>
      <c r="F164" s="11" t="s">
        <v>1817</v>
      </c>
      <c r="G164" t="s">
        <v>3698</v>
      </c>
      <c r="I164" t="str">
        <f t="shared" si="9"/>
        <v>r:"(?i)^Raincoat$"=W-雨衣-43233</v>
      </c>
      <c r="J164">
        <f t="shared" si="7"/>
        <v>1</v>
      </c>
      <c r="K164" t="str">
        <f t="shared" si="8"/>
        <v>Raincoat=W-雨衣-43233</v>
      </c>
    </row>
    <row r="165" ht="40.5" spans="1:11">
      <c r="A165" s="9" t="s">
        <v>1839</v>
      </c>
      <c r="B165" s="5" t="s">
        <v>1842</v>
      </c>
      <c r="C165" s="8" t="s">
        <v>1840</v>
      </c>
      <c r="D165" s="5" t="str">
        <f>_xlfn.XLOOKUP(A165,全装!G:G,全装!I:I,"",0,1)</f>
        <v>U-乌鸦皮-23334</v>
      </c>
      <c r="E165" s="5" t="s">
        <v>3696</v>
      </c>
      <c r="F165" s="11" t="s">
        <v>1839</v>
      </c>
      <c r="G165" t="s">
        <v>3698</v>
      </c>
      <c r="I165" t="str">
        <f t="shared" si="9"/>
        <v>r:"(?i)^Raven Hide$"=U-乌鸦皮-23334</v>
      </c>
      <c r="J165">
        <f t="shared" si="7"/>
        <v>1</v>
      </c>
      <c r="K165" t="str">
        <f t="shared" si="8"/>
        <v>Raven Hide=U-乌鸦皮-23334</v>
      </c>
    </row>
    <row r="166" ht="40.5" spans="1:11">
      <c r="A166" s="5" t="s">
        <v>1330</v>
      </c>
      <c r="B166" s="5" t="s">
        <v>1334</v>
      </c>
      <c r="C166" s="8" t="s">
        <v>1331</v>
      </c>
      <c r="D166" s="5" t="str">
        <f>_xlfn.XLOOKUP(A166,全装!G:G,全装!I:I,"",0,1)</f>
        <v>A-常规上衣-24333</v>
      </c>
      <c r="E166" s="5" t="s">
        <v>3696</v>
      </c>
      <c r="F166" s="11" t="s">
        <v>1330</v>
      </c>
      <c r="G166" t="s">
        <v>3698</v>
      </c>
      <c r="I166" t="str">
        <f t="shared" si="9"/>
        <v>r:"(?i)^Regular Top$"=A-常规上衣-24333</v>
      </c>
      <c r="J166">
        <f t="shared" si="7"/>
        <v>1</v>
      </c>
      <c r="K166" t="str">
        <f t="shared" si="8"/>
        <v>Regular Top=A-常规上衣-24333</v>
      </c>
    </row>
    <row r="167" ht="40.5" spans="1:11">
      <c r="A167" s="9" t="s">
        <v>1697</v>
      </c>
      <c r="B167" s="5" t="s">
        <v>1700</v>
      </c>
      <c r="C167" s="8" t="s">
        <v>1698</v>
      </c>
      <c r="D167" s="5" t="str">
        <f>_xlfn.XLOOKUP(A167,全装!G:G,全装!I:I,"",0,1)</f>
        <v>AFU-加固水管-14244</v>
      </c>
      <c r="E167" s="5" t="s">
        <v>3696</v>
      </c>
      <c r="F167" s="11" t="s">
        <v>1697</v>
      </c>
      <c r="G167" t="s">
        <v>3698</v>
      </c>
      <c r="I167" t="str">
        <f t="shared" si="9"/>
        <v>r:"(?i)^Reinforced Pipe$"=AFU-加固水管-14244</v>
      </c>
      <c r="J167">
        <f t="shared" si="7"/>
        <v>1</v>
      </c>
      <c r="K167" t="str">
        <f t="shared" si="8"/>
        <v>Reinforced Pipe=AFU-加固水管-14244</v>
      </c>
    </row>
    <row r="168" ht="40.5" spans="1:11">
      <c r="A168" s="14" t="s">
        <v>1855</v>
      </c>
      <c r="B168" t="s">
        <v>3768</v>
      </c>
      <c r="C168" s="10" t="s">
        <v>1856</v>
      </c>
      <c r="D168" s="5" t="str">
        <f>_xlfn.XLOOKUP(A168,全装!G:G,全装!I:I,"",0,1)</f>
        <v>②.WFU-#雷兹诺的抉择-41155</v>
      </c>
      <c r="E168" s="5" t="s">
        <v>3696</v>
      </c>
      <c r="F168" s="11" t="s">
        <v>1855</v>
      </c>
      <c r="G168" t="s">
        <v>3698</v>
      </c>
      <c r="I168" t="str">
        <f t="shared" si="9"/>
        <v>r:"(?i)^Reznor's Decision$"=②.WFU-#雷兹诺的抉择-41155</v>
      </c>
      <c r="J168">
        <f t="shared" si="7"/>
        <v>1</v>
      </c>
      <c r="K168" t="str">
        <f t="shared" si="8"/>
        <v>Reznor's Decision=②.WFU-#雷兹诺的抉择-41155</v>
      </c>
    </row>
    <row r="169" ht="40.5" spans="1:11">
      <c r="A169" s="9" t="s">
        <v>881</v>
      </c>
      <c r="B169" s="12" t="s">
        <v>3769</v>
      </c>
      <c r="C169" s="13" t="s">
        <v>882</v>
      </c>
      <c r="D169" s="5" t="str">
        <f>_xlfn.XLOOKUP(A169,全装!G:G,全装!I:I,"",0,1)</f>
        <v>①.16_AF-公路战士（下装）-15153</v>
      </c>
      <c r="E169" s="5" t="s">
        <v>3696</v>
      </c>
      <c r="F169" s="15" t="s">
        <v>881</v>
      </c>
      <c r="G169" t="s">
        <v>3698</v>
      </c>
      <c r="I169" t="str">
        <f t="shared" si="9"/>
        <v>r:"(?i)^Road Warrior (bottom)$"=①.16_AF-公路战士（下装）-15153</v>
      </c>
      <c r="J169">
        <f t="shared" si="7"/>
        <v>1</v>
      </c>
      <c r="K169" t="str">
        <f t="shared" si="8"/>
        <v>Road Warrior (bottom)=①.16_AF-公路战士（下装）-15153</v>
      </c>
    </row>
    <row r="170" ht="40.5" spans="1:11">
      <c r="A170" s="9" t="s">
        <v>888</v>
      </c>
      <c r="B170" s="12" t="s">
        <v>3770</v>
      </c>
      <c r="C170" s="13" t="s">
        <v>889</v>
      </c>
      <c r="D170" s="5" t="str">
        <f>_xlfn.XLOOKUP(A170,全装!G:G,全装!I:I,"",0,1)</f>
        <v>①.16_AF-公路战士(散件)-15153</v>
      </c>
      <c r="E170" s="5" t="s">
        <v>3696</v>
      </c>
      <c r="F170" s="15" t="s">
        <v>3771</v>
      </c>
      <c r="G170" t="s">
        <v>3698</v>
      </c>
      <c r="I170" t="str">
        <f t="shared" si="9"/>
        <v>r:"(?i)^Road Warrior$"=①.16_AF-公路战士(散件)-15153</v>
      </c>
      <c r="J170">
        <f t="shared" si="7"/>
        <v>0</v>
      </c>
      <c r="K170" t="str">
        <f t="shared" si="8"/>
        <v>Road Warrior=①.16_AF-公路战士(散件)-15153</v>
      </c>
    </row>
    <row r="171" ht="40.5" spans="1:11">
      <c r="A171" s="5" t="s">
        <v>1506</v>
      </c>
      <c r="B171" s="5" t="s">
        <v>1507</v>
      </c>
      <c r="C171" s="8" t="s">
        <v>1507</v>
      </c>
      <c r="D171" s="5" t="str">
        <f>_xlfn.XLOOKUP(A171,全装!G:G,全装!I:I,"",0,1)</f>
        <v>U-罗马短裙-23334</v>
      </c>
      <c r="E171" s="5" t="s">
        <v>3696</v>
      </c>
      <c r="F171" s="11" t="s">
        <v>1506</v>
      </c>
      <c r="G171" t="s">
        <v>3698</v>
      </c>
      <c r="I171" t="str">
        <f t="shared" si="9"/>
        <v>r:"(?i)^Roman Skirt$"=U-罗马短裙-23334</v>
      </c>
      <c r="J171">
        <f t="shared" si="7"/>
        <v>1</v>
      </c>
      <c r="K171" t="str">
        <f t="shared" si="8"/>
        <v>Roman Skirt=U-罗马短裙-23334</v>
      </c>
    </row>
    <row r="172" ht="40.5" spans="1:11">
      <c r="A172" s="5" t="s">
        <v>1442</v>
      </c>
      <c r="B172" s="5" t="s">
        <v>1446</v>
      </c>
      <c r="C172" s="8" t="s">
        <v>1443</v>
      </c>
      <c r="D172" s="5" t="str">
        <f>_xlfn.XLOOKUP(A172,全装!G:G,全装!I:I,"",0,1)</f>
        <v>F-罗马上衣-23343</v>
      </c>
      <c r="E172" s="5" t="s">
        <v>3696</v>
      </c>
      <c r="F172" s="11" t="s">
        <v>1442</v>
      </c>
      <c r="G172" t="s">
        <v>3698</v>
      </c>
      <c r="I172" t="str">
        <f t="shared" si="9"/>
        <v>r:"(?i)^Roman Top$"=F-罗马上衣-23343</v>
      </c>
      <c r="J172">
        <f t="shared" si="7"/>
        <v>1</v>
      </c>
      <c r="K172" t="str">
        <f t="shared" si="8"/>
        <v>Roman Top=F-罗马上衣-23343</v>
      </c>
    </row>
    <row r="173" ht="40.5" spans="1:11">
      <c r="A173" s="9" t="s">
        <v>1774</v>
      </c>
      <c r="B173" s="5" t="s">
        <v>1777</v>
      </c>
      <c r="C173" s="8" t="s">
        <v>1775</v>
      </c>
      <c r="D173" s="5" t="str">
        <f>_xlfn.XLOOKUP(A173,全装!G:G,全装!I:I,"",0,1)</f>
        <v>FU-灼烧者-32244</v>
      </c>
      <c r="E173" s="5" t="s">
        <v>3696</v>
      </c>
      <c r="F173" s="11" t="s">
        <v>1774</v>
      </c>
      <c r="G173" t="s">
        <v>3698</v>
      </c>
      <c r="I173" t="str">
        <f t="shared" si="9"/>
        <v>r:"(?i)^Scorcher$"=FU-灼烧者-32244</v>
      </c>
      <c r="J173">
        <f t="shared" si="7"/>
        <v>1</v>
      </c>
      <c r="K173" t="str">
        <f t="shared" si="8"/>
        <v>Scorcher=FU-灼烧者-32244</v>
      </c>
    </row>
    <row r="174" ht="40.5" spans="1:11">
      <c r="A174" s="9" t="s">
        <v>1300</v>
      </c>
      <c r="B174" s="5" t="s">
        <v>1301</v>
      </c>
      <c r="C174" s="8" t="s">
        <v>1301</v>
      </c>
      <c r="D174" s="5" t="str">
        <f>_xlfn.XLOOKUP(A174,全装!G:G,全装!I:I,"",0,1)</f>
        <v>AF-侦察兵内裤-14343</v>
      </c>
      <c r="E174" s="5" t="s">
        <v>3696</v>
      </c>
      <c r="F174" s="11" t="s">
        <v>1300</v>
      </c>
      <c r="G174" t="s">
        <v>3698</v>
      </c>
      <c r="I174" t="str">
        <f t="shared" si="9"/>
        <v>r:"(?i)^Scout Panties$"=AF-侦察兵内裤-14343</v>
      </c>
      <c r="J174">
        <f t="shared" si="7"/>
        <v>1</v>
      </c>
      <c r="K174" t="str">
        <f t="shared" si="8"/>
        <v>Scout Panties=AF-侦察兵内裤-14343</v>
      </c>
    </row>
    <row r="175" ht="40.5" spans="1:11">
      <c r="A175" s="9" t="s">
        <v>1254</v>
      </c>
      <c r="B175" s="5" t="s">
        <v>1258</v>
      </c>
      <c r="C175" s="8" t="s">
        <v>1255</v>
      </c>
      <c r="D175" s="5" t="str">
        <f>_xlfn.XLOOKUP(A175,全装!G:G,全装!I:I,"",0,1)</f>
        <v>AF-海洋主题短裙-14343</v>
      </c>
      <c r="E175" s="5" t="s">
        <v>3696</v>
      </c>
      <c r="F175" s="11" t="s">
        <v>1254</v>
      </c>
      <c r="G175" t="s">
        <v>3698</v>
      </c>
      <c r="I175" t="str">
        <f t="shared" si="9"/>
        <v>r:"(?i)^Sea-themed Skirt$"=AF-海洋主题短裙-14343</v>
      </c>
      <c r="J175">
        <f t="shared" si="7"/>
        <v>1</v>
      </c>
      <c r="K175" t="str">
        <f t="shared" si="8"/>
        <v>Sea-themed Skirt=AF-海洋主题短裙-14343</v>
      </c>
    </row>
    <row r="176" ht="40.5" spans="1:11">
      <c r="A176" s="9" t="s">
        <v>1260</v>
      </c>
      <c r="B176" s="5" t="s">
        <v>1264</v>
      </c>
      <c r="C176" s="8" t="s">
        <v>1261</v>
      </c>
      <c r="D176" s="5" t="str">
        <f>_xlfn.XLOOKUP(A176,全装!G:G,全装!I:I,"",0,1)</f>
        <v>AF-海洋主题上衣-14343</v>
      </c>
      <c r="E176" s="5" t="s">
        <v>3696</v>
      </c>
      <c r="F176" s="11" t="s">
        <v>1260</v>
      </c>
      <c r="G176" t="s">
        <v>3698</v>
      </c>
      <c r="I176" t="str">
        <f t="shared" si="9"/>
        <v>r:"(?i)^Sea-themed Top$"=AF-海洋主题上衣-14343</v>
      </c>
      <c r="J176">
        <f t="shared" si="7"/>
        <v>1</v>
      </c>
      <c r="K176" t="str">
        <f t="shared" si="8"/>
        <v>Sea-themed Top=AF-海洋主题上衣-14343</v>
      </c>
    </row>
    <row r="177" ht="40.5" spans="1:11">
      <c r="A177" s="9" t="s">
        <v>1453</v>
      </c>
      <c r="B177" s="5" t="s">
        <v>1457</v>
      </c>
      <c r="C177" s="8" t="s">
        <v>1454</v>
      </c>
      <c r="D177" s="5" t="str">
        <f>_xlfn.XLOOKUP(A177,全装!G:G,全装!I:I,"",0,1)</f>
        <v>IU-感官夹子-31434</v>
      </c>
      <c r="E177" s="5" t="s">
        <v>3696</v>
      </c>
      <c r="F177" s="11" t="s">
        <v>1453</v>
      </c>
      <c r="G177" t="s">
        <v>3698</v>
      </c>
      <c r="I177" t="str">
        <f t="shared" si="9"/>
        <v>r:"(?i)^Sensual Clips$"=IU-感官夹子-31434</v>
      </c>
      <c r="J177">
        <f t="shared" si="7"/>
        <v>1</v>
      </c>
      <c r="K177" t="str">
        <f t="shared" si="8"/>
        <v>Sensual Clips=IU-感官夹子-31434</v>
      </c>
    </row>
    <row r="178" ht="40.5" spans="1:11">
      <c r="A178" s="16" t="s">
        <v>1205</v>
      </c>
      <c r="B178" s="5" t="s">
        <v>1210</v>
      </c>
      <c r="C178" s="8" t="s">
        <v>1206</v>
      </c>
      <c r="D178" s="5" t="str">
        <f>_xlfn.XLOOKUP(A178,全装!G:G,全装!I:I,"",0,1)</f>
        <v>④.WF-蛇纹上衣-41343</v>
      </c>
      <c r="E178" s="5" t="s">
        <v>3696</v>
      </c>
      <c r="F178" s="11" t="s">
        <v>1205</v>
      </c>
      <c r="G178" t="s">
        <v>3698</v>
      </c>
      <c r="I178" t="str">
        <f t="shared" si="9"/>
        <v>r:"(?i)^Serpentine Top$"=④.WF-蛇纹上衣-41343</v>
      </c>
      <c r="J178">
        <f t="shared" si="7"/>
        <v>1</v>
      </c>
      <c r="K178" t="str">
        <f t="shared" si="8"/>
        <v>Serpentine Top=④.WF-蛇纹上衣-41343</v>
      </c>
    </row>
    <row r="179" ht="40.5" spans="1:11">
      <c r="A179" s="9" t="s">
        <v>1861</v>
      </c>
      <c r="B179" s="12" t="s">
        <v>1864</v>
      </c>
      <c r="C179" s="13" t="s">
        <v>1862</v>
      </c>
      <c r="D179" s="5" t="str">
        <f>_xlfn.XLOOKUP(A179,全装!G:G,全装!I:I,"",0,1)</f>
        <v>AIF-色诱制服-14451</v>
      </c>
      <c r="E179" s="5" t="s">
        <v>3696</v>
      </c>
      <c r="F179" s="11" t="s">
        <v>1861</v>
      </c>
      <c r="G179" t="s">
        <v>3698</v>
      </c>
      <c r="I179" t="str">
        <f t="shared" si="9"/>
        <v>r:"(?i)^Sexting Uniform$"=AIF-色诱制服-14451</v>
      </c>
      <c r="J179">
        <f t="shared" si="7"/>
        <v>1</v>
      </c>
      <c r="K179" t="str">
        <f t="shared" si="8"/>
        <v>Sexting Uniform=AIF-色诱制服-14451</v>
      </c>
    </row>
    <row r="180" ht="40.5" spans="1:11">
      <c r="A180" s="9" t="s">
        <v>1751</v>
      </c>
      <c r="B180" s="5" t="s">
        <v>1754</v>
      </c>
      <c r="C180" s="8" t="s">
        <v>1752</v>
      </c>
      <c r="D180" s="5" t="str">
        <f>_xlfn.XLOOKUP(A180,全装!G:G,全装!I:I,"",0,1)</f>
        <v>A-锋利砍刀-34233</v>
      </c>
      <c r="E180" s="5" t="s">
        <v>3696</v>
      </c>
      <c r="F180" s="11" t="s">
        <v>1751</v>
      </c>
      <c r="G180" t="s">
        <v>3698</v>
      </c>
      <c r="I180" t="str">
        <f t="shared" si="9"/>
        <v>r:"(?i)^Sharp Machete$"=A-锋利砍刀-34233</v>
      </c>
      <c r="J180">
        <f t="shared" si="7"/>
        <v>1</v>
      </c>
      <c r="K180" t="str">
        <f t="shared" si="8"/>
        <v>Sharp Machete=A-锋利砍刀-34233</v>
      </c>
    </row>
    <row r="181" ht="40.5" spans="1:11">
      <c r="A181" s="9" t="s">
        <v>1385</v>
      </c>
      <c r="B181" s="5" t="s">
        <v>1389</v>
      </c>
      <c r="C181" s="8" t="s">
        <v>1386</v>
      </c>
      <c r="D181" s="5" t="str">
        <f>_xlfn.XLOOKUP(A181,全装!G:G,全装!I:I,"",0,1)</f>
        <v>FU-短款牛仔裤-31344</v>
      </c>
      <c r="E181" s="5" t="s">
        <v>3696</v>
      </c>
      <c r="F181" s="11" t="s">
        <v>1385</v>
      </c>
      <c r="G181" t="s">
        <v>3698</v>
      </c>
      <c r="I181" t="str">
        <f t="shared" si="9"/>
        <v>r:"(?i)^Short Jeans$"=FU-短款牛仔裤-31344</v>
      </c>
      <c r="J181">
        <f t="shared" si="7"/>
        <v>1</v>
      </c>
      <c r="K181" t="str">
        <f t="shared" si="8"/>
        <v>Short Jeans=FU-短款牛仔裤-31344</v>
      </c>
    </row>
    <row r="182" ht="40.5" spans="1:11">
      <c r="A182" s="9" t="s">
        <v>1464</v>
      </c>
      <c r="B182" s="5" t="s">
        <v>1468</v>
      </c>
      <c r="C182" s="8" t="s">
        <v>1465</v>
      </c>
      <c r="D182" s="5" t="str">
        <f>_xlfn.XLOOKUP(A182,全装!G:G,全装!I:I,"",0,1)</f>
        <v>F-霰弹枪-32352</v>
      </c>
      <c r="E182" s="5" t="s">
        <v>3696</v>
      </c>
      <c r="F182" s="11" t="s">
        <v>1464</v>
      </c>
      <c r="G182" t="s">
        <v>3698</v>
      </c>
      <c r="I182" t="str">
        <f t="shared" si="9"/>
        <v>r:"(?i)^Shotgun$"=F-霰弹枪-32352</v>
      </c>
      <c r="J182">
        <f t="shared" si="7"/>
        <v>1</v>
      </c>
      <c r="K182" t="str">
        <f t="shared" si="8"/>
        <v>Shotgun=F-霰弹枪-32352</v>
      </c>
    </row>
    <row r="183" ht="40.5" spans="1:11">
      <c r="A183" s="17" t="s">
        <v>1886</v>
      </c>
      <c r="B183" s="11" t="s">
        <v>1888</v>
      </c>
      <c r="C183" s="10" t="s">
        <v>1887</v>
      </c>
      <c r="D183" s="5" t="str">
        <f>_xlfn.XLOOKUP(A183,全装!G:G,全装!I:I,"",0,1)</f>
        <v>姐妹会连衣裙(X)-00000</v>
      </c>
      <c r="E183" s="5" t="s">
        <v>3696</v>
      </c>
      <c r="F183" s="11" t="s">
        <v>1886</v>
      </c>
      <c r="G183" t="s">
        <v>3698</v>
      </c>
      <c r="I183" t="str">
        <f t="shared" si="9"/>
        <v>r:"(?i)^Sisterhood Dress$"=姐妹会连衣裙(X)-00000</v>
      </c>
      <c r="J183">
        <f t="shared" si="7"/>
        <v>1</v>
      </c>
      <c r="K183" t="str">
        <f t="shared" si="8"/>
        <v>Sisterhood Dress=姐妹会连衣裙(X)-00000</v>
      </c>
    </row>
    <row r="184" ht="40.5" spans="1:11">
      <c r="A184" s="14" t="s">
        <v>1889</v>
      </c>
      <c r="B184" s="5" t="s">
        <v>1892</v>
      </c>
      <c r="C184" s="8" t="s">
        <v>1890</v>
      </c>
      <c r="D184" s="5" t="str">
        <f>_xlfn.XLOOKUP(A184,全装!G:G,全装!I:I,"",0,1)</f>
        <v>WIF-诗人的诗篇-41451</v>
      </c>
      <c r="E184" s="5" t="s">
        <v>3696</v>
      </c>
      <c r="F184" s="11" t="s">
        <v>1889</v>
      </c>
      <c r="G184" t="s">
        <v>3698</v>
      </c>
      <c r="I184" t="str">
        <f t="shared" si="9"/>
        <v>r:"(?i)^Skalds Poem$"=WIF-诗人的诗篇-41451</v>
      </c>
      <c r="J184">
        <f t="shared" si="7"/>
        <v>1</v>
      </c>
      <c r="K184" t="str">
        <f t="shared" si="8"/>
        <v>Skalds Poem=WIF-诗人的诗篇-41451</v>
      </c>
    </row>
    <row r="185" ht="40.5" spans="1:11">
      <c r="A185" s="9" t="s">
        <v>1137</v>
      </c>
      <c r="B185" s="5" t="s">
        <v>1141</v>
      </c>
      <c r="C185" s="8" t="s">
        <v>1138</v>
      </c>
      <c r="D185" s="5" t="str">
        <f>_xlfn.XLOOKUP(A185,全装!G:G,全装!I:I,"",0,1)</f>
        <v>I-小型消防斧-23433</v>
      </c>
      <c r="E185" s="5" t="s">
        <v>3696</v>
      </c>
      <c r="F185" s="11" t="s">
        <v>1137</v>
      </c>
      <c r="G185" t="s">
        <v>3698</v>
      </c>
      <c r="I185" t="str">
        <f t="shared" si="9"/>
        <v>r:"(?i)^Small Fireaxe$"=I-小型消防斧-23433</v>
      </c>
      <c r="J185">
        <f t="shared" si="7"/>
        <v>1</v>
      </c>
      <c r="K185" t="str">
        <f t="shared" si="8"/>
        <v>Small Fireaxe=I-小型消防斧-23433</v>
      </c>
    </row>
    <row r="186" ht="40.5" spans="1:11">
      <c r="A186" s="14" t="s">
        <v>1545</v>
      </c>
      <c r="B186" s="5" t="s">
        <v>1549</v>
      </c>
      <c r="C186" s="8" t="s">
        <v>1546</v>
      </c>
      <c r="D186" s="5" t="str">
        <f>_xlfn.XLOOKUP(A186,全装!G:G,全装!I:I,"",0,1)</f>
        <v>WF-小型鱼叉枪-41343</v>
      </c>
      <c r="E186" s="5" t="s">
        <v>3696</v>
      </c>
      <c r="F186" s="11" t="s">
        <v>1545</v>
      </c>
      <c r="G186" t="s">
        <v>3698</v>
      </c>
      <c r="I186" t="str">
        <f t="shared" si="9"/>
        <v>r:"(?i)^Small Harpoon Gun$"=WF-小型鱼叉枪-41343</v>
      </c>
      <c r="J186">
        <f t="shared" si="7"/>
        <v>1</v>
      </c>
      <c r="K186" t="str">
        <f t="shared" si="8"/>
        <v>Small Harpoon Gun=WF-小型鱼叉枪-41343</v>
      </c>
    </row>
    <row r="187" ht="40.5" spans="1:11">
      <c r="A187" s="9" t="s">
        <v>1647</v>
      </c>
      <c r="B187" s="5" t="s">
        <v>1648</v>
      </c>
      <c r="C187" s="8" t="s">
        <v>1648</v>
      </c>
      <c r="D187" s="5" t="str">
        <f>_xlfn.XLOOKUP(A187,全装!G:G,全装!I:I,"",0,1)</f>
        <v>小型手枪-33333</v>
      </c>
      <c r="E187" s="5" t="s">
        <v>3696</v>
      </c>
      <c r="F187" s="11" t="s">
        <v>1647</v>
      </c>
      <c r="G187" t="s">
        <v>3698</v>
      </c>
      <c r="I187" t="str">
        <f t="shared" si="9"/>
        <v>r:"(?i)^Small Pistol$"=小型手枪-33333</v>
      </c>
      <c r="J187">
        <f t="shared" si="7"/>
        <v>1</v>
      </c>
      <c r="K187" t="str">
        <f t="shared" si="8"/>
        <v>Small Pistol=小型手枪-33333</v>
      </c>
    </row>
    <row r="188" ht="40.5" spans="1:11">
      <c r="A188" s="14" t="s">
        <v>1578</v>
      </c>
      <c r="B188" s="5" t="s">
        <v>1582</v>
      </c>
      <c r="C188" s="8" t="s">
        <v>1579</v>
      </c>
      <c r="D188" s="5" t="str">
        <f>_xlfn.XLOOKUP(A188,全装!G:G,全装!I:I,"",0,1)</f>
        <v>WU-冲锋枪-41334</v>
      </c>
      <c r="E188" s="5" t="s">
        <v>3696</v>
      </c>
      <c r="F188" s="11" t="s">
        <v>1578</v>
      </c>
      <c r="G188" t="s">
        <v>3698</v>
      </c>
      <c r="I188" t="str">
        <f t="shared" si="9"/>
        <v>r:"(?i)^SMG$"=WU-冲锋枪-41334</v>
      </c>
      <c r="J188">
        <f t="shared" si="7"/>
        <v>1</v>
      </c>
      <c r="K188" t="str">
        <f t="shared" si="8"/>
        <v>SMG=WU-冲锋枪-41334</v>
      </c>
    </row>
    <row r="189" ht="40.5" spans="1:11">
      <c r="A189" s="9" t="s">
        <v>677</v>
      </c>
      <c r="B189" s="5" t="s">
        <v>3772</v>
      </c>
      <c r="C189" s="8" t="s">
        <v>678</v>
      </c>
      <c r="D189" s="5" t="str">
        <f>_xlfn.XLOOKUP(A189,全装!G:G,全装!I:I,"",0,1)</f>
        <v>③.3_AFU-太空紧身裤-14244</v>
      </c>
      <c r="E189" s="5" t="s">
        <v>3696</v>
      </c>
      <c r="F189" s="11" t="s">
        <v>677</v>
      </c>
      <c r="G189" t="s">
        <v>3698</v>
      </c>
      <c r="I189" t="str">
        <f t="shared" si="9"/>
        <v>r:"(?i)^Space Leggings$"=③.3_AFU-太空紧身裤-14244</v>
      </c>
      <c r="J189">
        <f t="shared" si="7"/>
        <v>1</v>
      </c>
      <c r="K189" t="str">
        <f t="shared" si="8"/>
        <v>Space Leggings=③.3_AFU-太空紧身裤-14244</v>
      </c>
    </row>
    <row r="190" ht="40.5" spans="1:11">
      <c r="A190" s="5" t="s">
        <v>1742</v>
      </c>
      <c r="B190" s="5" t="s">
        <v>1745</v>
      </c>
      <c r="C190" s="8" t="s">
        <v>1743</v>
      </c>
      <c r="D190" s="5" t="str">
        <f>_xlfn.XLOOKUP(A190,全装!G:G,全装!I:I,"",0,1)</f>
        <v>A-太空上衣-34233</v>
      </c>
      <c r="E190" s="5" t="s">
        <v>3696</v>
      </c>
      <c r="F190" s="11" t="s">
        <v>1742</v>
      </c>
      <c r="G190" t="s">
        <v>3698</v>
      </c>
      <c r="I190" t="str">
        <f t="shared" si="9"/>
        <v>r:"(?i)^Space Top$"=A-太空上衣-34233</v>
      </c>
      <c r="J190">
        <f t="shared" si="7"/>
        <v>1</v>
      </c>
      <c r="K190" t="str">
        <f t="shared" si="8"/>
        <v>Space Top=A-太空上衣-34233</v>
      </c>
    </row>
    <row r="191" ht="40.5" spans="1:11">
      <c r="A191" s="14" t="s">
        <v>1534</v>
      </c>
      <c r="B191" s="5" t="s">
        <v>1538</v>
      </c>
      <c r="C191" s="8" t="s">
        <v>1535</v>
      </c>
      <c r="D191" s="5" t="str">
        <f>_xlfn.XLOOKUP(A191,全装!G:G,全装!I:I,"",0,1)</f>
        <v>WF-特制冲锋枪-41343</v>
      </c>
      <c r="E191" s="5" t="s">
        <v>3696</v>
      </c>
      <c r="F191" s="11" t="s">
        <v>1534</v>
      </c>
      <c r="G191" t="s">
        <v>3698</v>
      </c>
      <c r="I191" t="str">
        <f t="shared" si="9"/>
        <v>r:"(?i)^Specialized SMG$"=WF-特制冲锋枪-41343</v>
      </c>
      <c r="J191">
        <f t="shared" si="7"/>
        <v>1</v>
      </c>
      <c r="K191" t="str">
        <f t="shared" si="8"/>
        <v>Specialized SMG=WF-特制冲锋枪-41343</v>
      </c>
    </row>
    <row r="192" ht="40.5" spans="1:11">
      <c r="A192" s="14" t="s">
        <v>1539</v>
      </c>
      <c r="B192" s="5" t="s">
        <v>1543</v>
      </c>
      <c r="C192" s="8" t="s">
        <v>1540</v>
      </c>
      <c r="D192" s="5" t="str">
        <f>_xlfn.XLOOKUP(A192,全装!G:G,全装!I:I,"",0,1)</f>
        <v>WA-热辣口红-44133</v>
      </c>
      <c r="E192" s="5" t="s">
        <v>3696</v>
      </c>
      <c r="F192" s="11" t="s">
        <v>1539</v>
      </c>
      <c r="G192" t="s">
        <v>3698</v>
      </c>
      <c r="I192" t="str">
        <f t="shared" si="9"/>
        <v>r:"(?i)^Spicy Lipstick$"=WA-热辣口红-44133</v>
      </c>
      <c r="J192">
        <f t="shared" si="7"/>
        <v>1</v>
      </c>
      <c r="K192" t="str">
        <f t="shared" si="8"/>
        <v>Spicy Lipstick=WA-热辣口红-44133</v>
      </c>
    </row>
    <row r="193" ht="40.5" spans="1:11">
      <c r="A193" s="9" t="s">
        <v>1701</v>
      </c>
      <c r="B193" s="5" t="s">
        <v>1705</v>
      </c>
      <c r="C193" s="8" t="s">
        <v>1702</v>
      </c>
      <c r="D193" s="5" t="str">
        <f>_xlfn.XLOOKUP(A193,全装!G:G,全装!I:I,"",0,1)</f>
        <v>AFU-尖刺棍棒-14244</v>
      </c>
      <c r="E193" s="5" t="s">
        <v>3696</v>
      </c>
      <c r="F193" s="11" t="s">
        <v>1701</v>
      </c>
      <c r="G193" t="s">
        <v>3698</v>
      </c>
      <c r="I193" t="str">
        <f t="shared" si="9"/>
        <v>r:"(?i)^Spiked Club$"=AFU-尖刺棍棒-14244</v>
      </c>
      <c r="J193">
        <f t="shared" si="7"/>
        <v>1</v>
      </c>
      <c r="K193" t="str">
        <f t="shared" si="8"/>
        <v>Spiked Club=AFU-尖刺棍棒-14244</v>
      </c>
    </row>
    <row r="194" ht="40.5" spans="1:11">
      <c r="A194" s="9" t="s">
        <v>1478</v>
      </c>
      <c r="B194" s="5" t="s">
        <v>1482</v>
      </c>
      <c r="C194" s="8" t="s">
        <v>1479</v>
      </c>
      <c r="D194" s="5" t="str">
        <f>_xlfn.XLOOKUP(A194,全装!G:G,全装!I:I,"",0,1)</f>
        <v>F-溅血锤-23343</v>
      </c>
      <c r="E194" s="5" t="s">
        <v>3696</v>
      </c>
      <c r="F194" s="11" t="s">
        <v>1478</v>
      </c>
      <c r="G194" t="s">
        <v>3698</v>
      </c>
      <c r="I194" t="str">
        <f t="shared" si="9"/>
        <v>r:"(?i)^Splathammer$"=F-溅血锤-23343</v>
      </c>
      <c r="J194">
        <f t="shared" si="7"/>
        <v>1</v>
      </c>
      <c r="K194" t="str">
        <f t="shared" si="8"/>
        <v>Splathammer=F-溅血锤-23343</v>
      </c>
    </row>
    <row r="195" ht="40.5" spans="1:11">
      <c r="A195" s="5" t="s">
        <v>1295</v>
      </c>
      <c r="B195" s="5" t="s">
        <v>1296</v>
      </c>
      <c r="C195" s="8" t="s">
        <v>1296</v>
      </c>
      <c r="D195" s="5" t="str">
        <f>_xlfn.XLOOKUP(A195,全装!G:G,全装!I:I,"",0,1)</f>
        <v>AF-运动短裤-24342</v>
      </c>
      <c r="E195" s="5" t="s">
        <v>3696</v>
      </c>
      <c r="F195" s="11" t="s">
        <v>1295</v>
      </c>
      <c r="G195" t="s">
        <v>3698</v>
      </c>
      <c r="I195" t="str">
        <f t="shared" si="9"/>
        <v>r:"(?i)^Sport Shorts$"=AF-运动短裤-24342</v>
      </c>
      <c r="J195">
        <f>IF(F195=A195,1,0)</f>
        <v>1</v>
      </c>
      <c r="K195" t="str">
        <f t="shared" ref="K195:K231" si="10">F195&amp;"="&amp;D195</f>
        <v>Sport Shorts=AF-运动短裤-24342</v>
      </c>
    </row>
    <row r="196" ht="40.5" spans="1:11">
      <c r="A196" s="9" t="s">
        <v>1746</v>
      </c>
      <c r="B196" s="5" t="s">
        <v>1747</v>
      </c>
      <c r="C196" s="8" t="s">
        <v>1747</v>
      </c>
      <c r="D196" s="5" t="str">
        <f>_xlfn.XLOOKUP(A196,全装!G:G,全装!I:I,"",0,1)</f>
        <v>A-运动胸罩-34233</v>
      </c>
      <c r="E196" s="5" t="s">
        <v>3696</v>
      </c>
      <c r="F196" s="11" t="s">
        <v>3773</v>
      </c>
      <c r="G196" t="s">
        <v>3698</v>
      </c>
      <c r="I196" t="str">
        <f t="shared" si="9"/>
        <v>r:"(?i)^Sport Bra$"=A-运动胸罩-34233</v>
      </c>
      <c r="J196">
        <f>IF(F196=A196,1,0)</f>
        <v>0</v>
      </c>
      <c r="K196" t="str">
        <f t="shared" si="10"/>
        <v>Sport Bra=A-运动胸罩-34233</v>
      </c>
    </row>
    <row r="197" ht="40.5" spans="1:11">
      <c r="A197" s="9" t="s">
        <v>1248</v>
      </c>
      <c r="B197" s="5" t="s">
        <v>1252</v>
      </c>
      <c r="C197" s="8" t="s">
        <v>1249</v>
      </c>
      <c r="D197" s="5" t="str">
        <f>_xlfn.XLOOKUP(A197,全装!G:G,全装!I:I,"",0,1)</f>
        <v>AF-海星胸罩-14343</v>
      </c>
      <c r="E197" s="5" t="s">
        <v>3696</v>
      </c>
      <c r="F197" s="11" t="s">
        <v>1248</v>
      </c>
      <c r="G197" t="s">
        <v>3698</v>
      </c>
      <c r="I197" t="str">
        <f t="shared" si="9"/>
        <v>r:"(?i)^Starfish Bra$"=AF-海星胸罩-14343</v>
      </c>
      <c r="J197">
        <f>IF(F197=A197,1,0)</f>
        <v>1</v>
      </c>
      <c r="K197" t="str">
        <f t="shared" si="10"/>
        <v>Starfish Bra=AF-海星胸罩-14343</v>
      </c>
    </row>
    <row r="198" ht="40.5" spans="1:11">
      <c r="A198" s="9" t="s">
        <v>1305</v>
      </c>
      <c r="B198" s="5" t="s">
        <v>1306</v>
      </c>
      <c r="C198" s="8" t="s">
        <v>1306</v>
      </c>
      <c r="D198" s="5" t="str">
        <f>_xlfn.XLOOKUP(A198,全装!G:G,全装!I:I,"",0,1)</f>
        <v>AU-海星内裤-14334</v>
      </c>
      <c r="E198" s="5" t="s">
        <v>3696</v>
      </c>
      <c r="F198" s="11" t="s">
        <v>1305</v>
      </c>
      <c r="G198" t="s">
        <v>3698</v>
      </c>
      <c r="I198" t="str">
        <f t="shared" si="9"/>
        <v>r:"(?i)^Starfish Panties$"=AU-海星内裤-14334</v>
      </c>
      <c r="J198">
        <f>IF(F198=A198,1,0)</f>
        <v>1</v>
      </c>
      <c r="K198" t="str">
        <f t="shared" si="10"/>
        <v>Starfish Panties=AU-海星内裤-14334</v>
      </c>
    </row>
    <row r="199" ht="40.5" spans="1:11">
      <c r="A199" s="17" t="s">
        <v>1893</v>
      </c>
      <c r="B199" s="11" t="s">
        <v>1895</v>
      </c>
      <c r="C199" s="10" t="s">
        <v>1894</v>
      </c>
      <c r="D199" s="5" t="str">
        <f>_xlfn.XLOOKUP(A199,全装!G:G,全装!I:I,"",0,1)</f>
        <v>斯黛拉的阳光(X)-00000</v>
      </c>
      <c r="E199" s="5" t="s">
        <v>3696</v>
      </c>
      <c r="F199" s="11" t="s">
        <v>1893</v>
      </c>
      <c r="G199" t="s">
        <v>3698</v>
      </c>
      <c r="I199" t="str">
        <f t="shared" si="9"/>
        <v>r:"(?i)^Stella's Sunshine$"=斯黛拉的阳光(X)-00000</v>
      </c>
      <c r="J199">
        <f>IF(F199=A199,1,0)</f>
        <v>1</v>
      </c>
      <c r="K199" t="str">
        <f t="shared" si="10"/>
        <v>Stella's Sunshine=斯黛拉的阳光(X)-00000</v>
      </c>
    </row>
    <row r="200" spans="1:11">
      <c r="A200" s="9" t="s">
        <v>1555</v>
      </c>
      <c r="B200" s="5" t="s">
        <v>1559</v>
      </c>
      <c r="C200" s="8" t="s">
        <v>1556</v>
      </c>
      <c r="D200" s="5" t="str">
        <f>_xlfn.XLOOKUP(A200,全装!G:G,全装!I:I,"",0,1)</f>
        <v>F-MP4-32343</v>
      </c>
      <c r="E200" s="5"/>
      <c r="F200" s="11" t="s">
        <v>1555</v>
      </c>
      <c r="G200" t="s">
        <v>3760</v>
      </c>
      <c r="I200" t="str">
        <f t="shared" si="9"/>
        <v>Stocked MP4=F-MP4-32343</v>
      </c>
      <c r="J200">
        <f t="shared" ref="J200:J231" si="11">IF(F200=A200,1,0)</f>
        <v>1</v>
      </c>
      <c r="K200" t="str">
        <f t="shared" si="10"/>
        <v>Stocked MP4=F-MP4-32343</v>
      </c>
    </row>
    <row r="201" ht="40.5" spans="1:11">
      <c r="A201" s="14" t="s">
        <v>1684</v>
      </c>
      <c r="B201" s="5" t="s">
        <v>1685</v>
      </c>
      <c r="C201" s="8" t="s">
        <v>1685</v>
      </c>
      <c r="D201" s="5" t="str">
        <f>_xlfn.XLOOKUP(A201,全装!G:G,全装!I:I,"",0,1)</f>
        <v>④.WFU-条纹马甲-41244</v>
      </c>
      <c r="E201" s="5" t="s">
        <v>3696</v>
      </c>
      <c r="F201" s="11" t="s">
        <v>1684</v>
      </c>
      <c r="G201" t="s">
        <v>3698</v>
      </c>
      <c r="I201" t="str">
        <f t="shared" ref="I201:I231" si="12">E201&amp;F201&amp;G201&amp;D201</f>
        <v>r:"(?i)^Stripped Vest$"=④.WFU-条纹马甲-41244</v>
      </c>
      <c r="J201">
        <f t="shared" si="11"/>
        <v>1</v>
      </c>
      <c r="K201" t="str">
        <f t="shared" si="10"/>
        <v>Stripped Vest=④.WFU-条纹马甲-41244</v>
      </c>
    </row>
    <row r="202" ht="40.5" spans="1:11">
      <c r="A202" s="14" t="s">
        <v>1194</v>
      </c>
      <c r="B202" s="5" t="s">
        <v>3774</v>
      </c>
      <c r="C202" s="8" t="s">
        <v>1195</v>
      </c>
      <c r="D202" s="5" t="str">
        <f>_xlfn.XLOOKUP(A202,全装!G:G,全装!I:I,"",0,1)</f>
        <v>WI-微妙的短裤-41433</v>
      </c>
      <c r="E202" s="5" t="s">
        <v>3696</v>
      </c>
      <c r="F202" s="11" t="s">
        <v>1194</v>
      </c>
      <c r="G202" t="s">
        <v>3698</v>
      </c>
      <c r="I202" t="str">
        <f t="shared" si="12"/>
        <v>r:"(?i)^Subtle Shorts$"=WI-微妙的短裤-41433</v>
      </c>
      <c r="J202">
        <f t="shared" si="11"/>
        <v>1</v>
      </c>
      <c r="K202" t="str">
        <f t="shared" si="10"/>
        <v>Subtle Shorts=WI-微妙的短裤-41433</v>
      </c>
    </row>
    <row r="203" ht="40.5" spans="1:11">
      <c r="A203" s="9" t="s">
        <v>948</v>
      </c>
      <c r="B203" s="5" t="s">
        <v>3775</v>
      </c>
      <c r="C203" s="8" t="s">
        <v>949</v>
      </c>
      <c r="D203" s="5" t="str">
        <f>_xlfn.XLOOKUP(A203,全装!G:G,全装!I:I,"",0,1)</f>
        <v>I-微妙的上衣-31533</v>
      </c>
      <c r="E203" s="5" t="s">
        <v>3696</v>
      </c>
      <c r="F203" s="11" t="s">
        <v>948</v>
      </c>
      <c r="G203" t="s">
        <v>3698</v>
      </c>
      <c r="I203" t="str">
        <f t="shared" si="12"/>
        <v>r:"(?i)^Subtle Top$"=I-微妙的上衣-31533</v>
      </c>
      <c r="J203">
        <f t="shared" si="11"/>
        <v>1</v>
      </c>
      <c r="K203" t="str">
        <f t="shared" si="10"/>
        <v>Subtle Top=I-微妙的上衣-31533</v>
      </c>
    </row>
    <row r="204" ht="40.5" spans="1:11">
      <c r="A204" s="9" t="s">
        <v>1783</v>
      </c>
      <c r="B204" s="12" t="s">
        <v>1787</v>
      </c>
      <c r="C204" s="13" t="s">
        <v>1784</v>
      </c>
      <c r="D204" s="5" t="str">
        <f>_xlfn.XLOOKUP(A204,全装!G:G,全装!I:I,"",0,1)</f>
        <v>AI-糖衣炮弹-25413</v>
      </c>
      <c r="E204" s="5" t="s">
        <v>3696</v>
      </c>
      <c r="F204" s="11" t="s">
        <v>1783</v>
      </c>
      <c r="G204" t="s">
        <v>3698</v>
      </c>
      <c r="I204" t="str">
        <f t="shared" si="12"/>
        <v>r:"(?i)^Sugar Bomb$"=AI-糖衣炮弹-25413</v>
      </c>
      <c r="J204">
        <f t="shared" si="11"/>
        <v>1</v>
      </c>
      <c r="K204" t="str">
        <f t="shared" si="10"/>
        <v>Sugar Bomb=AI-糖衣炮弹-25413</v>
      </c>
    </row>
    <row r="205" ht="40.5" spans="1:11">
      <c r="A205" s="9" t="s">
        <v>1898</v>
      </c>
      <c r="B205" s="5" t="s">
        <v>1901</v>
      </c>
      <c r="C205" s="8" t="s">
        <v>1899</v>
      </c>
      <c r="D205" s="5" t="str">
        <f>_xlfn.XLOOKUP(A205,全装!G:G,全装!I:I,"",0,1)</f>
        <v>AU-服从套装-24234</v>
      </c>
      <c r="E205" s="5" t="s">
        <v>3696</v>
      </c>
      <c r="F205" s="11" t="s">
        <v>1898</v>
      </c>
      <c r="G205" t="s">
        <v>3698</v>
      </c>
      <c r="I205" t="str">
        <f t="shared" si="12"/>
        <v>r:"(?i)^Suitmission$"=AU-服从套装-24234</v>
      </c>
      <c r="J205">
        <f t="shared" si="11"/>
        <v>1</v>
      </c>
      <c r="K205" t="str">
        <f t="shared" si="10"/>
        <v>Suitmission=AU-服从套装-24234</v>
      </c>
    </row>
    <row r="206" ht="40.5" spans="1:11">
      <c r="A206" s="9" t="s">
        <v>1346</v>
      </c>
      <c r="B206" s="5" t="s">
        <v>1347</v>
      </c>
      <c r="C206" s="8" t="s">
        <v>1347</v>
      </c>
      <c r="D206" s="5" t="str">
        <f>_xlfn.XLOOKUP(A206,全装!G:G,全装!I:I,"",0,1)</f>
        <v>A-运动长裤-24332</v>
      </c>
      <c r="E206" s="5" t="s">
        <v>3696</v>
      </c>
      <c r="F206" s="11" t="s">
        <v>1346</v>
      </c>
      <c r="G206" t="s">
        <v>3698</v>
      </c>
      <c r="I206" t="str">
        <f t="shared" si="12"/>
        <v>r:"(?i)^Sweatpants$"=A-运动长裤-24332</v>
      </c>
      <c r="J206">
        <f t="shared" si="11"/>
        <v>1</v>
      </c>
      <c r="K206" t="str">
        <f t="shared" si="10"/>
        <v>Sweatpants=A-运动长裤-24332</v>
      </c>
    </row>
    <row r="207" ht="40.5" spans="1:11">
      <c r="A207" s="9" t="s">
        <v>1341</v>
      </c>
      <c r="B207" s="5" t="s">
        <v>1342</v>
      </c>
      <c r="C207" s="8" t="s">
        <v>1342</v>
      </c>
      <c r="D207" s="5" t="str">
        <f>_xlfn.XLOOKUP(A207,全装!G:G,全装!I:I,"",0,1)</f>
        <v>A-运动卫衣-24332</v>
      </c>
      <c r="E207" s="5" t="s">
        <v>3696</v>
      </c>
      <c r="F207" s="11" t="s">
        <v>1341</v>
      </c>
      <c r="G207" t="s">
        <v>3698</v>
      </c>
      <c r="I207" t="str">
        <f t="shared" si="12"/>
        <v>r:"(?i)^Sweatshirt$"=A-运动卫衣-24332</v>
      </c>
      <c r="J207">
        <f t="shared" si="11"/>
        <v>1</v>
      </c>
      <c r="K207" t="str">
        <f t="shared" si="10"/>
        <v>Sweatshirt=A-运动卫衣-24332</v>
      </c>
    </row>
    <row r="208" ht="40.5" spans="1:11">
      <c r="A208" s="17" t="s">
        <v>1902</v>
      </c>
      <c r="B208" t="s">
        <v>3776</v>
      </c>
      <c r="C208" s="10" t="s">
        <v>1903</v>
      </c>
      <c r="D208" s="5" t="str">
        <f>_xlfn.XLOOKUP(A208,全装!G:G,全装!I:I,"",0,1)</f>
        <v>①.AFU-#西比尔的叛逆-25244</v>
      </c>
      <c r="E208" s="5" t="s">
        <v>3696</v>
      </c>
      <c r="F208" s="11" t="s">
        <v>1902</v>
      </c>
      <c r="G208" t="s">
        <v>3698</v>
      </c>
      <c r="I208" t="str">
        <f t="shared" si="12"/>
        <v>r:"(?i)^Sybil's Rebellion$"=①.AFU-#西比尔的叛逆-25244</v>
      </c>
      <c r="J208">
        <f t="shared" si="11"/>
        <v>1</v>
      </c>
      <c r="K208" t="str">
        <f t="shared" si="10"/>
        <v>Sybil's Rebellion=①.AFU-#西比尔的叛逆-25244</v>
      </c>
    </row>
    <row r="209" ht="40.5" spans="1:11">
      <c r="A209" s="9" t="s">
        <v>1788</v>
      </c>
      <c r="B209" s="12" t="s">
        <v>1792</v>
      </c>
      <c r="C209" s="13" t="s">
        <v>1789</v>
      </c>
      <c r="D209" s="5" t="str">
        <f>_xlfn.XLOOKUP(A209,全装!G:G,全装!I:I,"",0,1)</f>
        <v>AI-劣质假阳具-34413</v>
      </c>
      <c r="E209" s="5" t="s">
        <v>3696</v>
      </c>
      <c r="F209" s="11" t="s">
        <v>1788</v>
      </c>
      <c r="G209" t="s">
        <v>3698</v>
      </c>
      <c r="I209" t="str">
        <f t="shared" si="12"/>
        <v>r:"(?i)^Tacky Dildo$"=AI-劣质假阳具-34413</v>
      </c>
      <c r="J209">
        <f t="shared" si="11"/>
        <v>1</v>
      </c>
      <c r="K209" t="str">
        <f t="shared" si="10"/>
        <v>Tacky Dildo=AI-劣质假阳具-34413</v>
      </c>
    </row>
    <row r="210" ht="40.5" spans="1:11">
      <c r="A210" s="5" t="s">
        <v>1485</v>
      </c>
      <c r="B210" s="5" t="s">
        <v>1489</v>
      </c>
      <c r="C210" s="8" t="s">
        <v>1486</v>
      </c>
      <c r="D210" s="5" t="str">
        <f>_xlfn.XLOOKUP(A210,全装!G:G,全装!I:I,"",0,1)</f>
        <v>F-电击器-23343</v>
      </c>
      <c r="E210" s="5" t="s">
        <v>3696</v>
      </c>
      <c r="F210" s="11" t="s">
        <v>1485</v>
      </c>
      <c r="G210" t="s">
        <v>3698</v>
      </c>
      <c r="I210" t="str">
        <f t="shared" si="12"/>
        <v>r:"(?i)^Tazer$"=F-电击器-23343</v>
      </c>
      <c r="J210">
        <f t="shared" si="11"/>
        <v>1</v>
      </c>
      <c r="K210" t="str">
        <f t="shared" si="10"/>
        <v>Tazer=F-电击器-23343</v>
      </c>
    </row>
    <row r="211" ht="40.5" spans="1:11">
      <c r="A211" s="14" t="s">
        <v>1803</v>
      </c>
      <c r="B211" s="5" t="s">
        <v>1807</v>
      </c>
      <c r="C211" s="8" t="s">
        <v>1804</v>
      </c>
      <c r="D211" s="5" t="str">
        <f>_xlfn.XLOOKUP(A211,全装!G:G,全装!I:I,"",0,1)</f>
        <v>WIF-泰迪熊内衣-42441</v>
      </c>
      <c r="E211" s="5" t="s">
        <v>3696</v>
      </c>
      <c r="F211" s="11" t="s">
        <v>1803</v>
      </c>
      <c r="G211" t="s">
        <v>3698</v>
      </c>
      <c r="I211" t="str">
        <f t="shared" si="12"/>
        <v>r:"(?i)^Teddy$"=WIF-泰迪熊内衣-42441</v>
      </c>
      <c r="J211">
        <f t="shared" si="11"/>
        <v>1</v>
      </c>
      <c r="K211" t="str">
        <f t="shared" si="10"/>
        <v>Teddy=WIF-泰迪熊内衣-42441</v>
      </c>
    </row>
    <row r="212" ht="40.5" spans="1:11">
      <c r="A212" s="9" t="s">
        <v>1042</v>
      </c>
      <c r="B212" s="5" t="s">
        <v>1046</v>
      </c>
      <c r="C212" s="8" t="s">
        <v>1043</v>
      </c>
      <c r="D212" s="5" t="str">
        <f>_xlfn.XLOOKUP(A212,全装!G:G,全装!I:I,"",0,1)</f>
        <v>IF-特斯拉枪-31443</v>
      </c>
      <c r="E212" s="5" t="s">
        <v>3696</v>
      </c>
      <c r="F212" s="11" t="s">
        <v>1042</v>
      </c>
      <c r="G212" t="s">
        <v>3698</v>
      </c>
      <c r="I212" t="str">
        <f t="shared" si="12"/>
        <v>r:"(?i)^Tesla Gun$"=IF-特斯拉枪-31443</v>
      </c>
      <c r="J212">
        <f t="shared" si="11"/>
        <v>1</v>
      </c>
      <c r="K212" t="str">
        <f t="shared" si="10"/>
        <v>Tesla Gun=IF-特斯拉枪-31443</v>
      </c>
    </row>
    <row r="213" ht="40.5" spans="1:11">
      <c r="A213" s="9" t="s">
        <v>1844</v>
      </c>
      <c r="B213" s="5" t="s">
        <v>1847</v>
      </c>
      <c r="C213" s="8" t="s">
        <v>1845</v>
      </c>
      <c r="D213" s="5" t="str">
        <f>_xlfn.XLOOKUP(A213,全装!G:G,全装!I:I,"",0,1)</f>
        <v>FU-保温杯-31344</v>
      </c>
      <c r="E213" s="5" t="s">
        <v>3696</v>
      </c>
      <c r="F213" s="11" t="s">
        <v>1844</v>
      </c>
      <c r="G213" t="s">
        <v>3698</v>
      </c>
      <c r="I213" t="str">
        <f t="shared" si="12"/>
        <v>r:"(?i)^Thermos$"=FU-保温杯-31344</v>
      </c>
      <c r="J213">
        <f t="shared" si="11"/>
        <v>1</v>
      </c>
      <c r="K213" t="str">
        <f t="shared" si="10"/>
        <v>Thermos=FU-保温杯-31344</v>
      </c>
    </row>
    <row r="214" ht="40.5" spans="1:11">
      <c r="A214" s="18" t="s">
        <v>1460</v>
      </c>
      <c r="B214" s="5" t="s">
        <v>1461</v>
      </c>
      <c r="C214" s="8" t="s">
        <v>1461</v>
      </c>
      <c r="D214" s="5" t="str">
        <f>_xlfn.XLOOKUP(A214,全装!G:G,全装!I:I,"",0,1)</f>
        <v>F-系结衬衫-33342</v>
      </c>
      <c r="E214" s="5" t="s">
        <v>3696</v>
      </c>
      <c r="F214" s="11" t="s">
        <v>1460</v>
      </c>
      <c r="G214" t="s">
        <v>3698</v>
      </c>
      <c r="I214" t="str">
        <f t="shared" si="12"/>
        <v>r:"(?i)^Tied Shirt$"=F-系结衬衫-33342</v>
      </c>
      <c r="J214">
        <f t="shared" si="11"/>
        <v>1</v>
      </c>
      <c r="K214" t="str">
        <f t="shared" si="10"/>
        <v>Tied Shirt=F-系结衬衫-33342</v>
      </c>
    </row>
    <row r="215" ht="40.5" spans="1:11">
      <c r="A215" s="19" t="s">
        <v>1909</v>
      </c>
      <c r="B215" s="5" t="s">
        <v>1912</v>
      </c>
      <c r="C215" s="8" t="s">
        <v>1910</v>
      </c>
      <c r="D215" s="5" t="str">
        <f>_xlfn.XLOOKUP(A215,全装!G:G,全装!I:I,"",0,1)</f>
        <v>U-未知之人的恩惠-33234</v>
      </c>
      <c r="E215" s="5" t="s">
        <v>3696</v>
      </c>
      <c r="F215" s="11" t="s">
        <v>3777</v>
      </c>
      <c r="G215" t="s">
        <v>3698</v>
      </c>
      <c r="I215" t="str">
        <f t="shared" si="12"/>
        <v>r:"(?i)^Unknown's Favor$"=U-未知之人的恩惠-33234</v>
      </c>
      <c r="J215">
        <f t="shared" si="11"/>
        <v>0</v>
      </c>
      <c r="K215" t="str">
        <f t="shared" si="10"/>
        <v>Unknown's Favor=U-未知之人的恩惠-33234</v>
      </c>
    </row>
    <row r="216" ht="40.5" spans="1:11">
      <c r="A216" s="19" t="s">
        <v>669</v>
      </c>
      <c r="B216" s="5" t="s">
        <v>3778</v>
      </c>
      <c r="C216" s="8" t="s">
        <v>670</v>
      </c>
      <c r="D216" s="5" t="str">
        <f>_xlfn.XLOOKUP(A216,全装!G:G,全装!I:I,"",0,1)</f>
        <v>2_AUF-维内莎的上衣-14145</v>
      </c>
      <c r="E216" s="5" t="s">
        <v>3696</v>
      </c>
      <c r="F216" s="11" t="s">
        <v>3779</v>
      </c>
      <c r="G216" t="s">
        <v>3698</v>
      </c>
      <c r="I216" t="str">
        <f t="shared" si="12"/>
        <v>r:"(?i)^Veneza's Top$"=2_AUF-维内莎的上衣-14145</v>
      </c>
      <c r="J216">
        <f t="shared" si="11"/>
        <v>0</v>
      </c>
      <c r="K216" t="str">
        <f t="shared" si="10"/>
        <v>Veneza's Top=2_AUF-维内莎的上衣-14145</v>
      </c>
    </row>
    <row r="217" ht="40.5" spans="1:11">
      <c r="A217" s="19" t="s">
        <v>757</v>
      </c>
      <c r="B217" s="5" t="s">
        <v>762</v>
      </c>
      <c r="C217" s="8" t="s">
        <v>758</v>
      </c>
      <c r="D217" s="5" t="str">
        <f>_xlfn.XLOOKUP(A217,全装!G:G,全装!I:I,"",0,1)</f>
        <v>5_FU-维内莎的下装-13155</v>
      </c>
      <c r="E217" s="5" t="s">
        <v>3696</v>
      </c>
      <c r="F217" s="11" t="s">
        <v>757</v>
      </c>
      <c r="G217" t="s">
        <v>3698</v>
      </c>
      <c r="I217" t="str">
        <f t="shared" si="12"/>
        <v>r:"(?i)^Veneza's Bottom$"=5_FU-维内莎的下装-13155</v>
      </c>
      <c r="J217">
        <f t="shared" si="11"/>
        <v>1</v>
      </c>
      <c r="K217" t="str">
        <f t="shared" si="10"/>
        <v>Veneza's Bottom=5_FU-维内莎的下装-13155</v>
      </c>
    </row>
    <row r="218" ht="40.5" spans="1:11">
      <c r="A218" s="19" t="s">
        <v>1866</v>
      </c>
      <c r="B218" s="5" t="s">
        <v>1870</v>
      </c>
      <c r="C218" s="8" t="s">
        <v>1867</v>
      </c>
      <c r="D218" s="5" t="str">
        <f>_xlfn.XLOOKUP(A218,全装!G:G,全装!I:I,"",0,1)</f>
        <v>A-跳蛋-24333</v>
      </c>
      <c r="E218" s="5" t="s">
        <v>3696</v>
      </c>
      <c r="F218" s="11" t="s">
        <v>1866</v>
      </c>
      <c r="G218" t="s">
        <v>3698</v>
      </c>
      <c r="I218" t="str">
        <f t="shared" si="12"/>
        <v>r:"(?i)^Vibro Egg$"=A-跳蛋-24333</v>
      </c>
      <c r="J218">
        <f t="shared" si="11"/>
        <v>1</v>
      </c>
      <c r="K218" t="str">
        <f t="shared" si="10"/>
        <v>Vibro Egg=A-跳蛋-24333</v>
      </c>
    </row>
    <row r="219" ht="40.5" spans="1:11">
      <c r="A219" s="19" t="s">
        <v>845</v>
      </c>
      <c r="B219" s="5" t="s">
        <v>849</v>
      </c>
      <c r="C219" s="8" t="s">
        <v>846</v>
      </c>
      <c r="D219" s="5" t="str">
        <f>_xlfn.XLOOKUP(A219,全装!G:G,全装!I:I,"",0,1)</f>
        <v>12_老婆特供(散件)-33333</v>
      </c>
      <c r="E219" s="5" t="s">
        <v>3696</v>
      </c>
      <c r="F219" s="15" t="s">
        <v>3780</v>
      </c>
      <c r="G219" t="s">
        <v>3698</v>
      </c>
      <c r="I219" t="str">
        <f t="shared" si="12"/>
        <v>r:"(?i)^Waifu’s Special$"=12_老婆特供(散件)-33333</v>
      </c>
      <c r="J219">
        <f t="shared" si="11"/>
        <v>0</v>
      </c>
      <c r="K219" t="str">
        <f t="shared" si="10"/>
        <v>Waifu’s Special=12_老婆特供(散件)-33333</v>
      </c>
    </row>
    <row r="220" ht="40.5" spans="1:11">
      <c r="A220" s="19" t="s">
        <v>839</v>
      </c>
      <c r="B220" s="5" t="s">
        <v>843</v>
      </c>
      <c r="C220" s="8" t="s">
        <v>840</v>
      </c>
      <c r="D220" s="5" t="str">
        <f>_xlfn.XLOOKUP(A220,全装!G:G,全装!I:I,"",0,1)</f>
        <v>12_老婆特供（下装）-33333</v>
      </c>
      <c r="E220" s="5" t="s">
        <v>3696</v>
      </c>
      <c r="F220" s="15" t="s">
        <v>3781</v>
      </c>
      <c r="G220" t="s">
        <v>3698</v>
      </c>
      <c r="I220" t="str">
        <f t="shared" si="12"/>
        <v>r:"(?i)^Waifu’s Special (bottom)$"=12_老婆特供（下装）-33333</v>
      </c>
      <c r="J220">
        <f t="shared" si="11"/>
        <v>0</v>
      </c>
      <c r="K220" t="str">
        <f t="shared" si="10"/>
        <v>Waifu’s Special (bottom)=12_老婆特供（下装）-33333</v>
      </c>
    </row>
    <row r="221" ht="40.5" spans="1:11">
      <c r="A221" s="20" t="s">
        <v>772</v>
      </c>
      <c r="B221" t="s">
        <v>776</v>
      </c>
      <c r="C221" s="10" t="s">
        <v>773</v>
      </c>
      <c r="D221" s="5" t="str">
        <f>_xlfn.XLOOKUP(A221,全装!G:G,全装!I:I,"",0,1)</f>
        <v>⑥.WAI-#宽阔下装-55411</v>
      </c>
      <c r="E221" s="5" t="s">
        <v>3696</v>
      </c>
      <c r="F221" s="11" t="s">
        <v>772</v>
      </c>
      <c r="G221" t="s">
        <v>3698</v>
      </c>
      <c r="I221" t="str">
        <f t="shared" si="12"/>
        <v>r:"(?i)^Wide Bottom$"=⑥.WAI-#宽阔下装-55411</v>
      </c>
      <c r="J221">
        <f t="shared" si="11"/>
        <v>1</v>
      </c>
      <c r="K221" t="str">
        <f t="shared" si="10"/>
        <v>Wide Bottom=⑥.WAI-#宽阔下装-55411</v>
      </c>
    </row>
    <row r="222" ht="40.5" spans="1:11">
      <c r="A222" s="19" t="s">
        <v>1119</v>
      </c>
      <c r="B222" s="5" t="s">
        <v>3782</v>
      </c>
      <c r="C222" s="8" t="s">
        <v>1120</v>
      </c>
      <c r="D222" s="5" t="str">
        <f>_xlfn.XLOOKUP(A222,全装!G:G,全装!I:I,"",0,1)</f>
        <v>IU-铁丝内裤-21435</v>
      </c>
      <c r="E222" s="5" t="s">
        <v>3696</v>
      </c>
      <c r="F222" s="11" t="s">
        <v>1119</v>
      </c>
      <c r="G222" t="s">
        <v>3698</v>
      </c>
      <c r="I222" t="str">
        <f t="shared" si="12"/>
        <v>r:"(?i)^Wire Panties$"=IU-铁丝内裤-21435</v>
      </c>
      <c r="J222">
        <f t="shared" si="11"/>
        <v>1</v>
      </c>
      <c r="K222" t="str">
        <f t="shared" si="10"/>
        <v>Wire Panties=IU-铁丝内裤-21435</v>
      </c>
    </row>
    <row r="223" ht="40.5" spans="1:11">
      <c r="A223" s="19" t="s">
        <v>1913</v>
      </c>
      <c r="B223" s="5" t="s">
        <v>1916</v>
      </c>
      <c r="C223" s="8" t="s">
        <v>1914</v>
      </c>
      <c r="D223" s="5" t="str">
        <f>_xlfn.XLOOKUP(A223,全装!G:G,全装!I:I,"",0,1)</f>
        <v>FU-铁丝泳装-13344</v>
      </c>
      <c r="E223" s="5" t="s">
        <v>3696</v>
      </c>
      <c r="F223" s="11" t="s">
        <v>1913</v>
      </c>
      <c r="G223" t="s">
        <v>3698</v>
      </c>
      <c r="I223" t="str">
        <f t="shared" si="12"/>
        <v>r:"(?i)^Wire Swimsuit$"=FU-铁丝泳装-13344</v>
      </c>
      <c r="J223">
        <f t="shared" si="11"/>
        <v>1</v>
      </c>
      <c r="K223" t="str">
        <f t="shared" si="10"/>
        <v>Wire Swimsuit=FU-铁丝泳装-13344</v>
      </c>
    </row>
    <row r="224" ht="40.5" spans="1:11">
      <c r="A224" s="19" t="s">
        <v>1849</v>
      </c>
      <c r="B224" s="5" t="s">
        <v>1853</v>
      </c>
      <c r="C224" s="8" t="s">
        <v>1850</v>
      </c>
      <c r="D224" s="5" t="str">
        <f>_xlfn.XLOOKUP(A224,全装!G:G,全装!I:I,"",0,1)</f>
        <v>FU-工装牛仔裤-33144</v>
      </c>
      <c r="E224" s="5" t="s">
        <v>3696</v>
      </c>
      <c r="F224" s="11" t="s">
        <v>1849</v>
      </c>
      <c r="G224" t="s">
        <v>3698</v>
      </c>
      <c r="I224" t="str">
        <f t="shared" si="12"/>
        <v>r:"(?i)^Work Jeans$"=FU-工装牛仔裤-33144</v>
      </c>
      <c r="J224">
        <f t="shared" si="11"/>
        <v>1</v>
      </c>
      <c r="K224" t="str">
        <f t="shared" si="10"/>
        <v>Work Jeans=FU-工装牛仔裤-33144</v>
      </c>
    </row>
    <row r="225" ht="40.5" spans="1:11">
      <c r="A225" s="9" t="s">
        <v>1378</v>
      </c>
      <c r="B225" s="5" t="s">
        <v>1382</v>
      </c>
      <c r="C225" s="8" t="s">
        <v>1379</v>
      </c>
      <c r="D225" s="5" t="str">
        <f>_xlfn.XLOOKUP(A225,全装!G:G,全装!I:I,"",0,1)</f>
        <v>FU-扳手-11355</v>
      </c>
      <c r="E225" s="5" t="s">
        <v>3696</v>
      </c>
      <c r="F225" s="11" t="s">
        <v>1378</v>
      </c>
      <c r="G225" t="s">
        <v>3698</v>
      </c>
      <c r="I225" t="str">
        <f t="shared" si="12"/>
        <v>r:"(?i)^Wrench$"=FU-扳手-11355</v>
      </c>
      <c r="J225">
        <f t="shared" si="11"/>
        <v>1</v>
      </c>
      <c r="K225" t="str">
        <f t="shared" si="10"/>
        <v>Wrench=FU-扳手-11355</v>
      </c>
    </row>
    <row r="226" ht="40.5" spans="1:11">
      <c r="A226" s="14" t="s">
        <v>859</v>
      </c>
      <c r="B226" s="5" t="s">
        <v>3783</v>
      </c>
      <c r="C226" s="8" t="s">
        <v>860</v>
      </c>
      <c r="D226" s="5" t="str">
        <f>_xlfn.XLOOKUP(A226,全装!G:G,全装!I:I,"",0,1)</f>
        <v>②.13_WU-XX的赐福-51135</v>
      </c>
      <c r="E226" s="5" t="s">
        <v>3696</v>
      </c>
      <c r="F226" s="11" t="s">
        <v>859</v>
      </c>
      <c r="G226" t="s">
        <v>3698</v>
      </c>
      <c r="I226" t="str">
        <f t="shared" si="12"/>
        <v>r:"(?i)^XX’s Blessing$"=②.13_WU-XX的赐福-51135</v>
      </c>
      <c r="J226">
        <f t="shared" si="11"/>
        <v>1</v>
      </c>
      <c r="K226" t="str">
        <f t="shared" si="10"/>
        <v>XX’s Blessing=②.13_WU-XX的赐福-51135</v>
      </c>
    </row>
    <row r="227" ht="40.5" spans="1:11">
      <c r="A227" s="9" t="s">
        <v>1233</v>
      </c>
      <c r="B227" s="5" t="s">
        <v>1234</v>
      </c>
      <c r="C227" s="8" t="s">
        <v>1234</v>
      </c>
      <c r="D227" s="5" t="str">
        <f>_xlfn.XLOOKUP(A227,全装!G:G,全装!I:I,"",0,1)</f>
        <v>AF-XX的正式衬衫-24342</v>
      </c>
      <c r="E227" s="5" t="s">
        <v>3696</v>
      </c>
      <c r="F227" s="11" t="s">
        <v>3784</v>
      </c>
      <c r="G227" t="s">
        <v>3698</v>
      </c>
      <c r="I227" t="str">
        <f t="shared" si="12"/>
        <v>r:"(?i)^XX's Formal Shirt$"=AF-XX的正式衬衫-24342</v>
      </c>
      <c r="J227">
        <f t="shared" si="11"/>
        <v>0</v>
      </c>
      <c r="K227" t="str">
        <f t="shared" si="10"/>
        <v>XX's Formal Shirt=AF-XX的正式衬衫-24342</v>
      </c>
    </row>
    <row r="228" ht="40.5" spans="1:11">
      <c r="A228" s="9" t="s">
        <v>1917</v>
      </c>
      <c r="B228" s="5" t="s">
        <v>3785</v>
      </c>
      <c r="C228" s="8" t="s">
        <v>1918</v>
      </c>
      <c r="D228" s="5" t="str">
        <f>_xlfn.XLOOKUP(A228,全装!G:G,全装!I:I,"",0,1)</f>
        <v>⑤.AF-XX的太阳制服-14343</v>
      </c>
      <c r="E228" s="5" t="s">
        <v>3696</v>
      </c>
      <c r="F228" s="11" t="s">
        <v>3786</v>
      </c>
      <c r="G228" t="s">
        <v>3698</v>
      </c>
      <c r="I228" t="str">
        <f t="shared" si="12"/>
        <v>r:"(?i)^XX's Sol Uniform$"=⑤.AF-XX的太阳制服-14343</v>
      </c>
      <c r="J228">
        <f t="shared" si="11"/>
        <v>0</v>
      </c>
      <c r="K228" t="str">
        <f t="shared" si="10"/>
        <v>XX's Sol Uniform=⑤.AF-XX的太阳制服-14343</v>
      </c>
    </row>
    <row r="229" ht="40.5" spans="1:11">
      <c r="A229" s="9" t="s">
        <v>1880</v>
      </c>
      <c r="B229" t="s">
        <v>1884</v>
      </c>
      <c r="C229" s="10" t="s">
        <v>1881</v>
      </c>
      <c r="D229" s="5" t="str">
        <f>_xlfn.XLOOKUP(A229,全装!G:G,全装!I:I,"",0,1)</f>
        <v>AI-#XX的劣质假阳具-24433</v>
      </c>
      <c r="E229" s="5" t="s">
        <v>3696</v>
      </c>
      <c r="F229" s="11" t="s">
        <v>3787</v>
      </c>
      <c r="G229" t="s">
        <v>3698</v>
      </c>
      <c r="I229" t="str">
        <f t="shared" si="12"/>
        <v>r:"(?i)^XX's Tacky Dildo$"=AI-#XX的劣质假阳具-24433</v>
      </c>
      <c r="J229">
        <f t="shared" si="11"/>
        <v>0</v>
      </c>
      <c r="K229" t="str">
        <f t="shared" si="10"/>
        <v>XX's Tacky Dildo=AI-#XX的劣质假阳具-24433</v>
      </c>
    </row>
    <row r="230" ht="40.5" spans="1:11">
      <c r="A230" s="14" t="s">
        <v>1567</v>
      </c>
      <c r="B230" s="5" t="s">
        <v>1571</v>
      </c>
      <c r="C230" s="8" t="s">
        <v>1568</v>
      </c>
      <c r="D230" s="5" t="str">
        <f>_xlfn.XLOOKUP(A230,全装!G:G,全装!I:I,"",0,1)</f>
        <v>WU-XX的最后手段-42324</v>
      </c>
      <c r="E230" s="5" t="s">
        <v>3696</v>
      </c>
      <c r="F230" s="11" t="s">
        <v>1567</v>
      </c>
      <c r="G230" t="s">
        <v>3698</v>
      </c>
      <c r="I230" t="str">
        <f t="shared" si="12"/>
        <v>r:"(?i)^XX's Last Resort$"=WU-XX的最后手段-42324</v>
      </c>
      <c r="J230">
        <f t="shared" si="11"/>
        <v>1</v>
      </c>
      <c r="K230" t="str">
        <f t="shared" si="10"/>
        <v>XX's Last Resort=WU-XX的最后手段-42324</v>
      </c>
    </row>
    <row r="231" ht="40.5" spans="1:11">
      <c r="A231" s="14" t="s">
        <v>852</v>
      </c>
      <c r="B231" s="5" t="s">
        <v>3788</v>
      </c>
      <c r="C231" s="8" t="s">
        <v>853</v>
      </c>
      <c r="D231" s="5" t="str">
        <f>_xlfn.XLOOKUP(A231,全装!G:G,全装!I:I,"",0,1)</f>
        <v>②.13_WU-XX的祈祷-51135</v>
      </c>
      <c r="E231" s="5" t="s">
        <v>3696</v>
      </c>
      <c r="F231" s="11" t="s">
        <v>3789</v>
      </c>
      <c r="G231" t="s">
        <v>3698</v>
      </c>
      <c r="I231" t="str">
        <f t="shared" si="12"/>
        <v>r:"(?i)^XX’s Prayer$"=②.13_WU-XX的祈祷-51135</v>
      </c>
      <c r="J231">
        <f t="shared" si="11"/>
        <v>0</v>
      </c>
      <c r="K231" t="str">
        <f t="shared" si="10"/>
        <v>XX’s Prayer=②.13_WU-XX的祈祷-51135</v>
      </c>
    </row>
  </sheetData>
  <autoFilter ref="A1:K231">
    <sortState ref="A1:K231">
      <sortCondition ref="A1"/>
    </sortState>
    <extLst/>
  </autoFilter>
  <conditionalFormatting sqref="A231">
    <cfRule type="duplicateValues" dxfId="41" priority="1"/>
  </conditionalFormatting>
  <conditionalFormatting sqref="A225:A230">
    <cfRule type="duplicateValues" dxfId="41" priority="2"/>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9"/>
  <sheetViews>
    <sheetView workbookViewId="0">
      <selection activeCell="I18" sqref="I18"/>
    </sheetView>
  </sheetViews>
  <sheetFormatPr defaultColWidth="9" defaultRowHeight="13.5" outlineLevelCol="1"/>
  <cols>
    <col min="1" max="1" width="8.23333333333333" style="1" customWidth="1"/>
    <col min="2" max="2" width="8.225" style="2" customWidth="1"/>
    <col min="3" max="16384" width="9" style="3"/>
  </cols>
  <sheetData>
    <row r="1" spans="1:1">
      <c r="A1" s="1" t="s">
        <v>3790</v>
      </c>
    </row>
    <row r="2" spans="1:1">
      <c r="A2" s="1" t="s">
        <v>3791</v>
      </c>
    </row>
    <row r="3" spans="1:1">
      <c r="A3" s="1" t="s">
        <v>3792</v>
      </c>
    </row>
    <row r="5" spans="1:1">
      <c r="A5" s="1" t="s">
        <v>3793</v>
      </c>
    </row>
    <row r="7" spans="1:1">
      <c r="A7" s="1" t="s">
        <v>3794</v>
      </c>
    </row>
    <row r="9" spans="1:1">
      <c r="A9" s="1" t="s">
        <v>3795</v>
      </c>
    </row>
    <row r="10" spans="1:1">
      <c r="A10" s="1" t="s">
        <v>3796</v>
      </c>
    </row>
    <row r="12" spans="1:1">
      <c r="A12" s="1" t="s">
        <v>3797</v>
      </c>
    </row>
    <row r="14" spans="1:1">
      <c r="A14" s="1" t="s">
        <v>3798</v>
      </c>
    </row>
    <row r="15" spans="1:1">
      <c r="A15" s="1" t="s">
        <v>3799</v>
      </c>
    </row>
    <row r="17" spans="1:1">
      <c r="A17" s="1" t="s">
        <v>3800</v>
      </c>
    </row>
    <row r="19" spans="1:1">
      <c r="A19" s="1" t="s">
        <v>3801</v>
      </c>
    </row>
    <row r="21" spans="1:1">
      <c r="A21" s="1" t="s">
        <v>3802</v>
      </c>
    </row>
    <row r="22" spans="1:1">
      <c r="A22" s="1" t="s">
        <v>3803</v>
      </c>
    </row>
    <row r="24" spans="1:1">
      <c r="A24" s="1" t="s">
        <v>3804</v>
      </c>
    </row>
    <row r="36" ht="14.25" spans="2:2">
      <c r="B36" s="4"/>
    </row>
    <row r="44" ht="14.25" spans="2:2">
      <c r="B44" s="4"/>
    </row>
    <row r="58" ht="14.25" spans="2:2">
      <c r="B58" s="4"/>
    </row>
    <row r="59" ht="14.25" spans="2:2">
      <c r="B59" s="4"/>
    </row>
  </sheetData>
  <conditionalFormatting sqref="A$1:A$1048576">
    <cfRule type="containsText" dxfId="36" priority="1" operator="between" text="Adah Adelaine Carmilla Catherine CB-69 Dahia Desiderata Guinevere Harriet Jasmine Makeda Pearl Reznor Kriss Stella Milena Sybil">
      <formula>NOT(ISERROR(SEARCH("Adah Adelaine Carmilla Catherine CB-69 Dahia Desiderata Guinevere Harriet Jasmine Makeda Pearl Reznor Kriss Stella Milena Sybil",A1)))</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3" master=""/>
  <rangeList sheetStid="18" master=""/>
  <rangeList sheetStid="34" master=""/>
  <rangeList sheetStid="57" master="">
    <arrUserId title="Range1" rangeCreator="" othersAccessPermission="edit"/>
  </rangeList>
  <rangeList sheetStid="64" master=""/>
  <rangeList sheetStid="56" master=""/>
  <rangeList sheetStid="55" master=""/>
  <rangeList sheetStid="58" master=""/>
  <rangeList sheetStid="59" master=""/>
  <rangeList sheetStid="6" master=""/>
  <rangeList sheetStid="42" master=""/>
  <rangeList sheetStid="4" master=""/>
  <rangeList sheetStid="43" master=""/>
  <rangeList sheetStid="28" master=""/>
  <rangeList sheetStid="53" master=""/>
  <rangeList sheetStid="54" master=""/>
  <rangeList sheetStid="60" master=""/>
  <rangeList sheetStid="62" master=""/>
  <rangeList sheetStid="63" master=""/>
  <rangeList sheetStid="65" master=""/>
  <rangeList sheetStid="6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金山软件</Company>
  <Application>WPS 表格</Application>
  <HeadingPairs>
    <vt:vector size="2" baseType="variant">
      <vt:variant>
        <vt:lpstr>工作表</vt:lpstr>
      </vt:variant>
      <vt:variant>
        <vt:i4>21</vt:i4>
      </vt:variant>
    </vt:vector>
  </HeadingPairs>
  <TitlesOfParts>
    <vt:vector size="21" baseType="lpstr">
      <vt:lpstr>有</vt:lpstr>
      <vt:lpstr>全人物技能说明</vt:lpstr>
      <vt:lpstr>全装</vt:lpstr>
      <vt:lpstr>Weapons</vt:lpstr>
      <vt:lpstr>同样效果</vt:lpstr>
      <vt:lpstr>Combos</vt:lpstr>
      <vt:lpstr>Cloths Dresses</vt:lpstr>
      <vt:lpstr>Campaign Missions</vt:lpstr>
      <vt:lpstr>Resource Missions</vt:lpstr>
      <vt:lpstr>庇</vt:lpstr>
      <vt:lpstr>秘基</vt:lpstr>
      <vt:lpstr>其</vt:lpstr>
      <vt:lpstr>DC话</vt:lpstr>
      <vt:lpstr>装</vt:lpstr>
      <vt:lpstr>调</vt:lpstr>
      <vt:lpstr>Sheet1</vt:lpstr>
      <vt:lpstr>FRS</vt:lpstr>
      <vt:lpstr>攻击统计</vt:lpstr>
      <vt:lpstr>物品满</vt:lpstr>
      <vt:lpstr>翻译项目</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wps</cp:lastModifiedBy>
  <dcterms:created xsi:type="dcterms:W3CDTF">2026-05-10T15:50:00Z</dcterms:created>
  <dcterms:modified xsi:type="dcterms:W3CDTF">2026-06-16T13:43:06Z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709EF0036E3A48B48769216CAD5661AF</vt:lpwstr>
  </property>
  <property fmtid="{D5CDD505-2E9C-101B-9397-08002B2CF9AE}" pid="3" name="KSOProductBuildVer">
    <vt:lpwstr>2052-11.8.2.11542</vt:lpwstr>
  </property>
  <property fmtid="{D5CDD505-2E9C-101B-9397-08002B2CF9AE}" pid="4" name="KSOReadingLayout">
    <vt:bool>true</vt:bool>
  </property>
</Properties>
</file>